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fkassra/Desktop/RIESGOS DE FATALIDADES/"/>
    </mc:Choice>
  </mc:AlternateContent>
  <xr:revisionPtr revIDLastSave="0" documentId="8_{5C7B779D-9E0C-C642-A2F8-C867736089B5}" xr6:coauthVersionLast="47" xr6:coauthVersionMax="47" xr10:uidLastSave="{00000000-0000-0000-0000-000000000000}"/>
  <bookViews>
    <workbookView xWindow="29400" yWindow="-1880" windowWidth="38400" windowHeight="21000" tabRatio="932" xr2:uid="{F44BC78E-C0A1-46BC-A4EF-1D164BD53DD6}"/>
  </bookViews>
  <sheets>
    <sheet name="ÍNDICE" sheetId="4" r:id="rId1"/>
    <sheet name="Listas desplegables" sheetId="2" state="hidden" r:id="rId2"/>
    <sheet name="RF01" sheetId="62" r:id="rId3"/>
    <sheet name="RF02" sheetId="91" r:id="rId4"/>
    <sheet name="RF03" sheetId="92" r:id="rId5"/>
    <sheet name="RF04" sheetId="93" r:id="rId6"/>
    <sheet name="RF05" sheetId="94" r:id="rId7"/>
    <sheet name="RF06" sheetId="95" r:id="rId8"/>
    <sheet name="RF07" sheetId="96" r:id="rId9"/>
    <sheet name="RF08" sheetId="99" r:id="rId10"/>
    <sheet name="RF09" sheetId="97" r:id="rId11"/>
    <sheet name="RF10" sheetId="100" r:id="rId12"/>
    <sheet name="RF11" sheetId="101" r:id="rId13"/>
    <sheet name="RF12" sheetId="102" r:id="rId14"/>
    <sheet name="RF13" sheetId="103" r:id="rId15"/>
    <sheet name="RF14" sheetId="98" r:id="rId16"/>
    <sheet name="RF16" sheetId="104" r:id="rId17"/>
    <sheet name="RF18" sheetId="105" r:id="rId18"/>
    <sheet name="RF20" sheetId="106" r:id="rId19"/>
    <sheet name="RF21" sheetId="107" r:id="rId20"/>
    <sheet name="RF23" sheetId="113" r:id="rId21"/>
    <sheet name="RF24" sheetId="108" r:id="rId22"/>
    <sheet name="RF25" sheetId="109" r:id="rId23"/>
    <sheet name="RF27" sheetId="110" r:id="rId24"/>
    <sheet name="RF28" sheetId="111" r:id="rId25"/>
    <sheet name="RF29" sheetId="112" r:id="rId26"/>
  </sheets>
  <externalReferences>
    <externalReference r:id="rId27"/>
    <externalReference r:id="rId28"/>
    <externalReference r:id="rId29"/>
  </externalReferences>
  <definedNames>
    <definedName name="_xlnm._FilterDatabase" localSheetId="0" hidden="1">ÍNDICE!$A$11:$J$40</definedName>
    <definedName name="_xlnm._FilterDatabase" localSheetId="2" hidden="1">'RF01'!$B$13:$J$16</definedName>
    <definedName name="_xlnm._FilterDatabase" localSheetId="3" hidden="1">'RF02'!$B$13:$J$18</definedName>
    <definedName name="_xlnm._FilterDatabase" localSheetId="4" hidden="1">'RF03'!$B$13:$J$20</definedName>
    <definedName name="_xlnm._FilterDatabase" localSheetId="5" hidden="1">'RF04'!$B$13:$J$19</definedName>
    <definedName name="_xlnm._FilterDatabase" localSheetId="11" hidden="1">'RF10'!$B$13:$J$18</definedName>
    <definedName name="_xlnm._FilterDatabase" localSheetId="15" hidden="1">'RF14'!$B$13:$J$19</definedName>
    <definedName name="APLICA" localSheetId="2">Tabla3[APLICA]</definedName>
    <definedName name="APLICA" localSheetId="3">Tabla3[APLICA]</definedName>
    <definedName name="APLICA" localSheetId="4">Tabla3[APLICA]</definedName>
    <definedName name="APLICA" localSheetId="5">Tabla3[APLICA]</definedName>
    <definedName name="APLICA" localSheetId="6">[1]!Tabla3[APLICA]</definedName>
    <definedName name="APLICA" localSheetId="7">[1]!Tabla3[APLICA]</definedName>
    <definedName name="APLICA" localSheetId="8">[1]!Tabla3[APLICA]</definedName>
    <definedName name="APLICA" localSheetId="9">[1]!Tabla3[APLICA]</definedName>
    <definedName name="APLICA" localSheetId="10">[1]!Tabla3[APLICA]</definedName>
    <definedName name="APLICA" localSheetId="11">Tabla3[APLICA]</definedName>
    <definedName name="APLICA" localSheetId="15">Tabla3[APLICA]</definedName>
    <definedName name="APLICA" localSheetId="20">[2]!Tabla3[APLICA]</definedName>
    <definedName name="APLICA">Tabla3[APLICA]</definedName>
    <definedName name="_xlnm.Print_Area" localSheetId="0">ÍNDICE!$A$1:$J$44</definedName>
    <definedName name="_xlnm.Print_Area" localSheetId="2">'RF01'!$B$1:$J$16</definedName>
    <definedName name="_xlnm.Print_Area" localSheetId="3">'RF02'!$B$1:$J$18</definedName>
    <definedName name="_xlnm.Print_Area" localSheetId="4">'RF03'!$B$1:$J$20</definedName>
    <definedName name="_xlnm.Print_Area" localSheetId="5">'RF04'!$B$1:$J$19</definedName>
    <definedName name="_xlnm.Print_Area" localSheetId="11">'RF10'!$B$1:$J$18</definedName>
    <definedName name="_xlnm.Print_Area" localSheetId="15">'RF14'!$B$1:$J$19</definedName>
    <definedName name="CUMPLIMIENTO" localSheetId="2">Tabla1[CUMPLIMIENTO]</definedName>
    <definedName name="CUMPLIMIENTO" localSheetId="3">Tabla1[CUMPLIMIENTO]</definedName>
    <definedName name="CUMPLIMIENTO" localSheetId="4">Tabla1[CUMPLIMIENTO]</definedName>
    <definedName name="CUMPLIMIENTO" localSheetId="5">Tabla1[CUMPLIMIENTO]</definedName>
    <definedName name="CUMPLIMIENTO" localSheetId="6">[1]!Tabla13[CUMPLIMIENTO]</definedName>
    <definedName name="CUMPLIMIENTO" localSheetId="7">[1]!Tabla13[CUMPLIMIENTO]</definedName>
    <definedName name="CUMPLIMIENTO" localSheetId="8">[1]!Tabla13[CUMPLIMIENTO]</definedName>
    <definedName name="CUMPLIMIENTO" localSheetId="9">[1]!Tabla13[CUMPLIMIENTO]</definedName>
    <definedName name="CUMPLIMIENTO" localSheetId="10">[1]!Tabla13[CUMPLIMIENTO]</definedName>
    <definedName name="CUMPLIMIENTO" localSheetId="11">Tabla1[CUMPLIMIENTO]</definedName>
    <definedName name="CUMPLIMIENTO" localSheetId="12">[3]!Tabla13[CUMPLIMIENTO]</definedName>
    <definedName name="CUMPLIMIENTO" localSheetId="13">[3]!Tabla13[CUMPLIMIENTO]</definedName>
    <definedName name="CUMPLIMIENTO" localSheetId="14">[3]!Tabla13[CUMPLIMIENTO]</definedName>
    <definedName name="CUMPLIMIENTO" localSheetId="15">Tabla1[CUMPLIMIENTO]</definedName>
    <definedName name="CUMPLIMIENTO" localSheetId="20">[2]!Tabla13[CUMPLIMIENTO]</definedName>
    <definedName name="CUMPLIMIENTO">Tabla1[CUMPLIMIENTO]</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4" l="1"/>
  <c r="H40" i="4"/>
  <c r="H39" i="4"/>
  <c r="H38" i="4"/>
  <c r="H36" i="4"/>
  <c r="H35" i="4"/>
  <c r="H34" i="4"/>
  <c r="H32" i="4"/>
  <c r="H31" i="4"/>
  <c r="H29" i="4"/>
  <c r="H27" i="4"/>
  <c r="H25" i="4" l="1"/>
  <c r="H24" i="4"/>
  <c r="H23" i="4"/>
  <c r="H22" i="4"/>
  <c r="H21" i="4"/>
  <c r="H20" i="4"/>
  <c r="I7" i="113"/>
  <c r="I7" i="112"/>
  <c r="I7" i="111"/>
  <c r="I7" i="110"/>
  <c r="I7" i="109"/>
  <c r="I7" i="108"/>
  <c r="I7" i="107"/>
  <c r="I7" i="106"/>
  <c r="I7" i="105"/>
  <c r="I7" i="104"/>
  <c r="I7" i="103" l="1"/>
  <c r="I7" i="102"/>
  <c r="I7" i="101"/>
  <c r="I7" i="100"/>
  <c r="I7" i="99" l="1"/>
  <c r="H19" i="4" s="1"/>
  <c r="I7" i="98"/>
  <c r="I7" i="97"/>
  <c r="I7" i="96"/>
  <c r="H18" i="4" s="1"/>
  <c r="I7" i="95"/>
  <c r="H17" i="4" s="1"/>
  <c r="I7" i="94"/>
  <c r="H16" i="4" s="1"/>
  <c r="I7" i="93"/>
  <c r="H15" i="4" s="1"/>
  <c r="I7" i="92"/>
  <c r="H14" i="4" s="1"/>
  <c r="I7" i="91"/>
  <c r="H13" i="4" s="1"/>
  <c r="I7" i="62"/>
  <c r="H12" i="4" s="1"/>
  <c r="G44" i="4"/>
  <c r="G43" i="4"/>
</calcChain>
</file>

<file path=xl/sharedStrings.xml><?xml version="1.0" encoding="utf-8"?>
<sst xmlns="http://schemas.openxmlformats.org/spreadsheetml/2006/main" count="5443" uniqueCount="2517">
  <si>
    <t>Empresa</t>
  </si>
  <si>
    <t>:</t>
  </si>
  <si>
    <t>N° y Nombre de contrato y/u ODS</t>
  </si>
  <si>
    <t>Líder de gestión del cambio</t>
  </si>
  <si>
    <t>¿APLICA?</t>
  </si>
  <si>
    <t>% CUMPLIMIENTO</t>
  </si>
  <si>
    <t>NO</t>
  </si>
  <si>
    <t>SÍ</t>
  </si>
  <si>
    <t>CUMPLIMIENTO</t>
  </si>
  <si>
    <t>APLICA</t>
  </si>
  <si>
    <t>N/A</t>
  </si>
  <si>
    <t>CUMPLIMIENTO GENERAL</t>
  </si>
  <si>
    <t>ELEMENTOS DEL CONTROL</t>
  </si>
  <si>
    <t>Alcance</t>
  </si>
  <si>
    <t xml:space="preserve">Exclusión </t>
  </si>
  <si>
    <t>CONTROL CRÍTICO</t>
  </si>
  <si>
    <t>EVIDENCIA</t>
  </si>
  <si>
    <t>OBSERVACIONES</t>
  </si>
  <si>
    <t>NO APLICA</t>
  </si>
  <si>
    <t>CCP1</t>
  </si>
  <si>
    <t>CCP2</t>
  </si>
  <si>
    <t>CCP3</t>
  </si>
  <si>
    <t>CCP4</t>
  </si>
  <si>
    <t>CCM1</t>
  </si>
  <si>
    <t>CCM2</t>
  </si>
  <si>
    <t>CCM3</t>
  </si>
  <si>
    <t>% GENERAL</t>
  </si>
  <si>
    <t>Gerencia o Dirección</t>
  </si>
  <si>
    <t>GERENCIA DE SEGURIDAD Y SALUD OCUPACIONAL - CHUQUICAMATA</t>
  </si>
  <si>
    <t>Gerente de Area</t>
  </si>
  <si>
    <t>DUEÑO DEL RIESGO</t>
  </si>
  <si>
    <t>RF24</t>
  </si>
  <si>
    <t>REQUISITO</t>
  </si>
  <si>
    <t>Simulacros Específicos Realizados y Evaluados.</t>
  </si>
  <si>
    <t>RIESGO FATALIDAD</t>
  </si>
  <si>
    <t>Trimestral</t>
  </si>
  <si>
    <t>Anual</t>
  </si>
  <si>
    <t>Diario</t>
  </si>
  <si>
    <t>Semanal</t>
  </si>
  <si>
    <t>Mensual</t>
  </si>
  <si>
    <t>MONITOREO</t>
  </si>
  <si>
    <t>Por evento</t>
  </si>
  <si>
    <t>Implementación de Barreras Físicas (Duras).</t>
  </si>
  <si>
    <t>Semestral</t>
  </si>
  <si>
    <t>FECHA IMPLEMENTACIÓN</t>
  </si>
  <si>
    <t>PLAN MITIGADOR</t>
  </si>
  <si>
    <t>RF06</t>
  </si>
  <si>
    <t>RF30</t>
  </si>
  <si>
    <t>IR AL RF01</t>
  </si>
  <si>
    <t>IR AL RF02</t>
  </si>
  <si>
    <t>IR AL RF03</t>
  </si>
  <si>
    <t>IR AL RF04</t>
  </si>
  <si>
    <t>IR AL RF05</t>
  </si>
  <si>
    <t>IR AL RF06</t>
  </si>
  <si>
    <t>IR AL RF07</t>
  </si>
  <si>
    <t>IR AL RF08</t>
  </si>
  <si>
    <t>IR AL RF09</t>
  </si>
  <si>
    <t>IR AL RF10</t>
  </si>
  <si>
    <t>IR AL RF11</t>
  </si>
  <si>
    <t>IR AL RF12</t>
  </si>
  <si>
    <t>IR AL RF13</t>
  </si>
  <si>
    <t>IR AL RF14</t>
  </si>
  <si>
    <t>IR AL RF15</t>
  </si>
  <si>
    <t>IR AL RF16</t>
  </si>
  <si>
    <t>IR AL RF17</t>
  </si>
  <si>
    <t>IR AL RF18</t>
  </si>
  <si>
    <t>IR AL RF19</t>
  </si>
  <si>
    <t>IR AL RF20</t>
  </si>
  <si>
    <t>IR AL RF21</t>
  </si>
  <si>
    <t>IR AL RF22</t>
  </si>
  <si>
    <t>IR AL RF23</t>
  </si>
  <si>
    <t>IR AL RF24</t>
  </si>
  <si>
    <t>IR AL RF25</t>
  </si>
  <si>
    <t>IR AL RF26</t>
  </si>
  <si>
    <t>IR AL RF27</t>
  </si>
  <si>
    <t>IR AL RF28</t>
  </si>
  <si>
    <t>IR AL RF29</t>
  </si>
  <si>
    <t>IR AL RF30</t>
  </si>
  <si>
    <t>RF01</t>
  </si>
  <si>
    <t>RF02</t>
  </si>
  <si>
    <t>RF03</t>
  </si>
  <si>
    <t>RF04</t>
  </si>
  <si>
    <t>RF05</t>
  </si>
  <si>
    <t>RF07</t>
  </si>
  <si>
    <t>RF08</t>
  </si>
  <si>
    <t>RF09</t>
  </si>
  <si>
    <t>RF10</t>
  </si>
  <si>
    <t>RF11</t>
  </si>
  <si>
    <t>RF12</t>
  </si>
  <si>
    <t>RF13</t>
  </si>
  <si>
    <t>RF14</t>
  </si>
  <si>
    <t>RF15</t>
  </si>
  <si>
    <t>RF16</t>
  </si>
  <si>
    <t>RF17</t>
  </si>
  <si>
    <t>RF18</t>
  </si>
  <si>
    <t>RF19</t>
  </si>
  <si>
    <t>RF20</t>
  </si>
  <si>
    <t>RF21</t>
  </si>
  <si>
    <t>RF22</t>
  </si>
  <si>
    <t>RF23</t>
  </si>
  <si>
    <t>RF25</t>
  </si>
  <si>
    <t>RF26</t>
  </si>
  <si>
    <t>RF27</t>
  </si>
  <si>
    <t>RF28</t>
  </si>
  <si>
    <t>RF29</t>
  </si>
  <si>
    <t>Capacidad de respuesta ante emergencia</t>
  </si>
  <si>
    <t>IR AL RF</t>
  </si>
  <si>
    <t>ÍNDICE RIESGOS DE FATALIDAD</t>
  </si>
  <si>
    <t>NOMBRE DEL CONTROL CRÍTICO</t>
  </si>
  <si>
    <t>OBJETIVO</t>
  </si>
  <si>
    <t>Cada vez</t>
  </si>
  <si>
    <t>Sistemas de Comunicación de Emergencia Funcionales.</t>
  </si>
  <si>
    <t>Personal Capacitado en Respuesta Inicial.</t>
  </si>
  <si>
    <t>Evaluación médica vigente y compatible</t>
  </si>
  <si>
    <t>Registro consolidado del personal autorizado</t>
  </si>
  <si>
    <t>Registros de Bloqueo y Permisos de Trabajo.</t>
  </si>
  <si>
    <t>Solicitar el inventario completo de dispositivos de protección de presión (válvulas de alivio, etc.) por equipo.</t>
  </si>
  <si>
    <t>Plan de Emergencia Específico Vigente.</t>
  </si>
  <si>
    <t>Solicitar el procedimiento de bloqueo para sistemas de alta presión y verificar su última fecha de revisión y su difusión.</t>
  </si>
  <si>
    <t>Solicitar el programa de mantenimiento y los certificados de calibración vigentes para las válvulas de alivio.</t>
  </si>
  <si>
    <t>Solicitar los registros de inspección de pre-uso y mantenimiento que verifiquen el buen estado de los manómetros.</t>
  </si>
  <si>
    <t>Solicitar el procedimiento que prohíbe y sanciona la adulteración de los dispositivos de seguridad de los equipos.</t>
  </si>
  <si>
    <t>Solicitar el procedimiento que define el tipo de barrera y el cálculo del radio de exclusión para pruebas de presión.</t>
  </si>
  <si>
    <t>Verificar en terreno la existencia de letreros de advertencia claros ("Peligro: Prueba Hidráulica", "No Pasar") en todos los accesos.</t>
  </si>
  <si>
    <t>Verificar que los puntos de acceso a la zona segregada están controlados, ya sea por barreras o por personal designado (vigía).</t>
  </si>
  <si>
    <t>Solicitar el registro o consultar al supervisor si se realizó la comunicación radial a todas las áreas antes de iniciar la presurización.</t>
  </si>
  <si>
    <t>Solicitar registros de pruebas funcionales de los sistemas de comunicación y de los canales de emergencia.</t>
  </si>
  <si>
    <t>Verificar en terreno, mediante entrevistas, que el personal conoce el protocolo de aviso y las acciones de primera respuesta.</t>
  </si>
  <si>
    <t>Interacción entre energía eléctrica y las personas. Esto puede ocurrir en actividades de operación, mantención, servicios, proyectos en donde se puedan observar exposición a AT - BT (AT &gt; 1000 V y BT &lt;1000 V CA).
• Salas eléctricas, Subestaciones eléctricas, Equipos mineros eléctricos (móviles y semi móviles).
• Herramientas eléctricas, líneas de media y alta tensión.
• Intervención de equipos y sistemas eléctricos energizados.
• Generadores, exposición a CC circuitos, bancos de baterías.
• También incluye equipos de fuente de alimentación, cable de transmisión eléctrica y electrodos</t>
  </si>
  <si>
    <t>Este evento considera como exclusión los siguientes escenarios:
• Trabajos en torres de alta tensión con líneas energizadas. (maniobras de operación, mediciones, pruebas y seguimiento de fallas).</t>
  </si>
  <si>
    <t>Cada tarea</t>
  </si>
  <si>
    <t>Impedir la exposición de personas a la línea de fuego durante pruebas de presión o en zonas con riesgo de falla de componentes hidráulicos/neumáticos, asegurando que el área de peligro sea físicamente segregada y el acceso estrictamente controlado.</t>
  </si>
  <si>
    <t>Verificar en terreno que los dispositivos de protección de presión cuentan con sus sellos de seguridad o precintos intactos.</t>
  </si>
  <si>
    <t>Registros/evidencia de: Inspecciones pre-uso (checklists firmados), inspecciones periódicas formales (informes firmados), y uso visible y actualizado de tarjetas de estado (Verde/Roja) en plataformas.</t>
  </si>
  <si>
    <t>Verificación del Cumplimiento de la Capacidad de Carga de la Plataforma</t>
  </si>
  <si>
    <t>Registro de reparaciones o ajustes realizados tras fallas detectadas en inspecciones, con validación previa a su reincorporación al uso.</t>
  </si>
  <si>
    <t>Registros de Inspecciones y Gestión de Estado Operativo</t>
  </si>
  <si>
    <t>Documentación que Respalda el Diseño, Ingeniería y Componentes</t>
  </si>
  <si>
    <t>Licencia y autorización para operadores de plataformas móviles</t>
  </si>
  <si>
    <t>Para operar plataformas móviles elevadoras, se requiere Licencia Municipal y Autorización Interna específica para el equipo.</t>
  </si>
  <si>
    <t>Todo SPDC (arnés, estrobo, absorbedor, conectores) debe estar certificado por norma chilena o internacional (ej: NCh 1258, ANSI, CE), y registrado como equipo aprobado.</t>
  </si>
  <si>
    <t>Inspección periódica por personal autorizado</t>
  </si>
  <si>
    <t>Adecuación del SPDC a la tarea</t>
  </si>
  <si>
    <t>Uso correcto del arnés y conexión segura</t>
  </si>
  <si>
    <t>Control del vencimiento del equipo</t>
  </si>
  <si>
    <t>Registro actualizado con fechas de ingreso, vencimiento y baja del SPDC. No se permite uso de equipos vencidos o dañados.</t>
  </si>
  <si>
    <t>Asegurar que el SPDC esté conectado exclusivamente a un punto de anclaje o sistema de línea de vida que cumpla con certificación vigente, diseño profesional, inspección registrada, identificación visible y capacidad de resistir las cargas de detención de caída según norma.</t>
  </si>
  <si>
    <t>Inspección documentada y periódica</t>
  </si>
  <si>
    <t>Debe existir un programa formal de inspección visual y técnica, con registros físicos o digitales asociados a cada punto de anclaje.</t>
  </si>
  <si>
    <t>Identificación clara en terreno</t>
  </si>
  <si>
    <t>Todo punto de anclaje certificado, debe estar identificado en terreno con su resistencia, vigencia y número. No aplica a partes estructurales genéricas como rosetas, salvo que hayan sido certificados expresamente como puntos de anclaje.</t>
  </si>
  <si>
    <t>Sistema de control de vigencia y mantenimiento</t>
  </si>
  <si>
    <t>Asegurar que exista un plan específico y operativo de rescate en suspensión, con equipos adecuados, disponibles e inspeccionados en el lugar de trabajo, y con personal entrenado para ejecutar la maniobra en el menor tiempo posible, evitando consecuencias fatales por trauma por suspensión.</t>
  </si>
  <si>
    <t>Plan de rescate documentado y específico</t>
  </si>
  <si>
    <t>Documento formal asociado a cada tarea en altura que contemple procedimiento, roles, medios y tiempo de respuesta. Debe estar disponible y conocido por el equipo.</t>
  </si>
  <si>
    <t>Equipamiento de rescate disponible e inspeccionado</t>
  </si>
  <si>
    <t>Equipos y medios necesarios para rescatar a un trabajador en suspensión deben estar disponibles en el lugar de trabajo, conforme al procedimiento de emergencia aplicable a la tarea.</t>
  </si>
  <si>
    <t>Simulacros y validación de tiempos de respuesta</t>
  </si>
  <si>
    <t>El plan debe ser comunicado de forma verbal o escrita al equipo antes del inicio de las tareas en altura.</t>
  </si>
  <si>
    <t>LISTADO DE AUTODIAGNÓSTICO RIESGO DE FATALIDAD N°03: MANIOBRAS DE IZAJE</t>
  </si>
  <si>
    <t>Solicitar la pauta de mantenimiento del fabricante y los registros de las últimas mantenciones preventivas ejecutadas.</t>
  </si>
  <si>
    <t>Inspección de Pre-uso Diaria Realizada.</t>
  </si>
  <si>
    <t>Solicitar el checklist de pre-uso del equipo del turno actual, verificando que esté completo y firmado por el operador.</t>
  </si>
  <si>
    <t>Sistemas de Seguridad del Equipo Operativos.</t>
  </si>
  <si>
    <t>Solicitar registros de pruebas funcionales del sistema limitador de momento de carga (LMI), frenos y paradas de emergencia.</t>
  </si>
  <si>
    <t>Estabilizadores Completamente Extendidos.</t>
  </si>
  <si>
    <t>Verificar en terreno que los estabilizadores y sus bases de apoyo (almohadillas) están desplegados al 100% según manual.</t>
  </si>
  <si>
    <t>Confirmar que la tabla de carga del equipo es visible y legible para el operador y corresponde a la configuración del izaje.</t>
  </si>
  <si>
    <t>Solicitar checklist de pre-uso que incluya la revisión de neumáticos, sistema de suspensión y sistemas hidráulicos de estabilización.</t>
  </si>
  <si>
    <t>Verificar en el sistema que el personal cuenta con un examen de salud compatible y sin restricciones para el cargo.</t>
  </si>
  <si>
    <t>Comunicación bidireccional efectiva entre operador y rigger</t>
  </si>
  <si>
    <t>Protocolo de Comunicación para Izaje.</t>
  </si>
  <si>
    <t>Solicitar el procedimiento que estandariza las comunicaciones y señales de mano para maniobras de izaje.</t>
  </si>
  <si>
    <t>Verificar en el plan de izaje o procedimiento que se ha asignado un canal de radio de uso exclusivo para la maniobra.</t>
  </si>
  <si>
    <t>Equipos de Radio Operativos.</t>
  </si>
  <si>
    <t>Verificar en terreno que el operador y rigger cuentan con equipos de radio y que estos han sido inspeccionados (batería, funcionalidad).</t>
  </si>
  <si>
    <t>Consultar al operador y rigger si realizaron la prueba de comunicación antes de iniciar la maniobra y cómo la documentaron (ej. en ART).</t>
  </si>
  <si>
    <t>Señales de Mano Estandarizadas.</t>
  </si>
  <si>
    <t>Verificar que en el área de izaje se encuentre visible la infografía con las señales de mano estandarizadas.</t>
  </si>
  <si>
    <t>Segregación y control de acceso en área de maniobras</t>
  </si>
  <si>
    <t>Evitar la exposición de personas a la línea de fuego de una maniobra de izaje (caída de carga, volcamiento de equipo, golpe de látigo), asegurando que el área de peligro sea físicamente segregada y el acceso controlado antes, durante y después de la operación.</t>
  </si>
  <si>
    <t>Plan de Segregación en Plan de Izaje.</t>
  </si>
  <si>
    <t>Solicitar el plan de izaje y verificar que incluye un diagrama o esquema que define el radio y tipo de segregación requerida.</t>
  </si>
  <si>
    <t>Verificar en terreno que la segregación está implementada con barreras físicas (ej. barreras de concreto, conos con cadena).</t>
  </si>
  <si>
    <t>Señalización de Peligro Clara y Visible.</t>
  </si>
  <si>
    <t>Verificar en terreno la existencia de letreros de advertencia claros ("Peligro: Izaje de Cargas", "No Pasar") en todos los accesos.</t>
  </si>
  <si>
    <t>Control de Puntos de Acceso.</t>
  </si>
  <si>
    <t>Solicitar el checklist o ART donde el supervisor verifica la correcta instalación de la segregación antes de iniciar la maniobra.</t>
  </si>
  <si>
    <t>Plan de Respuesta a Emergencia Específico.</t>
  </si>
  <si>
    <t>Personal Entrenado en el Plan de Emergencia.</t>
  </si>
  <si>
    <t>Brigada de Rescate Capacitada.</t>
  </si>
  <si>
    <t>Solicitar los registros de entrenamiento y simulacros de la brigada de emergencia en escenarios de accidentes de izaje.</t>
  </si>
  <si>
    <t>Canales de Comunicación de Emergencia Claros.</t>
  </si>
  <si>
    <t>Verificar que el plan de izaje y la señalización en terreno indiquen claramente el número de teléfono o canal de radio de emergencia.</t>
  </si>
  <si>
    <t>Procedimiento de Aislación y Bloqueo Vigente.</t>
  </si>
  <si>
    <t>Personal acreditado para trabajos eléctricos</t>
  </si>
  <si>
    <t>Asegurar que toda persona que realice intervenciones en sistemas eléctricos que puedan estar energizados cuente con calificación y autorización formal vigente (Licencia Eléctrica), conforme a los reglamentos corporativos y divisionales.</t>
  </si>
  <si>
    <t>Registro del personal que se encuentra autorizado a intervenir sistemas eléctricos, con sus requisitos en cumplimiento según lo definido en SIG0-I-013.</t>
  </si>
  <si>
    <t>Credencial física o digital disponible, acorde a las actividades que realiza el personal, según lo definido en SIG0-I-013.</t>
  </si>
  <si>
    <t>Trazabilidad de requisitos para la autorización de intervención de sistemas eléctricos.</t>
  </si>
  <si>
    <t>Autorización formal a través de licencia eléctrica.</t>
  </si>
  <si>
    <t>Auditoría al sistema de autorización.</t>
  </si>
  <si>
    <t>Reporte de auditoría que verifica la operatividad y actualización del sistema de autorización, con existencia de respaldos correspondientes y en cumplimiento del SIGO-I-013.</t>
  </si>
  <si>
    <t>Acceso restringido a equipos e instalaciones eléctricas</t>
  </si>
  <si>
    <t>Asegurar que únicamente personal autorizado acceda a equipos e instalaciones eléctricas, mediante barreras físicas y sistemas de custodia y/o control de acceso, según aplique.</t>
  </si>
  <si>
    <t>Procedimiento de ingreso a instalaciones eléctricas</t>
  </si>
  <si>
    <t>Procedimiento vigente que define el mecanismo de custodia de instalaciones eléctricas y el proceso para acceder a ellas.</t>
  </si>
  <si>
    <t>Integridad de barreras físicas.</t>
  </si>
  <si>
    <t>Inspección documentada que verifica el estado operativo de puertas, cierres y candados de equipos e instalaciones eléctricas.</t>
  </si>
  <si>
    <t>Señalización de advertencia.</t>
  </si>
  <si>
    <t>Verificación en terreno de letreros de advertencia visibles y legibles en equipos e instalaciones eléctricas.</t>
  </si>
  <si>
    <t>Equipos y herramientas eléctricas verificadas</t>
  </si>
  <si>
    <t>Asegurar que todo el personal que interviene sistemas eléctricos utilice exclusivamente herramientas e instrumentos que han sido verificados y se encuentran en buenas condiciones.</t>
  </si>
  <si>
    <t>Lista de verificación en terreno de las herramientas e instrumentos en uso.</t>
  </si>
  <si>
    <t>Registro de mantenimiento e inspección para instrumentos de medición y herramientas de maniobra.</t>
  </si>
  <si>
    <t>Registro de inspección que verifica la integridad del sistema de puesta a tierra (tercer pin, cable) de las herramientas eléctricas (ej. generador, tablero móvil).</t>
  </si>
  <si>
    <t>Verificación de condiciones visibles.</t>
  </si>
  <si>
    <t>Mantenimiento y calibración de instrumentos.</t>
  </si>
  <si>
    <t>Protecciones en herramientas eléctricas.</t>
  </si>
  <si>
    <t>Intervención de equipos en condición eléctricamente segura</t>
  </si>
  <si>
    <t>Garantizar que antes de intervenir un sistema eléctrico este se encuentre en condición eléctricamente segura, mediante la aplicación de las 5 Reglas de Oro del Electricista.</t>
  </si>
  <si>
    <t>Procedimiento de aislación y bloqueo de energía eléctrica.</t>
  </si>
  <si>
    <t>Proceso de solicitud de desconexión e intervención en sistemas de media tensión.</t>
  </si>
  <si>
    <t>Identificación y aislación.</t>
  </si>
  <si>
    <t>Bloqueo y advertencia.</t>
  </si>
  <si>
    <t>Verificación de ausencia de tensión.</t>
  </si>
  <si>
    <t>Instalación de puesta a tierra temporal.</t>
  </si>
  <si>
    <t>Segregación del lugar de intervención.</t>
  </si>
  <si>
    <t>Verificación de prácticas eléctricas.</t>
  </si>
  <si>
    <t>Procedimiento vigente que define el proceso de aislación y bloqueo, aplicable para energía eléctrica y registro de instrucción del documento al personal.</t>
  </si>
  <si>
    <t>Documento (SODI) en físico o digital autorizado, según lo definido en SIG0-I-012.</t>
  </si>
  <si>
    <t>Registro de identificación de los puntos de aislación y puntos de bloqueo, según mapas de bloqueo o diagramas disponibles para este fin.</t>
  </si>
  <si>
    <t>Verificación en terreno de los dispositivos de bloqueo y advertencia instalados y rotulados adecuadamente.</t>
  </si>
  <si>
    <t>Registro de la metodología utilizada para verificar ausencia de tensión y los resultados de prueba.</t>
  </si>
  <si>
    <t>Verificación en terreno de instalación de puesta a tierra temporal, con lista de verificación del conjunto y en los puntos definidos.</t>
  </si>
  <si>
    <t>Verificación en terreno de la instalación de barreras (conos con cadenas) y señalización en el lugar de intervención.</t>
  </si>
  <si>
    <t>Verficación de aplicación de 5 Reglas de Oro, SODI y procedimiento de bloqueo.</t>
  </si>
  <si>
    <t>Selección y uso de EPP específico para la actividad</t>
  </si>
  <si>
    <t>Asegurar que todo trabajador que se vea expuesto a riesgo eléctrico seleccione y use correctamente EPP específico y en condiciones, para las actividades a realizar.</t>
  </si>
  <si>
    <t>Cada Tarea</t>
  </si>
  <si>
    <t>Estudio de energía incidental.</t>
  </si>
  <si>
    <t>Control de disponibilidad y entrega de elementos de protección personal específicos.</t>
  </si>
  <si>
    <t>Inspección pre-uso de los elementos de protección personal específicos.</t>
  </si>
  <si>
    <t>Estudio que determina la energía incidental (cal/cm²), que determina la distancia de seguridad y el EPP específico a utilizar en equipos e instalaciones eléctricas.</t>
  </si>
  <si>
    <t>Registro de entrega de EPP específicos al personal electricista, de acuerdo con lo definido en el estudio de elementos de protección personal.</t>
  </si>
  <si>
    <t>Lista de verificación en terreno de los EPP específicos para el arco eléctrico y choque eléctrico en uso.</t>
  </si>
  <si>
    <t>Protecciones eléctricas en sistemas de alta tensión</t>
  </si>
  <si>
    <t>Asegurar que los sistemas de protecciones de los sistemas eléctricos, operen adecuadamente para despejar y proteger al personal ante fallas eléctricas.</t>
  </si>
  <si>
    <t>Plan Matriz de Mantenimiento de Protecciones.</t>
  </si>
  <si>
    <t>Estudios Eléctricos Vigentes.</t>
  </si>
  <si>
    <t>Medición de Mallas a Tierra (Instalaciones).</t>
  </si>
  <si>
    <t>Pruebas Funcionales con Trazabilidad.</t>
  </si>
  <si>
    <t>Integridad de Infraestructura (Inspección).</t>
  </si>
  <si>
    <t>Plan matriz (ej. SAP) con OTs cerradas de mantenimiento y pruebas funcionales de protecciones (relés, interruptores) según fabricante/norma.</t>
  </si>
  <si>
    <t>Estudios de Coordinación de Protecciones y Energía Incidental vigente y disponibles en terreno para consulta.</t>
  </si>
  <si>
    <t>Informe de medición de resistencia de mallas a tierra y continuidad de puestas a tierra de equipos, vigente (&lt; 1 año).</t>
  </si>
  <si>
    <t>Registros de pruebas de protecciones realizadas con instrumentos que poseen trazabilidad vigente.</t>
  </si>
  <si>
    <t>Registros de inspección (checklist) de condiciones de salas, tableros y S/E (limpieza, orden, integridad física, señalética).</t>
  </si>
  <si>
    <t>CONTROL</t>
  </si>
  <si>
    <t>NOMBRE DEL CONTROL</t>
  </si>
  <si>
    <t>CP1</t>
  </si>
  <si>
    <t>CP2</t>
  </si>
  <si>
    <t>CP3</t>
  </si>
  <si>
    <t>CP4</t>
  </si>
  <si>
    <t>CP5</t>
  </si>
  <si>
    <t>CP6</t>
  </si>
  <si>
    <t>CP7</t>
  </si>
  <si>
    <t>CM1</t>
  </si>
  <si>
    <t>CM2</t>
  </si>
  <si>
    <t>Planos unilineales actualizados</t>
  </si>
  <si>
    <t>Todo trabajo que involucre intervención en sistemas eléctricos debe contar con planos unilineales actualizados, disponibles y legibles en terreno.</t>
  </si>
  <si>
    <t>Enclavamientos eléctricos operativos</t>
  </si>
  <si>
    <t>Todos los enclavamientos eléctricos de tableros y equipos deben encontrarse operativos y en condiciones de uso seguro.</t>
  </si>
  <si>
    <t>A. El supervisor(a) debe asegurar que los planos reflejen la ubicación y características reales de todo el sistema eléctrico.</t>
  </si>
  <si>
    <t>B. Los planos deben estar actualizados tras cada modificación en la red eléctrica, con trazabilidad documental</t>
  </si>
  <si>
    <t>C. Su disponibilidad debe ser verificada antes de iniciar excavaciones o trabajos de terreno en zonas con riesgo eléctrico</t>
  </si>
  <si>
    <t>A. El supervisor(a) debe verificar en la inspección previa el correcto funcionamiento de enclavamientos para impedir maniobras indebidas o no autorizadas.</t>
  </si>
  <si>
    <t>B. Cualquier falla en enclavamientos debe implicar el retiro del equipo del servicio hasta su reparación.</t>
  </si>
  <si>
    <t>C. La condición operativa de los enclavamientos debe estar documentada en el programa de mantenimiento eléctrico.</t>
  </si>
  <si>
    <t>Porticos de control de altura para tránsito bajo tendidos eléctricos</t>
  </si>
  <si>
    <t>En todas las rutas de tránsito bajo tendidos eléctricos de media o alta tensión se deben instalar pórticos de control de altura.</t>
  </si>
  <si>
    <t>A. Los pórticos deben ubicarse antes de zonas de riesgo, con señalización visible para operadores de equipos de gran altura.</t>
  </si>
  <si>
    <t>B. El supervisor(a) debe verificar periódicamente la integridad de los pórticos y su correspondencia con la altura máxima autorizada.</t>
  </si>
  <si>
    <t>C. El incumplimiento de la restricción de altura debe implicar la detención inmediata del tránsito del equipo.</t>
  </si>
  <si>
    <t>Monitoreos de fugas de energía</t>
  </si>
  <si>
    <t>Los tableros eléctricos y circuitos deben contar con sistemas de monitoreo de fugas de energía para la detección temprana de energización no controlada.</t>
  </si>
  <si>
    <t>Señalización visible en puntos de bloque y zonas energizadas</t>
  </si>
  <si>
    <t>Todos los puntos de bloqueo y zonas energizadas deben estar señalizados de forma clara y permanente.</t>
  </si>
  <si>
    <t>TAG de identificación de equipos</t>
  </si>
  <si>
    <t>Todos los equipos y tableros eléctricos deben estar identificados con tag visible que asegure trazabilidad y control en maniobras y bloqueos.</t>
  </si>
  <si>
    <t>Mapa de energías disponible y actualizado</t>
  </si>
  <si>
    <t>Toda área de trabajo debe contar con un mapa actualizado de energías presentes, disponible para consulta de personal propio y contratista.</t>
  </si>
  <si>
    <t>Pararrayos</t>
  </si>
  <si>
    <t>Sistema de detección y extinción de incendios en instalaciones eléctricas</t>
  </si>
  <si>
    <t>Todas las instalaciones eléctricas deben contar con sistemas de detección y extinción de incendios conforme a normativa aplicable.</t>
  </si>
  <si>
    <t>A. Los sistemas de monitoreo deben estar calibrados y contar con alertas visibles y audibles en caso de detección de fugas.</t>
  </si>
  <si>
    <t>A. Las señales deben indicar de manera explícita la presencia de energía peligrosa y la prohibición de intervención sin autorización.</t>
  </si>
  <si>
    <t>A. Cada TAG debe contener información legible sobre el equipo, circuito y energía que controla.</t>
  </si>
  <si>
    <t>A. El mapa debe identificar claramente las fuentes de energía y sus puntos de bloqueo.</t>
  </si>
  <si>
    <t>A. El supervisor(a) debe comprobar la operatividad del sistema antes del inicio de las tareas.</t>
  </si>
  <si>
    <t>B. El supervisor(a) debe revisar registros de calibración y pruebas funcionales conforme al programa de mantenimiento.</t>
  </si>
  <si>
    <t>B. El supervisor(a) debe verificar que la señalización esté instalada y sea legible previo al inicio de las tareas.</t>
  </si>
  <si>
    <t>B. El supervisor(a) debe confirmar la correspondencia entre el TAG y el registro de bloqueo antes de autorizar la tarea.</t>
  </si>
  <si>
    <t>B. El supervisor(a) debe verificar la actualización del mapa tras cada modificación en el sistema eléctrico.</t>
  </si>
  <si>
    <t>B. El mantenimiento preventivo debe incluir revisión de continuidad eléctrica y puesta a tierra.</t>
  </si>
  <si>
    <t>B. El plan de mantenimiento debe incluir pruebas periódicas y certificaciones vigentes del sistema.</t>
  </si>
  <si>
    <t>C. Ante cualquier alerta de fuga, el equipo o tablero debe ser aislado y puesto fuera de servicio hasta su corrección.</t>
  </si>
  <si>
    <t>C. En caso de pérdida o daño de señalética, el trabajo debe suspenderse hasta reponerla.</t>
  </si>
  <si>
    <t>C. El mapa debe estar instalado en un lugar visible del área y respaldado documentalmente.</t>
  </si>
  <si>
    <t>C. Ante fallas o daños en el sistema, las tareas deben suspenderse hasta la reparación.</t>
  </si>
  <si>
    <t>C. Ante detección de falla en el sistema, la instalación debe quedar fuera de servicio hasta restablecer las condiciones seguras.</t>
  </si>
  <si>
    <t>LISTADO DE AUTODIAGNÓSTICO RIESGO DE FATALIDAD N°01: ENERGÍA ELÉCTRICA</t>
  </si>
  <si>
    <t>LISTADO DE AUTODIAGNÓSTICO RIESGO DE FATALIDAD N°02: TRABAJO EN ALTURA</t>
  </si>
  <si>
    <t>LISTADO DE AUTODIAGNÓSTICO RIESGO DE FATALIDAD N°04: LIBERACIÓN DESCONTROLADA DE ENERGÍAS</t>
  </si>
  <si>
    <t>RC02</t>
  </si>
  <si>
    <t>INCENDIO</t>
  </si>
  <si>
    <t>SUSTANCIAS PELIGROSAS</t>
  </si>
  <si>
    <t>TRONADURAS Y EXPLOSIVOS</t>
  </si>
  <si>
    <t>PARTES MÓVILES</t>
  </si>
  <si>
    <t>VEHÍCULOS</t>
  </si>
  <si>
    <t>ESPACIOS CONFINADOS</t>
  </si>
  <si>
    <t>MATERIALES FUNDIDOS</t>
  </si>
  <si>
    <t>CAÍDA DE OBJETOS</t>
  </si>
  <si>
    <t>OPERACIÓN FERROVIARIA</t>
  </si>
  <si>
    <t>CAÍDA DE ROCAS EN MINA RAJO</t>
  </si>
  <si>
    <t>LIBERACIÓN DESCONTROLADA DE ENERGÍAS</t>
  </si>
  <si>
    <t>MANIOBRAS DE IZAJE</t>
  </si>
  <si>
    <t>TRABAJO EN ALTURA</t>
  </si>
  <si>
    <t>ENERGÍA ELÉCTRICA</t>
  </si>
  <si>
    <t>Actividades con potencial de caída desde una altura igual o superior a 1,8 metros, en actividades, tales como:
• Trabajos sobre plataformas fijas temporales (como andamios u otras estructuras similares).
• Puntos de trabajo sobre equipos.
• Trabajos en altura realizados en edificios e instalaciones.
• Uso de plataformas móviles (equipos elevadores de personas, manipuladores telescópicos con canastillo / jaula).
• Presencia en bordes desprotegidos a una altura mayor a 1,8 metros.
• Trabajos realizados sobre escalas que cuenten con plataforma.
• Uso de escalas verticales fijas.
• Techos inclinados, cualquiera sea el ángulo de inclinación.</t>
  </si>
  <si>
    <t>• Caída a distinto nivel por colapso estructural.
• Aberturas (vanos) por ausencia de grating y/o barandas.
• Trabajos verticales (cuerdas, saneamiento de taludes).</t>
  </si>
  <si>
    <t>Plataformas y superficies de trabajo estables e íntegras</t>
  </si>
  <si>
    <t>Personal acreditado realiza trabajos en altura</t>
  </si>
  <si>
    <t>Uso Correcto de SPDC</t>
  </si>
  <si>
    <t>Conexión a Punto Anclaje Certificado</t>
  </si>
  <si>
    <t>Capacidad de Rescate en Suspensión</t>
  </si>
  <si>
    <t>Gestión del cambio para modificaciones que afecten trabajos en altura</t>
  </si>
  <si>
    <t>Áreas de tránsito y desplazamiento libres y despejadas</t>
  </si>
  <si>
    <t>Iluminación suficiente y continua en áreas de trabajo en altura (&gt;200 lux)</t>
  </si>
  <si>
    <t>Segregación física efectiva del área de trabajo en altura</t>
  </si>
  <si>
    <t>Evaluación y suspensión de trabajos en altura por condiciones climáticas adversas</t>
  </si>
  <si>
    <t>Uso de sistema antitrauma en arnés de cuerpo completo</t>
  </si>
  <si>
    <t>-Asegurar que las plataformas y superficies de trabajo sean estructuralmente estables, capaces de soportar de manera segura las cargas previstas (personas, equipos, materiales) sin colapsar, cumpliendo todas las normativas aplicables.
-Prevenir la falla estructural o la pérdida de estabilidad de las plataformas y superficies durante su uso.</t>
  </si>
  <si>
    <t>Repositorio con: Memorias de cálculo, planos de diseño firmados por personal calificado, certificados de componentes, evidencia de cumplimiento normativo/fabricante, capacidad de carga e informes de verificación visual de componentes vs. diseño.</t>
  </si>
  <si>
    <t>Evidencias del Correcto Montaje, Instalación y Preparación Inicial</t>
  </si>
  <si>
    <t>-Debe ser realizado por personal capacitado (curso de armado/desarme de andamios, operación de plataformas móviles e instrucción de procedimiento/manual de fabricante)
-Verificación de superficie de apoyo, y acta/registro de entrega de plataforma instalada (estable, nivelada y asegurada).</t>
  </si>
  <si>
    <t>Evidencia documentada del control de cargas aplicadas a la plataforma (ej. registros de carga, señalética de capacidad máxima) y verificación de que no se excede su capacidad nominal durante el uso (ej. en verificaciones u observaciones en terreno).</t>
  </si>
  <si>
    <t>Registros de Mantenimiento de la Plataforma móvil</t>
  </si>
  <si>
    <t>RC03</t>
  </si>
  <si>
    <t>RC04</t>
  </si>
  <si>
    <t>Asegurar que toda persona que realiza trabajos en altura cuenta con formación teórico / práctica aprobada, evaluación médica vigente y autorización formal, mediante credencial, para desempeñar tareas específicas en altura física.</t>
  </si>
  <si>
    <t>Curso teórico - práctico en trabajos en altura</t>
  </si>
  <si>
    <t>Documento de aprobación de cursos para trabajadores y supervisores (con foco en inspección), que considere a lo menos:
-SPDC: tipos de sistemas, uso, inspección, almacenamiento y líneas de vida.
-Entrenamiento práctico: en torre, incluye ascenso/descenso, uso de sistemas, técnicas de posicionamiento, auto rescate y anti-trauma.</t>
  </si>
  <si>
    <t>Examen médico conforme al “Acuerdo de Homologación de Evaluación de Salud para trabajos en altura física”, emitido por una entidad reconocida. Resultado “Apto”.</t>
  </si>
  <si>
    <t>Credencial interna vigente</t>
  </si>
  <si>
    <t>Credencial entregada previa verificación de cumplimiento de requisitos de capacitación y médico.</t>
  </si>
  <si>
    <t>Base de datos actualizada con trazabilidad del cumplimiento de los requisitos (capacitación, salud, autorización) para cada trabajador.</t>
  </si>
  <si>
    <t>Instrucción en procedimiento de trabajo en altura</t>
  </si>
  <si>
    <t>Instrucción en permiso y procedimiento de trabajo en altura física específico, el que debe incorporar como mínimo los siguientes aspectos:
-Uso del SPDC y sus puntos de anclaje.
-Uso de plataformas fijas o móviles.
-Uso de herramientas en altura.
-Respuesta ante emergencia en suspensión.</t>
  </si>
  <si>
    <t>Asegurar el uso permanente y correcto (ajuste, conexión) del Sistema Personal para Detención de Caídas (SPDC) certificado e inspeccionado, cada vez que exista exposición a caída desde altura mayor a 1,8 metros.</t>
  </si>
  <si>
    <t>Certificación del SPDC y sus componentes</t>
  </si>
  <si>
    <t>Revisión visual pre-uso por parte del trabajador.
Revisión semestral, realizada por un inspector de equipos SPDC, conforme a un programa formal. La frecuencia deberá ajustarse según las condiciones ambientales a las que esté expuesto el equipo. Toda inspección debe quedar registrada en la ficha del equipo.</t>
  </si>
  <si>
    <t>El SPDC debe estar compuesto por elementos compatibles con la tarea y la distancia de caída, incluyendo absorbedores:
Tipo 1: Sistema de detención de caídas, incluye absorbedor de energía.
Tipo 2: Sistema de sujeción o restricción de desplazamiento, sin absorbedor, evita la caída libre. Sistemas autorretráctiles (SRL) según su clase ANSI: Clase 1 para anclaje sobre el anillo D y Clase 2 a nivel o bajo el anillo D.
Todos los componentes deben estar certificados, compatibles y declarados según la tarea.</t>
  </si>
  <si>
    <t>El arnés debe estar correctamente ajustado y el conector debe estar anclado a un punto seguro (certificado o conforme al diseño original). La organización debe contar con un procedimiento/instructivo que regule esta materia.</t>
  </si>
  <si>
    <t>Certificación y validación de puntos de anclaje</t>
  </si>
  <si>
    <t>Cada punto de anclaje debe estar certificado de fábrica y su instalación debe ser validada por un profesional competente (estructural/calculista)</t>
  </si>
  <si>
    <t>Diseño por profesional competente (estructural)</t>
  </si>
  <si>
    <t>Puntos de anclaje fijos o sistemas de línea de vida deben contar con memoria de cálculo o plano emitido por profesional competente. Toda línea de vida, temporal o permanente, debe estar certificada.
No se permiten líneas de vida fabricadas en terreno con prensas tipo candado, aunque cuenten con cálculo estructural.</t>
  </si>
  <si>
    <t>Registro actualizado del estado de cada punto de anclaje, con fecha de última inspección, próxima revisión y responsable.</t>
  </si>
  <si>
    <t>Instrucción al personal sobre puntos de conexión seguros</t>
  </si>
  <si>
    <t>Todo trabajador debe estar instruido para identificar visualmente un punto de anclaje seguro y distinguir estructuras no aptas en el área de trabajo.</t>
  </si>
  <si>
    <t>Personal entrenado para ejecutar rescates</t>
  </si>
  <si>
    <t>El equipo de trabajo o apoyo debe haber recibido entrenamiento teórico y práctico (incluye uso de sistema anti-trauma). El registro de esto debe estar disponible.</t>
  </si>
  <si>
    <t>Se deben realizar ejercicios que validen el tiempo máximo aceptable de rescate tras una caída con suspensión. Registros deben quedar disponibles.</t>
  </si>
  <si>
    <t>Difusión y comunicación del plan de rescate</t>
  </si>
  <si>
    <t>Todas las áreas donde se realicen trabajos en altura física deben contar con un nivel de iluminación suficiente (de acuerdo a Normativa legal vigente) para permitir el desarrollo seguro de las tareas y el desplazamiento del personal, especialmente en turnos nocturnos o espacios de baja visibilidad.</t>
  </si>
  <si>
    <t>a. El supervisor(a) deberá verificar que las zonas de trabajo y tránsito asociadas a altura cuenten con una fuente de iluminación funcional, continua y orientada correctamente antes del inicio de cada jornada.</t>
  </si>
  <si>
    <t>b. Cuando se trabaje en condiciones de oscuridad parcial (turno noche, túneles, techumbres cerradas o mal iluminadas), se deberán instalar sistemas de iluminación artificial con una intensidad no inferior a 200 lux.</t>
  </si>
  <si>
    <t>c. En caso de corte o falla del sistema de iluminación, los trabajos deberán detenerse de inmediato hasta restablecer condiciones de visibilidad segura.</t>
  </si>
  <si>
    <t>Antes de iniciar cualquier trabajo en altura al aire libre, se debe evaluar si las condiciones climáticas permiten realizar la tarea de forma segura. En caso contrario, se debe suspender el trabajo de inmediato.</t>
  </si>
  <si>
    <t>a. El supervisor(a) es responsable de evaluar condiciones climáticas adversas. Ante condiciones como: lluvia, viento, nieve, niebla o riesgo eléctrico por tormentas, se debe considerar la suspensión de los trabajos, si es que la evaluación así lo amerita.</t>
  </si>
  <si>
    <t>b. Si las condiciones climáticas superan los límites definidos por el fabricante del equipo o la normativa interna de los Centros de Trabajo, también se debe considerar la suspensión de la actividad.</t>
  </si>
  <si>
    <t>c. La decisión de reanudar las actividades debe basarse en una nueva evaluación documentada y validada por supervisor de la tarea.</t>
  </si>
  <si>
    <t>Toda modificación en el diseño de procesos, tareas o equipos que impliquen cambios en condiciones de trabajo en altura debe ser gestionada a través del sistema de gestión del cambio (GdC).</t>
  </si>
  <si>
    <t>a. El supervisor(a) debe identificar cambios que afecten seguridad o introduzcan nuevas interacciones no previstas (ej. sustitución de equipos, acceso a nuevas zonas, reubicación de plataformas).</t>
  </si>
  <si>
    <t>b. Se debe elaborar un análisis de riesgo específico y documentado antes de implementar cualquier modificación.</t>
  </si>
  <si>
    <t>c. Ningún trabajador(a) podrá intervenir estructuras o procesos modificados sin que se haya cerrado formalmente la gestión del cambio.</t>
  </si>
  <si>
    <t>Las zonas de tránsito asociadas a trabajos en altura deben mantenerse libres de obstáculos, materiales, herramientas o residuos que dificulten el desplazamiento seguro del personal.</t>
  </si>
  <si>
    <t>a. El supervisor(a) debe verificar que los pasillos, accesos a plataformas y escaleras se encuentren habilitados y sin interferencias antes de iniciar tareas.</t>
  </si>
  <si>
    <t>b. Se debe implementar una rutina de limpieza y despeje al término de cada jornada o turno de trabajo en altura.</t>
  </si>
  <si>
    <t>c. Cualquier obstrucción detectada debe ser retirada de inmediato y registrada como desviación en el checklist de condiciones básicas.</t>
  </si>
  <si>
    <t>El área donde se ejecuten trabajos en altura física debe estar segregada mediante barreras físicas y señalización visible, para evitar interferencias de vehículos, equipos móviles u otras actividades que puedan poner en riesgo a los trabajadores.</t>
  </si>
  <si>
    <t>a. En caso de que la tarea pudiera interactuar con equipos o vehículos, el supervisor(a) debe instalar barreras duras que impidan el ingreso o contacto accidental con estructuras como andamios, plataformas o escaleras.</t>
  </si>
  <si>
    <t>b. Se debe señalizar el área de forma visible y continua durante toda la ejecución del trabajo.</t>
  </si>
  <si>
    <t>c. La segregación debe verificarse previo al inicio de la tarea y mantenerse hasta el retiro de la estructura.</t>
  </si>
  <si>
    <t>Todos los Sistemas Personales para Detención de Caídas (SPDC) deben incluir cintas antitrauma integradas al arnés, para reducir los efectos del síndrome de suspensión en caso de caída.</t>
  </si>
  <si>
    <t>a. El supervisor(a) debe verificar que todos los arneses en uso dispongan de sistema antitrauma incorporado como parte del equipo.</t>
  </si>
  <si>
    <t>b. En caso de que el arnés no cuente con dicho sistema, debe ser retirado del área operativa y reemplazado por uno que cumpla con esta exigencia.</t>
  </si>
  <si>
    <t>c. El sistema antitrauma debe estar operativo, sin daños visibles, y ser parte de la inspección previa de uso.</t>
  </si>
  <si>
    <t>El escenario de este riesgo de fatalidad incluye:
• Actividades con cargas elevadas por medios mecánicos que incluyen grúas fijas (puente grúa) o móviles (grúas articuladas, grúas telescópicas, grúas de celosía y camión pluma).
• Cargas en movimiento, incluido el transporte, elevaciones que involucran múltiples grúas, transferencia de cargas a otras y colapso de grúas.
• Operaciones con herramientas manuales de levante (tecle de cadena o palanca, entre otros).
• Operaciones de levante con grúa torre.
• Operaciones con equipo extiende tubos (sidebooms).</t>
  </si>
  <si>
    <t>Este evento considera como exclusión los siguientes escenarios:
• Operaciones con manipulador de neumáticos.
• Operaciones con porta contenedores.
• Uso de elevadores en plantas.
• Operaciones de levante con grúas horquillas.</t>
  </si>
  <si>
    <t>CCP5</t>
  </si>
  <si>
    <t>Equipos y elementos de izaje conforme a especificaciones técnicas</t>
  </si>
  <si>
    <t>Estabilizadores operativos y posicionamiento seguro de equipos de izaje</t>
  </si>
  <si>
    <t>Personal acreditado para maniobras de izaje</t>
  </si>
  <si>
    <t>Plan de Izaje</t>
  </si>
  <si>
    <t xml:space="preserve">Capacidad de respuesta ante emergencia </t>
  </si>
  <si>
    <t>Uso de Anemómetro</t>
  </si>
  <si>
    <t xml:space="preserve">Tabla de carga del equipo visible en cabina </t>
  </si>
  <si>
    <t>Evaluación y suspensión por condiciones climáticas</t>
  </si>
  <si>
    <t>Uso de llaves de bloqueo</t>
  </si>
  <si>
    <t>Código de colores mensual de inspección</t>
  </si>
  <si>
    <t>Señalización visible en puntos de bloqueo y zonas energizadas</t>
  </si>
  <si>
    <t>Sistema de Parada de Emergencia</t>
  </si>
  <si>
    <t>Prevenir la falla catastrófica de equipos y elementos de izaje, garantizando que su integridad estructural y funcional se mantiene conforme al diseño del fabricante, a través de un programa de inspección, mantenimiento y certificación.</t>
  </si>
  <si>
    <t>Plan de Mantenimiento Vigente y Ejecutado.</t>
  </si>
  <si>
    <t>Certificación del Equipo</t>
  </si>
  <si>
    <t>Integridad y Certificación de Elementos de Izaje.</t>
  </si>
  <si>
    <t>Personal de Mantenimiento Capacitado</t>
  </si>
  <si>
    <t>Gestión de Reparaciones Críticas.</t>
  </si>
  <si>
    <t>Solicitar el certificado del equipo al proveedor, fabricante o representante de la marca.</t>
  </si>
  <si>
    <t>Solicitar que los aparejos (eslingas, grilletes, otros) cuenten con certificación correspondiente.</t>
  </si>
  <si>
    <t>Solicitar los registros de capacitación del personal (mecánico / eléctrico) en el equipo específico.</t>
  </si>
  <si>
    <t>Toda intervención estructural requiere un procedimiento de reparación y validación de ingeniería documentada. En equipos antiguos o sin información técnica disponible, el área a cargo deberá identificar los componentes críticos y asegurar su integridad.</t>
  </si>
  <si>
    <t>Asegurar que los equipos de izaje móviles posicionen sobre una superficie estable y nivelada, de acuerdo con las especificaciones del fabricante y un análisis del terreno, para prevenir eventuales inestabilidades del equipo durante la maniobra.</t>
  </si>
  <si>
    <t>Evaluación de Terreno</t>
  </si>
  <si>
    <t>Nivelación del Equipo Verificada.</t>
  </si>
  <si>
    <t>Tabla de Carga Visible y Conocida.</t>
  </si>
  <si>
    <t>Condiciones de Viento Controladas.</t>
  </si>
  <si>
    <t>Inspección de Sistemas de Estabilidad.</t>
  </si>
  <si>
    <t>Señalización de Barras Estabilizadoras</t>
  </si>
  <si>
    <t>Solicitar el análisis o protocolo de evaluación de terreno.</t>
  </si>
  <si>
    <t>Verificar visualmente el indicador de nivel(burbuja) del equipo, asegurando que se encuentra dentro de los parámetros de</t>
  </si>
  <si>
    <t>Solicitar registros de medición de velocidad de viento y verificar que se encuentran dentro de los límites permitidos para la maniobra, según tabla de factores de viento del equipo de izaje.</t>
  </si>
  <si>
    <t>Las barras estabilizadoras del equipo de izaje, deben estar señalizadas con elementos reflectantes, que indiquen sus distintas.</t>
  </si>
  <si>
    <t>Asegurar que toda persona que participe en una maniobra de izaje (operador, rigger, personal de apoyo) posea las competencias técnicas y capacitaciones requeridas, y se encuentre en condiciones físicas y psicológicas adecuadas, para garantizar una ejecución segura y precisa de la tarea.</t>
  </si>
  <si>
    <t>Acreditación Vigente de Operador y rigger.</t>
  </si>
  <si>
    <t>Revisar si está operativo y actualizado el sistema que registra las licencias de cada operador y rigger.
En terreno solicitar que el operador y riggger porten su licencia, la que debe ser adecuada al equipo y tonelaje.</t>
  </si>
  <si>
    <t>Exámenes Psicosensotécnico Vigente.</t>
  </si>
  <si>
    <t>Evaluación Médica de Aptitud.</t>
  </si>
  <si>
    <t>Competencias y Capacitación</t>
  </si>
  <si>
    <t>Solicitar respaldo de que los exámenes psico- sensotécnicos rigurosos del personal que opera se encuentran vigentes y aprobados, conforme al Acuerdo de Homologación de Salud.</t>
  </si>
  <si>
    <t>-Solicitar registros de aprobación de curso del riesgo de fatalidad para toda persona que participa en la actividad.
-Los operadores deben disponer de la aprobación de un curso teórico y práctico, realizado por OTEC o fabricante/representante de la marca, en la operación del tipo de equipo de izaje de carga (grúas móviles, camiones pluma, puentes grúa, monorrieles, tecles u otros).
Se debe considerar evaluación teorica y práctica sobre operación y conocimiento de los sistemas del equipo en marca y modelo, realizada por organismo certificador validado por Chile Valora o fabricante/representantes de la marca.
Todo operador de equipos de izaje del tipo móvil, debe contar con Licencia Municipal vigente.
-Los Rigger deben cumplir con la aprobación de una capacitación teórico / práctica, realizada por una OTEC.
Se debe considerar la certificación o evaluación de sus competencias, según el límite de carga (nivel A, B o C) de la tarea, por un centro acreditado por Chilevalora.</t>
  </si>
  <si>
    <t>Asegurar una comunicación clara, continua y sin ambigüedades entre el rigger y el operador durante toda la maniobra de izaje, utilizando un sistema de comunicación bidireccional radial, para garantizar que cada movimiento sea ejecutado de forma coordinada y segura.</t>
  </si>
  <si>
    <t>Canal de Radio de Uso Exclusivo.</t>
  </si>
  <si>
    <t>Prueba de Comunicación Pre-Izaje.</t>
  </si>
  <si>
    <t>Protocolo ante Pérdida de Comunicación</t>
  </si>
  <si>
    <t>Verificar que el procedimiento de izaje incluye la obligatoriedad de detener toda maniobra ante la pérdida de comunicación.</t>
  </si>
  <si>
    <t>Asegurar que toda maniobra de izaje sea planificada, coordinada y ejecutada bajo condiciones controladas, considerando la capacidad técnica del equipo, la estabilidad del terreno, las características y centro de gravedad de la carga, las condiciones ambientales y la competencia del personal, garantizando además la integridad y estabilidad de la carga en su disposición final.</t>
  </si>
  <si>
    <t>Clasificación de Izaje (*Crítico o No Crítico)</t>
  </si>
  <si>
    <t>Requisitos y Autorización del Plan de Izaje</t>
  </si>
  <si>
    <t>Certificación de Equipos y Elementos de Izaje</t>
  </si>
  <si>
    <t>Análisis de Entorno y Estabilidad del Terreno</t>
  </si>
  <si>
    <t>Análisis y Validación de Punto de Descarga Final</t>
  </si>
  <si>
    <t>Coordinación y Comunicación Previa a la Maniobra</t>
  </si>
  <si>
    <t>Se debe definir si la maniobra de izaje será crítica o no.
En caso de ser crítico el Plan debe ser revisado y autorizado por personal especialista de operaciones, mantención, servicios o proyectos de Codelco, independiente de si la tarea es realizada por personal propio o empresa contratista.</t>
  </si>
  <si>
    <t>El plan de Izaje debe contar al menos con:
-Nombre del especialista.
-Especificaciones técnicas para asegurar medidas de control para la estabilidad de terreno.
-Ángulo de inclinación seguro del equipo respecto al plano de terreno.
-Calculo de estabilidad del suelo. (para equipos de mayor tonelaje)
-Requerimientos y exigencias para maniobras de izaje críticos y no críticos.
-Layout o esquema para las maniobras de izaje críticas.
-Tipo de cálculo.
-Peso de la carga
-Ubicación del centro de gravedad (dentro o fuera del cuerpo del elemento).
-Punto de Izaje, entre otros.</t>
  </si>
  <si>
    <t>Solicitar los certificados vigentes de los equipos de izaje (grúas) y de todos los accesorios (eslingas, grilletes, etc.). Verificar en terreno que los elementos físicos coincidan con lo certificado y tengan su inspección del período vigente.</t>
  </si>
  <si>
    <t>Solicitar el registro de evaluación de la superficie de operación. (Para izajes críticos, verificar que el plan esté respaldado por un informe de mecánica de suelos que valide la estabilidad del terreno).</t>
  </si>
  <si>
    <t>Verificar que el plan de izaje incluye un análisis explícito de la estructura o superficie donde se depositará la carga, respaldado por una memoria de cálculo o validación de ingeniería que garantice su capacidad para soportar el peso.</t>
  </si>
  <si>
    <t>Solicitar el registro de la reunión de coordinación (ej. en ART), donde se demuestre que el plan de izaje completo, incluyendo riesgos, controles y protocolo de comunicación, fue difundido y comprendido por todo el equipo de trabajo antes de iniciar.</t>
  </si>
  <si>
    <t>Delimitación de Área de Exposición a Cargas Suspendidas</t>
  </si>
  <si>
    <t>Inspección de la Segregación Pre-Izaje.</t>
  </si>
  <si>
    <t>Protocolo de Interacción de Equipos con Infraestructura</t>
  </si>
  <si>
    <t>Solicitar el Plan de Izaje/Rigging revisado y aprobado, verificando que incluya Layouts de montaje y planos constructivos. Solicitar el registro de la reunión de coordinación previa firmada por el ejecutor, empresas afectadas y el dueño de área. En alto tonelaje, exigir además memoria de suelo y catastro subterráneo.</t>
  </si>
  <si>
    <t>Garantizar una respuesta sistémica, inmediata y eficaz ante una emergencia asociada a maniobras de izaje.</t>
  </si>
  <si>
    <t>Equipos de Rescate Disponibles e Inspeccionados.</t>
  </si>
  <si>
    <t>Solicitar el plan de rescate para la maniobra de izaje, verificando que define roles, recursos y comunicaciones. Se debe definir el tipo de emergencia y la forma de actuar para una de ellas.</t>
  </si>
  <si>
    <t>Solicitar los registros de capacitación del equipo de trabajo en el plan de emergencia y en la activación de la alarma. Este registro debe ser validad por el Jefe Emergencia del Centro de Trabajo.</t>
  </si>
  <si>
    <t>Verificar que la brigada de emergencia cuente con la existencia y el registro de inspección vigente del kit de respuesta a emergencias (camilla, inmovilizadores, etc.).</t>
  </si>
  <si>
    <t>Todos los equipos de izaje móviles, como grúas móviles y camiones pluma, deben contar con un anemómetro operativo para medir la velocidad del viento</t>
  </si>
  <si>
    <t>a. El operador del equipo debe verificar la operatividad y correcta lectura del anemómetro durante la inspección pre-operacional, dejando registro de esta verificación en la lista de chequeo del equipo.</t>
  </si>
  <si>
    <t>b. Antes de iniciar y durante la maniobra de izaje, el operador debe medir la velocidad del viento y suspender la maniobra si esta supera el límite máximo permitido por el fabricante en la tabla de carga para la configuración específica del izaje.</t>
  </si>
  <si>
    <t>c. Toda falla, daño o descalibración del anemómetro debe ser reportada de inmediato al supervisor, y el equipo no debe ser utilizado para maniobras de izaje hasta que el instrumento sea reparado y certificado.</t>
  </si>
  <si>
    <t>La cabina de todo equipo de izaje debe contar con la tabla de capacidades de carga original del fabricante, la cual debe estar permanentemente disponible, legible y en idioma español.</t>
  </si>
  <si>
    <t>a. El operador debe verificar en su inspección pre-operacional que la tabla de carga se encuentra en la cabina, está completa, no presenta daños que impidan su lectura y corresponde al modelo y serie del equipo que opera.</t>
  </si>
  <si>
    <t>b. El operador tiene la prohibición de ejecutar maniobras si la tabla de carga no está disponible, es ilegible o está en un idioma que no comprende.</t>
  </si>
  <si>
    <t>c. Para planificar y ejecutar la maniobra, el operador y el rigger deben utilizar obligatoriamente los datos de esta tabla para confirmar que el peso, ángulo, radio y configuración de la pluma no exceden la capacidad del equipo.</t>
  </si>
  <si>
    <t>Toda maniobra de izaje debe ser suspendida si las condiciones climáticas adversas impiden la operación segura del equipo o la correcta visibilidad y comunicación entre el operador y el rigger.</t>
  </si>
  <si>
    <t>a. El supervisor a cargo de la maniobra es responsable de evaluar las condiciones climáticas antes y durante el izaje, teniendo la autoridad para ordenar la detención inmediata de las tareas.</t>
  </si>
  <si>
    <t>b. La operación debe ser detenida en presencia de tormentas eléctricas, vientos que superen los límites de la tabla de carga, lluvia intensa, nieve o neblina densa que restrinja la visibilidad de la carga, del área de maniobra o las señales del rigger.</t>
  </si>
  <si>
    <t>c. El operador del equipo tiene la obligación de detener la maniobra si considera que las condiciones climáticas ponen en riesgo la seguridad, aun sin recibir una instrucción directa de la supervisión, debiendo informar inmediatamente su decisión.</t>
  </si>
  <si>
    <t>Las llaves para desbloquear o puentear los sistemas de seguridad de un equipo de izaje (limitadores de carrera, LMI, etc.) deben ser de uso restringido y custodiadas por la supervisión del área.</t>
  </si>
  <si>
    <t>a. El operador del equipo tiene prohibido mantener en su poder o utilizar la llave de desbloqueo de sistemas de seguridad para operar el equipo fuera de sus límites de diseño.</t>
  </si>
  <si>
    <t>b. El uso de la llave de desbloqueo solo será autorizado por el supervisor responsable del equipo y únicamente para fines de mantenimiento o para resolver una emergencia, dejando un registro documentado que justifique su uso.</t>
  </si>
  <si>
    <t>c. El personal de mantenimiento debe retirar la llave y devolverla a custodia de la supervisión inmediatamente después de finalizada la intervención que requirió su uso.</t>
  </si>
  <si>
    <t>Todos los aparejos y elementos de izaje deben ser inspeccionados formalmente con una frecuencia definida y ser marcados con el color del mes o período correspondiente para evidenciar su revisión.</t>
  </si>
  <si>
    <t>a. El supervisor del área debe asegurar que exista un programa de inspección periódica para todos los elementos de izaje, asignando un código de colores que se actualiza mensualmente o según la frecuencia que defina el área.</t>
  </si>
  <si>
    <t>b. El rigger, antes de utilizar un aparejo, debe verificar que este porte la cinta o marca del color correspondiente al período vigente, indicando que la inspección formal está al día.</t>
  </si>
  <si>
    <t>c. Está prohibido utilizar cualquier elemento de izaje que no cuente con el código de color vigente o que, a pesar de tenerlo, presente daños evidentes en la inspección pre-uso.</t>
  </si>
  <si>
    <t>Todos los puntos de aislamiento y bloqueo de energías de un equipo de izaje deben estar claramente identificados y señalizados, así como las zonas cercanas a líneas eléctricas aéreas.</t>
  </si>
  <si>
    <t>a. El personal de mantenimiento debe verificar que las fuentes de energía (eléctrica, hidráulica, neumática) del equipo estén señalizadas en terreno para facilitar su bloqueo seguro antes de una intervención.</t>
  </si>
  <si>
    <t>b. En maniobras cercanas a líneas eléctricas, el supervisor debe instalar señalización de advertencia visible que indique el peligro y la distancia mínima de seguridad que debe mantenerse entre el equipo y los conductores energizados.</t>
  </si>
  <si>
    <t>c. El operador y el rigger deben conocer la simbología de advertencia de peligro eléctrico y respetar las distancias de seguridad establecidas en el plan de izaje.</t>
  </si>
  <si>
    <t>Todos los equipos y máquinas deben contar con un sistema de parada de emergencia que cumpla con los criterios de diseño, instalación, funcionamiento y competencia del personal.</t>
  </si>
  <si>
    <t>a. El dispositivo de parada de emergencia debe estar claramente identificado y señalizado en el equipo, con su ubicación definida en planos, y contar con un instructivo de uso en español que asegure su accesibilidad y protección contra obstrucciones como barro o nieve.</t>
  </si>
  <si>
    <t>b. La operatividad del sistema debe ser asegurada mediante una inspección de pre-uso por parte del operador y su confiabilidad debe ser validada a través de un programa de mantenimiento preventivo que incluya pruebas de funcionamiento documentadas.</t>
  </si>
  <si>
    <t>c. El operador del equipo debe estar formalmente entrenado y ser evaluado en la ejecución práctica de la activación de la parada de emergencia durante una operación y en la correcta desactivación posterior.</t>
  </si>
  <si>
    <t>Su alcance comprende actividades tales como: Construcción, instalación, montaje, intervención, ajustes, inspección, mantención, reparación, pruebas, puesta en marcha, operación y modificaciones en herramientas, equipos, maquinaria, instalaciones y sistemas con presencia de estas energías.
Este riesgo aplica a todas aquellas energías que pudieran provocar un accidente grave o fatal, tales como:
• Potencial
• Mecánica
• Neumática
• Hidráulica
• Entre otras.</t>
  </si>
  <si>
    <t>Se excluyen de este Riesgo las siguientes energías:
• Energía Eléctrica
• Energía Cinética de Vehículos y Equipos
• Energía Química
• Energía Calórica
• Interacción Mecánica / Atrapamientos
• Tiro y Arrastre
• Explosivos
• Caída de Objetos y Personas
• Sistemas de Baja Energía (que no representen riesgo de accidentes graves y/o fatales)</t>
  </si>
  <si>
    <t>Identificación, aislación, bloqueo y verificación de energía cero</t>
  </si>
  <si>
    <t>Sistemas y elementos de contención de energía</t>
  </si>
  <si>
    <t>Dispositivos de protección y alivio de presión</t>
  </si>
  <si>
    <t>Segregación y control de acceso</t>
  </si>
  <si>
    <t xml:space="preserve">Mapa actualizado de líneas y sistemas presurizados </t>
  </si>
  <si>
    <t xml:space="preserve">Rotulación e identificación de líneas y componentes </t>
  </si>
  <si>
    <t xml:space="preserve">Dispositivos de drenaje y venteo manual </t>
  </si>
  <si>
    <t xml:space="preserve">Protecciones físicas adicionales en equipos </t>
  </si>
  <si>
    <t xml:space="preserve">Señalización física de zonas de trabajo. </t>
  </si>
  <si>
    <t>Dispositivos de protección contra sobrepresión secundarios</t>
  </si>
  <si>
    <t>Garantizar que toda intervención en equipos y sistemas se ejecute bajo una condición verificada de energía cero, asegurando la identificación, aislación, bloqueo y control de energias residuales para eliminar la liberación descontrolada de energía.</t>
  </si>
  <si>
    <t>Información Técnica y Diagramas Actualizados.</t>
  </si>
  <si>
    <t>Personal Capacitado para Aislación y Bloqueo.</t>
  </si>
  <si>
    <t>Dispositivos de Bloqueo Estandarizados.</t>
  </si>
  <si>
    <t>Verificación de Energía Cero en terreno.</t>
  </si>
  <si>
    <t>Solicitar o planos/manuales técnicos (mecánica/potencial) y verificar en terreno que los puntos de bloqueo y liberación de energía residual coinciden con la realidad. Semestral</t>
  </si>
  <si>
    <t>Solicitar competencias según perfil o descriptor de cargo y los registros de aprobación de capacitaciones para el personal que ejecuta tareas de aislación y bloqueo.</t>
  </si>
  <si>
    <t>Verificar en pañol y en terreno que los dispositivos de bloqueo (ej. bloqueadores de válvula) son los estandarizados y están en buen estado.</t>
  </si>
  <si>
    <t>Solicitar el procedimiento y verificar en terreno que se ejecuta la medición o comprobación de ausencia de energía antes de intervenir el equipo.</t>
  </si>
  <si>
    <t>Solicitar los permisos de trabajo y las tarjetas de bloqueo de una intervención reciente y verificar su correcto llenado y autorización.</t>
  </si>
  <si>
    <t>Garantizar que todo componente crítico de contención o retención de energía opere bajo sus especificaciones originales de diseño, asegurando su reemplazo oportuno ante el cumplimiento de su vida útil definida o cualquier evidencia de deterioro en su condición, para evitar fallas catastróficas.</t>
  </si>
  <si>
    <t>Certificación y Especificación de Componentes.</t>
  </si>
  <si>
    <t>Plan de Mantenimiento e Inspección.</t>
  </si>
  <si>
    <t>Criterios de Reemplazo (Vida Útil o Condición).</t>
  </si>
  <si>
    <t>Disponibilidad de Repuestos Críticos.</t>
  </si>
  <si>
    <t>Competencias del Mantenedor.</t>
  </si>
  <si>
    <t>Prohibición de Reparaciones Improvisadas.</t>
  </si>
  <si>
    <t>Verificar que los componentes críticos (mangueras, cables, frenos, acumuladores) instalados corresponden a las especificaciones originales del fabricante y cuentan con su certificación de calidad/origen.</t>
  </si>
  <si>
    <t>Solicitar el programa de mantenimiento y verificar los registros de inspección de los sistemas de energía, asegurando la detección de fatiga, desgaste o fugas.</t>
  </si>
  <si>
    <t>Solicitar la pauta técnica que define el momento de cambio (por fecha de vencimiento/horas o por criterio de rechazo técnico/condición) y verificar su cumplimiento.</t>
  </si>
  <si>
    <t>Verificar la disponibilidad de stock o componentes de recambio para elementos de seguridad, asegurando la continuidad operacional sin improvisaciones.</t>
  </si>
  <si>
    <t>Solicitar registros que definan y respalden las competencias del personal que inspecciona y reemplaza componentes críticos.</t>
  </si>
  <si>
    <t>Verificar en terreno la ausencia de reparaciones no estandarizadas ("parches", soldaduras hechizas, nudos) en elementos sometidos a presión o tensión.</t>
  </si>
  <si>
    <t>Garantizar la operatividad y vigencia de todos los dispositivos diseñados para limitar, aliviar o contener la energía crítica (válvulas de seguridad, limitadores de carrera, frenos de emergencia, celdas de carga), asegurando que se mantengan calibrados y protegidos contra intervenciones no autorizadas.</t>
  </si>
  <si>
    <t>Inventario de Dispositivos de Protección.</t>
  </si>
  <si>
    <t>Programa de Calibración y Certificación.</t>
  </si>
  <si>
    <t>Inspección de Instrumentos de Medición.</t>
  </si>
  <si>
    <t>Sellos de Seguridad Intactos.</t>
  </si>
  <si>
    <t>Prohibición de Modificación no Autorizada.</t>
  </si>
  <si>
    <t>Gestión de Fallas y Reparaciones.</t>
  </si>
  <si>
    <t>Solicitar los registros de mantenimiento correctivo y verificar que las reparaciones de estos dispositivos se realizan por personal capacitado.</t>
  </si>
  <si>
    <t>Procedimiento de Segregación para Pruebas.</t>
  </si>
  <si>
    <t>Comunicación Radial Previa.</t>
  </si>
  <si>
    <t>Verificación al Cumplimiento de Segregación.</t>
  </si>
  <si>
    <t>Verificar en terreno que el área de la prueba está aislada con barreras físicas efectivas (ej. biombos, barreras de concreto).</t>
  </si>
  <si>
    <t>Solicitar los informes de verificaciones o inspecciones al cumplimiento de la segregación en terreno.</t>
  </si>
  <si>
    <t>Garantizar una respuesta sistémica, inmediata y eficaz tras una liberación descontrolada de energías, integrando la comunicación, la brigada y la atención médica, para rescatar y atender a las personas afectadas en el menor tiempo posible.</t>
  </si>
  <si>
    <t>Brigada y Personal Médico Entrenados.</t>
  </si>
  <si>
    <t>Solicitar el plan de emergencia y verificar su instrucción a los trabajadores.</t>
  </si>
  <si>
    <t>Solicitar los registros de entrenamiento de la brigada y del personal de salud en manejo de lesiones por liberación descontrolada de energías.</t>
  </si>
  <si>
    <t>Solicitar el informe del último simulacro de liberación de liberación descontrolada de energía, verificando tiempos de respuesta y planes de acción.</t>
  </si>
  <si>
    <t>Todas las áreas operativas deben contar con diagramas o planos (P&amp;ID) actualizados y disponibles, que identifiquen la totalidad de los sistemas, líneas y equipos que operan con energía hidráulica o neumática a presiones mayores o iguales a 6 bares.</t>
  </si>
  <si>
    <t>a. El supervisor del área es responsable de asegurar que los diagramas de sus sistemas presurizados se encuentren en su última versión, reflejando fielmente la instalación en terreno, incluyendo todas las modificaciones.</t>
  </si>
  <si>
    <t>b. Antes de planificar cualquier intervención, el supervisor y el personal ejecutor deben consultar los diagramas para identificar correctamente las líneas, los puntos de aislación, las válvulas de venteo y otras fuentes de energía.</t>
  </si>
  <si>
    <t>c. Los diagramas deben estar disponibles en formato físico o digital en puntos de consulta accesibles para todo el personal del área, como salas de control, oficinas de supervisión o pañoles de mantenimiento.</t>
  </si>
  <si>
    <t>Todas las líneas, cañerías, mangueras y componentes críticos de los sistemas hidráulicos y neumáticos deben estar claramente identificados en terreno mediante rotulación física estandarizada.</t>
  </si>
  <si>
    <t>a. La rotulación debe indicar, como mínimo, el nombre o código del fluido, la dirección del flujo y la presión nominal de operación del sistema, utilizando el código de colores y la simbología definidos por la compañía.</t>
  </si>
  <si>
    <t>b. El personal de mantenimiento, durante sus inspecciones, debe verificar que la rotulación se encuentre presente, legible y en buen estado, gestionando su reposición en caso de deterioro o ausencia.</t>
  </si>
  <si>
    <t>c. El personal ejecutor debe usar la rotulación en terreno como una herramienta de verificación para confirmar que la línea o equipo a intervenir coincide con la identificada en los diagramas y en la orden de trabajo.</t>
  </si>
  <si>
    <t>Los sistemas presurizados deben contar con dispositivos de drenaje y venteo instalados en puntos estratégicos que permitan la despresurización manual y segura del sistema antes de una intervención.</t>
  </si>
  <si>
    <t>a. El personal de mantenimiento debe verificar la operatividad de las válvulas de venteo y drenaje durante las inspecciones programadas, asegurando que no estén obstruidas, dañadas o presenten fugas.</t>
  </si>
  <si>
    <t>b. El procedimiento de aislación y bloqueo debe incluir explícitamente la apertura de estas válvulas como paso obligatorio para la verificación de energía cero, después de haber cerrado la fuente de energía principal.</t>
  </si>
  <si>
    <t>c. Los puntos de drenaje deben estar diseñados para dirigir el fluido de manera controlada hacia un contenedor o sistema de recolección, evitando derrames o la proyección directa hacia personas o equipos.</t>
  </si>
  <si>
    <t>Los equipos y componentes que contengan energía hidráulica o neumática a alta presión deben contar con protecciones físicas, como guardas o cubiertas, para contener la energía en caso de una falla súbita de un componente.</t>
  </si>
  <si>
    <t>a. El personal de mantenimiento debe asegurar que todas las protecciones físicas asociadas a sistemas presurizados estén correctamente instaladas, en buen estado y sin modificaciones no autorizadas.</t>
  </si>
  <si>
    <t>b. Está prohibido operar equipos o sistemas si sus guardas o cubiertas de protección han sido removidas o se encuentran dañadas.</t>
  </si>
  <si>
    <t>c. El personal que interviene un equipo debe reinstalar todas las protecciones físicas inmediatamente después de finalizar los trabajos de mantenimiento o reparación y antes de volver a energizar el sistema.</t>
  </si>
  <si>
    <t>Toda área donde se realicen trabajos de intervención en sistemas con posible liberación de energía, debe ser delimitada y señalizada físicamente para advertir del peligro y restringir el acceso a personal no autorizado.</t>
  </si>
  <si>
    <t>a. El supervisor a cargo de la tarea es responsable de instalar barreras físicas (barreras duras, conos con cadenas) y señalización de advertencia antes de iniciar cualquier trabajo que implique abrir o intervenir un sistema presurizado.</t>
  </si>
  <si>
    <t>b. La señalización debe indicar claramente el tipo de trabajo que se está realizando, el riesgo de liberación de energía y el nombre del responsable de la tarea a quien contactar para autorizar el ingreso.</t>
  </si>
  <si>
    <t>c. La segregación debe permanecer instalada durante todo el tiempo que dure la intervención y solo podrá ser retirada por el personal a cargo una vez que el sistema haya sido normalizado y se encuentre en condición segura.</t>
  </si>
  <si>
    <t>Los sistemas hidráulicos y neumáticos deben contar con dispositivos secundarios de alivio de presión, como válvulas de seguridad o discos de ruptura, para actuar en caso de que el sistema de control principal falle y la presión exceda el límite de diseño.</t>
  </si>
  <si>
    <t>a. El especialista de mantenimiento debe verificar que estos dispositivos estén instalados, calibrados a la presión correcta y con su sello de certificación vigente, según lo especificado en las fichas técnicas y el plan de mantenimiento.</t>
  </si>
  <si>
    <t>c. La descarga de estos dispositivos debe estar orientada hacia una zona segura, donde una activación inesperada no proyecte fluidos o energía hacia personas, pasillos de tránsito o equipos críticos.</t>
  </si>
  <si>
    <t>RIESGOS DE FATALIDAD (BOWTIE) APLICABLES</t>
  </si>
  <si>
    <t>RIESGOS DE FATALIDAD (BOWTIE) "NO" APLICABLES</t>
  </si>
  <si>
    <t>LISTADO DE AUTODIAGNÓSTICO RIESGO DE FATALIDAD N°05: CAÍDA DE ROCAS EN MINA RAJO</t>
  </si>
  <si>
    <t>MODELO Y MONITOREO GEOTÉCNICO DE ESTABILIDAD DE TALUDES Y BANCOS</t>
  </si>
  <si>
    <t>Anticipar y controlar la inestabilidad de taludes y bancos, asegurando que el diseño minero se base en un modelo geotécnico válido y que la monitoreo continua de las
zonas de riesgo permita tomar decisiones operacionales oportunas para prevenir la
caída de rocas</t>
  </si>
  <si>
    <t>Solicitar el modelo geotécnico y verificar el registro de
sus últimas actualizaciones con data de mapeo y sondajes.</t>
  </si>
  <si>
    <t xml:space="preserve"> Bases Geotécnicas para Diseño Vigentes.</t>
  </si>
  <si>
    <t>Solicitar el informe de bases geotécnicas para el
diseño actual del rajo, verificando el cumplimiento de
los criterios de aceptabilidad.</t>
  </si>
  <si>
    <t>Solicitar el mapa de riesgos geotécnicos del turno y
verificar su actualización y los registros de difusión al
personal.</t>
  </si>
  <si>
    <t xml:space="preserve"> Monitoreo Continuo Geotécnico</t>
  </si>
  <si>
    <t>Solicitar reportes de disponibilidad del monitoreo geotécnico y verificar en la sala de control que están en línea y vigilando zonas críticas.</t>
  </si>
  <si>
    <t xml:space="preserve"> Gestión de Alertas de Monitoreo.</t>
  </si>
  <si>
    <t>Solicitar el protocolo de gestión de alertas y los registros de las últimas alertas, verificando su correcta gestión.</t>
  </si>
  <si>
    <t xml:space="preserve"> Evaluación Geométrica (Sistema Full Control).</t>
  </si>
  <si>
    <t>Solicitar los reportes del sistema de evaluación de talud (Full Control) para verificar la conciliación geométrica de los bancos</t>
  </si>
  <si>
    <t xml:space="preserve"> Personal Especialista Competente.</t>
  </si>
  <si>
    <t>Solicitar el listado de competencias según perfil o descriptor del cargo y documentos que respalden su
cumplimiento, para el personal que interpreta los datos geotécnicos y toma decisiones 24/7.</t>
  </si>
  <si>
    <t>SANEAMIENTO Y LIMPIEZA DE BERMAS Y TALUDES</t>
  </si>
  <si>
    <t>Mantener los bancos y taludes en condiciones de diseño, asegurando que el saneamiento y limpieza sistemática eliminen el material suelto o colgado para
prevenir la caída de rocas</t>
  </si>
  <si>
    <t>Plan de Saneamiento Sistemático.</t>
  </si>
  <si>
    <t>Solicitar el programa de saneamiento de taludes y los registros que demuestren su cumplimiento</t>
  </si>
  <si>
    <t>ProcedimientoOperacional de Saneamiento</t>
  </si>
  <si>
    <t>Solicitar el procedimiento de trabajo seguro para saneamiento y verificar su aplicación en terreno</t>
  </si>
  <si>
    <t xml:space="preserve"> Personal Capacitado para Saneamiento.</t>
  </si>
  <si>
    <t>Solicitar registros de curso del riesgo de fatalidad e instrucción del procedimiento de saneamiento y respaldos de la experiencia del personal y supervisores a cargo</t>
  </si>
  <si>
    <t>Uso de Equipos Adecuados.</t>
  </si>
  <si>
    <t>Verificar en terreno que los equipos utilizados para el saneamiento son los definidos en el estándar para esa tarea.</t>
  </si>
  <si>
    <t xml:space="preserve"> Inspección Geotécnica Post-Saneamiento</t>
  </si>
  <si>
    <t>Por Evento</t>
  </si>
  <si>
    <t>Solicitar el informe o registro de la inspección geotécnica que valida la efectividad del saneamiento realizado</t>
  </si>
  <si>
    <t xml:space="preserve"> Protocolo de Recepción Conforme de Área</t>
  </si>
  <si>
    <t>Solicitar el registro de "recepción conforme"del área saneada, firmado por la supervisión antes de reanudar las operaciones.</t>
  </si>
  <si>
    <t>CONTROL TOPOGRÁFICO Y
DRENAJE</t>
  </si>
  <si>
    <t>Controlar la geometría de las frentes de carguío y gestionar los afloramientos de agua,
para prevenir la formación de material colgado y la inestabilidad del talud inducida por la presencia de agua</t>
  </si>
  <si>
    <t>Estándar de Altura de Frente de Carguío.</t>
  </si>
  <si>
    <t>Solicitar el estándar que define la altura máxima de la
frente de carguío según el tipo de equipo y material.</t>
  </si>
  <si>
    <t>Monitoreo Topográfico de Frentes</t>
  </si>
  <si>
    <t>Solicitar informes de medición topográfica que verifiquen el cumplimiento de la altura y geometría de las frentes de carguío</t>
  </si>
  <si>
    <t>Procedimiento de Rebaje de Altura.</t>
  </si>
  <si>
    <t>Solicitar el procedimiento para rebajar frentes fuera
de estándar y los registros de su ejecución.</t>
  </si>
  <si>
    <t>Mapa de Afloramientos de Agua.</t>
  </si>
  <si>
    <t>Solicitar el mapa que identifica los puntos de afloramiento de agua en bancos y verificar su actualización</t>
  </si>
  <si>
    <t>Plan de Gestión de Drenajes</t>
  </si>
  <si>
    <t>Solicitar el plan de acción y los registros de ejecución para la canalización o drenaje de los afloramientos identificados.</t>
  </si>
  <si>
    <t xml:space="preserve"> Competencias del Personal</t>
  </si>
  <si>
    <t>Solicitar y verificar las competencias del perfil o descriptor del cargo del personal que realiza mediciones topográficas y gestión de drenajes.</t>
  </si>
  <si>
    <t>ISEGREGACIÓN FÍSICA Y
CONTENCIÓN ESTRUCTURAL</t>
  </si>
  <si>
    <t>Contener la caída de rocas y restringir el acceso a zonas de riesgo, mediante la instalación de sistemas de contención (mallas, pretiles) y la implementación de barreras físicas para proteger a las personas y equipos expuestos.</t>
  </si>
  <si>
    <t>Diseño Geotécnico de Sistemas de
Contención</t>
  </si>
  <si>
    <t>Solicitar el diseño o estándar técnico para pretiles, mallas u otras barreras, verificando su aprobación por Geotecnia.</t>
  </si>
  <si>
    <t>Implementación y Mantención de Contención</t>
  </si>
  <si>
    <t>Solicitar informes de inspección topográfica y visual que verifiquen el cumplimiento de la geometría y estado de los pretiles y mallas.</t>
  </si>
  <si>
    <t xml:space="preserve"> Mapa de Zonas de Riesgo Actualizado.</t>
  </si>
  <si>
    <t>Solicitar el mapa de riesgo geotécnico del turno y verificar la clara identificación de zonas que requieren segregación</t>
  </si>
  <si>
    <t xml:space="preserve"> Implementación de Barreras Físicas (Duras).</t>
  </si>
  <si>
    <t>Verificar en terreno que las zonas de alto riesgo están aisladas con barreras físicas efectivas según estándar.</t>
  </si>
  <si>
    <t>Protocolo de Control de Acceso Formal</t>
  </si>
  <si>
    <t xml:space="preserve">Trimestral </t>
  </si>
  <si>
    <t>Solicitar el procedimiento de autorización de ingreso a áreas restringidas y revisar los registros de permisos emitidos</t>
  </si>
  <si>
    <t>Verificación alCumplimiento de contención y segregación</t>
  </si>
  <si>
    <t>Solicitar los informes de inspección que verifiquen el cumplimiento de la contención y segregación en terreno.</t>
  </si>
  <si>
    <t>CAPACIDAD DE RESPUESTA ANTE
EMERGENCIA</t>
  </si>
  <si>
    <t>Garantizar una respuesta sistémica, inmediata y eficaz tras un deslizamiento o caída de rocas, integrando la alarma, la evacuación, la brigada de rescate y la atención médica, para rescatar y atender a las personas afectadas en el menor tiempo posible.</t>
  </si>
  <si>
    <t>Plan de Emergencia Específico para Deslizamientos.</t>
  </si>
  <si>
    <t>Solicitar el plan de emergencia y verificar su actualización, incluyendo protocolos de alarma, evacuación y rescate.</t>
  </si>
  <si>
    <t xml:space="preserve"> Brigada de Rescate Entrenada</t>
  </si>
  <si>
    <t>Solicitar los registros de entrenamiento de los integrantes de la brigada en rescate en taludes.</t>
  </si>
  <si>
    <t>Equipamiento de Rescate y Atención
Médica Operativo.</t>
  </si>
  <si>
    <t>Solicitar los registros de inspección mensual de los equipos de rescate (ambulancia, equipos y herramientas especializadas).</t>
  </si>
  <si>
    <t>Sistema de Alarma yComunicación Funcional.</t>
  </si>
  <si>
    <t>Solicitar registros de pruebas funcionales de los sistemas de alarma y de los canales de comunicación de emergencia</t>
  </si>
  <si>
    <t>Solicitar el informe del último simulacro de deslizamiento, verificando tiempos de respuesta y planes de acción de las brechas.</t>
  </si>
  <si>
    <t>Personal Capacitado en el Plan de
Emergencia.</t>
  </si>
  <si>
    <t xml:space="preserve">trimestral </t>
  </si>
  <si>
    <t>Verificar que el personal ha sido instruido en el plan de emergencia y conoce el protocolo de aviso y las rutas de evacuación.</t>
  </si>
  <si>
    <t xml:space="preserve"> MONITOREO DE SECTORES DETENIDOS / SIN OPERACIÓN</t>
  </si>
  <si>
    <t>Toda área de la mina que haya estado inactiva o sin operaciones por un período prolongado debe ser formalmente evaluada por personal especialista antes de autorizar el reingreso y el reinicio de los trabajos.</t>
  </si>
  <si>
    <t>El supervisor del área es responsable deasegurar que los accesos a sectores detenidos se encuentren físicamente bloqueados con pretiles o barreras y debidamente señalizados, prohibiendo el ingreso no autorizado.</t>
  </si>
  <si>
    <t>c. La reanudación de las operaciones solo podrá ser autorizada por el dueño del área una vez que todas las recomendaciones emitidas en el informe geotécnico hayan sido implementadas y verificadas en terreno.</t>
  </si>
  <si>
    <t>LISTADO DE AUTODIAGNÓSTICO RIESGO DE FATALIDAD N°06: INCENDIO</t>
  </si>
  <si>
    <t>Este documento aplica al riesgo de fatalidad de Incendio, presente en los distintos centros de
trabajo, plantas de proceso, minas (rajo y subterránea) y proyectos. 
Cubre actividades tales como la ejecución de trabajos en caliente (oxicorte, soldadura, corte, desbaste, plasma); el almacenamiento y manipulación de materiales inflamables y combustibles,considerando su separación e incompatibilidades; 
la intervención en sistemas eléctricos y sus protecciones (sobretensión y sobrecorriente) en equipos e instalaciones; el uso de equipos con superficies de alta fricción susceptibles de generar aumentos de temperatura  y el mantenimiento 
de equipos y componentes críticos con potencial de generar temperatura de ignición.</t>
  </si>
  <si>
    <r>
      <t xml:space="preserve">Se excluyen del Riesgo de Fatalidad:
</t>
    </r>
    <r>
      <rPr>
        <sz val="12"/>
        <color rgb="FF004E52"/>
        <rFont val="Calibri"/>
        <family val="2"/>
      </rPr>
      <t>•</t>
    </r>
    <r>
      <rPr>
        <sz val="12"/>
        <color rgb="FF004E52"/>
        <rFont val="Calibri"/>
        <family val="2"/>
        <scheme val="minor"/>
      </rPr>
      <t>Manipulación y manejo de explosivos
•Actividades de tronadura
•Piromanía</t>
    </r>
  </si>
  <si>
    <t>MAPEO DE ÁREAS CRÍTICAS Y GESTIÓN DE MATERIALES COMBUSTIBLES E INFLAMABLES</t>
  </si>
  <si>
    <t xml:space="preserve">Establecer las zonas, áreas e instalaciones más susceptibles a la generación de un incendio, asegurando que la organización y el personal las conozcan. 
Prevenir incendios controlando el combustible, asegurando que todos los materiales inflamables y combustibles sean almacenados en lugares autorizados, segregados según su compatibilidad, y manipulados de acuerdo a procedimientos para evitar su
contacto con fuentes de ignición.
         </t>
  </si>
  <si>
    <t xml:space="preserve"> Mapa de Áreas Críticas de Riesgo de Incendio</t>
  </si>
  <si>
    <t>Verificar que el proceso para identificar y mapear áreas críticas esté documentado, actualizado y difundido. En terreno verificar que los mapas son visibles y conocidos por el personal.</t>
  </si>
  <si>
    <t>Procedimiento de Almacenamiento y Segregación.</t>
  </si>
  <si>
    <t>Solicitar el procedimiento que define los requisitos para bodegas y zonas de almacenamiento (ventilación, contención, señalización).</t>
  </si>
  <si>
    <t>Matriz de Incompatibilidad Química Aplicada.</t>
  </si>
  <si>
    <t>Inventario y Cantidades Máximas Controladas.</t>
  </si>
  <si>
    <t>Procedimientos de Manipulación y Derrame.</t>
  </si>
  <si>
    <t>CONTROL DE TRABAJOS EN
CALIENTE</t>
  </si>
  <si>
    <t>Prevenir la ignición de materiales por trabajos que generan calor o chispas, tales
como soldadura, oxicorte, corte, desbaste y plasma, asegurando que toda tarea cuente con un permiso formal, el área esté segregada y libre de combustibles, y se mantenga una vigilancia continua</t>
  </si>
  <si>
    <t>Procedimiento de Trabajo en Caliente.</t>
  </si>
  <si>
    <t>Solicitar el procedimiento vigente que define los requisitos para la planificación, autorización y ejecución de trabajos en caliente</t>
  </si>
  <si>
    <t>Permiso de Trabajo en Caliente (PTC)</t>
  </si>
  <si>
    <t>Solicitar el PTC de una tarea en ejecución o recién terminada, verificando su correcto llenado, firmas y autorización.</t>
  </si>
  <si>
    <t xml:space="preserve"> Inspección y Segregación del Área.</t>
  </si>
  <si>
    <t>Verificar en terreno que el área del trabajo en caliente está limpia de combustibles y segregada físicamente (biombos, mantas).</t>
  </si>
  <si>
    <t>Asignación de Vigía de Fuego</t>
  </si>
  <si>
    <t>Verificar en el PTC o en terreno que se ha designado un vigía de fuego exclusivo para la tarea y que permanece el tiempo requerido.</t>
  </si>
  <si>
    <t xml:space="preserve"> Equipos de Extinción Disponibles.</t>
  </si>
  <si>
    <t>Verificar en terreno la existencia de un extintor operativo y apropiado en el punto de trabajo en caliente</t>
  </si>
  <si>
    <t xml:space="preserve"> Personal Capacitado</t>
  </si>
  <si>
    <t>SISTEMAS DE PROTECCIÓN
CONTRA FUENTES DE IGNICIÓN</t>
  </si>
  <si>
    <t>Prevenir la ignición de materiales por fallas de equipos, asegurando que los sistemas
eléctricos cuenten con protecciones certificadas y operativas, y que se monitoree la temperatura de componentes mecánicos críticos para detectar sobrecalentamientos antes de que generen un incendio.</t>
  </si>
  <si>
    <t>Protecciones Eléctricas Certificadas y Operativas.</t>
  </si>
  <si>
    <t>Solicitar los registros de pruebas y certificación de las protecciones de sobrecarga y cortocircuito de equipos críticos.</t>
  </si>
  <si>
    <t>Programa de Inspección Termográfica.</t>
  </si>
  <si>
    <t>Solicitar el programa de termografía y los informes de las últimas inspecciones a tableros eléctricos y equipos mecánicos.</t>
  </si>
  <si>
    <t>Gestión de Hallazgos Termográficos.</t>
  </si>
  <si>
    <t>Solicitar los planes de acción derivados de los informes de termografía y verificar el cierre de las anomalías detectadas</t>
  </si>
  <si>
    <t>Integridad de Cables e Instalaciones Eléctricas.</t>
  </si>
  <si>
    <t>Solicitar los registros de inspección planeada que verifiquen el buen estado de cables, canalizaciones y tableros eléctricos</t>
  </si>
  <si>
    <t>Sistemas de Detección de Temperatura
Operativos.</t>
  </si>
  <si>
    <t>Verificar en terreno o en sala de control que los sensores de temperatura de equipos críticos (correas, motores) están en línea y funcionando.</t>
  </si>
  <si>
    <t>Mantenimiento Preventivo de Componentes Mecánicos.</t>
  </si>
  <si>
    <t>Solicitar el programa de mantenimiento y los registros de ejecución para componentes con riesgo de sobrecalentamiento por fricción.</t>
  </si>
  <si>
    <t>SISTEMAS DE DETECCIÓN Y
EXTINCIÓN DE INCENDIOS</t>
  </si>
  <si>
    <t>Detectar un incendio en su fase inicial y controlarlo o extinguirlo antes de que se propague, mediante sistemas de detección automática, equipos de supresión fijos y la disponibilidad de equipos de extinción portátiles operativos y de fácil acceso.</t>
  </si>
  <si>
    <t>Programa de Inspección y Mantenimiento (PIM)</t>
  </si>
  <si>
    <t>Solicitar el PIM para todos los sistemas contra incendios y los registros que evidencien su cumplimiento.</t>
  </si>
  <si>
    <t xml:space="preserve"> Sistemas de Detección Automática Operativos.</t>
  </si>
  <si>
    <t>Solicitar los informes de las últimas pruebas funcionales realizadas a los sistemas de detección de humo, calor o llama.</t>
  </si>
  <si>
    <t xml:space="preserve"> Sistemas de Supresión Automática Operativos</t>
  </si>
  <si>
    <t>Solicitar los certificados de inspección y mantenimiento de los sistemas de supresión de equipos móviles y salas críticas.</t>
  </si>
  <si>
    <t>Extintores Portátiles Inspeccionados y
Certificados.</t>
  </si>
  <si>
    <t>Verificar en terreno que los extintores tienen su sello de inspección mensual y su certificación anual vigente, y están libres de obstrucción.</t>
  </si>
  <si>
    <t xml:space="preserve"> Redes Húmedas y Gabinetes Operativos.</t>
  </si>
  <si>
    <t>Solicitar los registros de inspección y pruebas de caudal/presión de las redes húmedas y el estado de sus gabinetes.</t>
  </si>
  <si>
    <t xml:space="preserve"> Personal Capacitado en Uso de Extintores</t>
  </si>
  <si>
    <t>Solicitar los registros de capacitación del personal
en el uso de extintores portátiles.</t>
  </si>
  <si>
    <t>CAPACIDAD DE RESPUESTA ANTE
EMERGENCIAS</t>
  </si>
  <si>
    <t>Garantizar una respuesta sistémica, inmediata y eficaz ante un incendio, integrando la comunicación, la brigada de emergencia y la atención médica, para controlar el fuego, evacuar al personal y atender a los lesionados en el menor
tiempo posible.</t>
  </si>
  <si>
    <t>Plan de Emergencia Específico para
Incendios.</t>
  </si>
  <si>
    <t>Solicitar el plan de emergencia y verificar su actualización, incluyendo roles, protocolos de comunicación y evacuación</t>
  </si>
  <si>
    <t xml:space="preserve"> Brigada de Emergencia Entrenada.</t>
  </si>
  <si>
    <t>Solicitar los registros de entrenamiento de los
integrantes de la brigada</t>
  </si>
  <si>
    <t>Equipamiento de Brigada y Rescate
Operativo</t>
  </si>
  <si>
    <t>Solicitar los registros de inspección mensual de los
equipos de la brigada (trajes, ERA, herramientas, carro
bomba)</t>
  </si>
  <si>
    <t>Sistemas de Alarma y Comunicación
Funcionales.</t>
  </si>
  <si>
    <t>Solicitar registros de pruebas funcionales de los
sistemas de alarma y de los canales de comunicación
de emergencia.</t>
  </si>
  <si>
    <t>Simulacros Específico Realizados y
Evaluados.</t>
  </si>
  <si>
    <t>Solicitar el informe del último simulacro de incendio,
verificando tiempos de respuesta, evacuación y planes
de acción</t>
  </si>
  <si>
    <t>Vías de Evacuación Despejadas y
Señalizadas</t>
  </si>
  <si>
    <t>Realizar inspecciones en terreno para verificar que las
rutas de evacuación, salidas y puntos de encuentro
están despejados.</t>
  </si>
  <si>
    <t xml:space="preserve">ZONAS DESIGNADAS PARA FUMAR </t>
  </si>
  <si>
    <t>SISTEMA DE REFRIGERACIÓN DE EQUIPOS</t>
  </si>
  <si>
    <t>Los equipos y componentes críticos que generan altas temperaturas por su funcionamiento deben contar con sistemas de refrigeración operativos y mantenidos según las especificaciones del fabricante.</t>
  </si>
  <si>
    <t>b. El operador del equipo debe verificar diariamente en la inspección pre-operacional el estado y funcionamiento de los sistemas de refrigeración, y monitorear los indicadores de temperatura durante la operación.</t>
  </si>
  <si>
    <t>ENCLAVAMIENTO DE SISTEMAS DE AIRE ACONDICIONADO EN SALAS ELÉCTRICAS</t>
  </si>
  <si>
    <t>Los sistemas de ventilación y aire acondicionado (HVAC) de las salas eléctricas deben estar enclavados con los sistemas de detección de incendios para cortar automáticamente el suministro de aire en caso de amago.</t>
  </si>
  <si>
    <t>b. La lógica de control del enclavamiento debe estar documentada en los planos eléctricos y de control de la sala, y cualquier modificación debe ser gestionada a través del protocolo de gestión de cambio.</t>
  </si>
  <si>
    <t>PROTECCIONES PARA MANGUERAS HIDRÁULICAS</t>
  </si>
  <si>
    <t>a. El personal de mantenimiento debe asegurar que las mangueras hidráulicas estén instaladas con sus revestimientos protectores (ej. fundas ignífugas, espirales plásticos) en todos los tramos expuestos a roce, abrasión o cercanía a fuentes de calor como escapes o motores.</t>
  </si>
  <si>
    <t>b. Durante las inspecciones de los equipos, el operador debe verificar visualmente que las protecciones de las mangueras estén en su lugar, sin daños, y que no existan mangueras rozando con partes móviles o estructurales.</t>
  </si>
  <si>
    <t>c. Se prohíbe operar equipos con mangueras hidráulicas desprotegidas o dañadas. Cualquier condición de riesgo debe ser reportada para su reparación inmediata.</t>
  </si>
  <si>
    <t>ZANJAS CORTA FUEGO</t>
  </si>
  <si>
    <t>Se deben construir y mantener zanjas o franjas libres de vegetación y material combustible alrededor de instalaciones críticas o en áreas con alta carga de fuego para actuar como barrera de contención y dificultar la propagación de un incendio.</t>
  </si>
  <si>
    <t>a. El supervisor del área es responsable de definir, según el mapa de riesgos, la ubicación y dimensiones de las zanjas cortafuego, asegurando que su diseño sea el adecuado para la topografía y la carga combustible del sector.</t>
  </si>
  <si>
    <t>b. Se debe ejecutar un programa de mantenimiento periódico para asegurar que las zanjas cortafuego permanezcan despejadas, sin acumulación de vegetación seca, basura u otro material combustible que pueda comprometer su efectividad.</t>
  </si>
  <si>
    <t xml:space="preserve"> VÍAS DE EVACUACIÓN Y SALIDAS DE EMERGENCIA DESPEJADAS Y SEÑALIZADAS</t>
  </si>
  <si>
    <t>a. El supervisor de cada área es responsable de asegurar que las vías de evacuación y las salidas de emergencia se mantengan libres de cualquier tipo de obstrucción, como materiales, equipos o mobiliario.</t>
  </si>
  <si>
    <t>b. La señalización de las rutas de escape y salidas de emergencia debe ser visible, estar en buen estado y cumplir con la normativa de colores y simbología,  incluyendo iluminación emergencia en caso de corte de energía.</t>
  </si>
  <si>
    <t>c. Se deben realizar inspecciones periódicas documentadas para verificar la condición de las vías de evacuación, las salidas de emergencia y su señalética, gestionando la corrección inmediata de cualquier desviación.</t>
  </si>
  <si>
    <t>LISTADO DE AUTODIAGNÓSTICO RIESGO DE FATALIDAD N°07: SUSTANCIAS PELIGROSAS</t>
  </si>
  <si>
    <t>Aplica para todas las divisiones y empresas contratistas, las cuales, dentro de sus procesos operativos, existan actividades/tareas con interacción del personal en la carga/descarga, transporte, almacenamiento, muestreo y dosificación, asi como el uso/manipulación de sustancias químicas peligrosas.
Se incluyen sustancias químicas peligrosas y sus derivados en los procesos de transporte, almacenamiento, utilización o generación a granel, a presión atmosférica o contenedores presurizados, pudiendo ser estas inflamables, corrosivas, asfixiantes, tóxicas y/o comburentes como:
•Sulfhidrato de socio NASH
•Cloro - Gas Cloro (Cl₂g)
•Ácido Clorhídrico
•Ácido Sulfúrico - Ácido Sulfhídrico
•Peróxido de Hidrógeno
•Hidróxido de Sodio
•Ácido Nítrico
•Nitrógeno
•Óxido de calcio (Cal viva)
•Dióxido de Carbono CO₂ (Líquido criogénico)
•Sustancias Inflamables.
•Sustancias Corrosivas.
Sustancias Toxicas 
Sustancias envasadas en bodegas, almacenamientos menores o áreas de procesos Las sustancias que no aparezcan en el listado anterior requieren de un análisis para evaluar la necesidad de crear un nuevo Control Crítico Específico.
No se permiten almacenamientos irregulares o almacenamientos “temporales” en areas de proceso que no cumplan con los requisitos definidos en presente riesgo de fatalidad.
En el caso de las sustancias intermedias no aisladas de los procesos, deberan cumplir con los controles CCP1 y CCP2, de tal manera de asegurar el que las actividades con estas sustancias cumplan con la señalización y otros controles básicos, para evitar desviaciones en su manipulación.</t>
  </si>
  <si>
    <r>
      <t xml:space="preserve">Sustancias Químicas NO peligrosas
</t>
    </r>
    <r>
      <rPr>
        <sz val="12"/>
        <color rgb="FF004E52"/>
        <rFont val="Calibri"/>
        <family val="2"/>
      </rPr>
      <t>•</t>
    </r>
    <r>
      <rPr>
        <sz val="12"/>
        <color rgb="FF004E52"/>
        <rFont val="Calibri"/>
        <family val="2"/>
        <scheme val="minor"/>
      </rPr>
      <t>Residuos Peligrosos
•Sustancias biológicas 
•Sustancias explosivas reguladas en el RF08.</t>
    </r>
  </si>
  <si>
    <t>DISEÑO, OPERACIÓN Y SEÑALIZACIÓN EN PROCESOS DE MANEJO Y ALMACENAMIENTO DE SUSTANCIAS QUÍMICAS PELIGROSAS</t>
  </si>
  <si>
    <t>Diseño original y posibles modificaciones.</t>
  </si>
  <si>
    <t>Cada 2 años</t>
  </si>
  <si>
    <t>Solicitar evidencias del diseño de instalaciones y componentes (sistemas de bombeo, materialidades,
sensores, etc.) y manual de funcionamiento. Protocolos y/o metodologías para analizar y documentar cambios en el diseño. No se permiten almacenamientos irregulares o
almacenamientos “temporales” en áreas de proceso que no cumplan con los requisitos</t>
  </si>
  <si>
    <t>Segregación por Incompatibilidad Química.</t>
  </si>
  <si>
    <t>Solicitar documento de análisis de compatibilidad de
sustancias almacenadas/ transportadas.</t>
  </si>
  <si>
    <t>Señalización y rotulación</t>
  </si>
  <si>
    <t>Verificar que el transporte, almacenamientos, zonas de
carga/descarga, líneas de transporte y puntos de
dosificación están señalizadas o demarcadas de acuerdo a
normativa aplicada vigente y/o estándares internos. Las
sustancias envasadas reguladas por el DS. 57 deben estar
etiquetadas.</t>
  </si>
  <si>
    <t>Contención Secundaria operativa.</t>
  </si>
  <si>
    <t>Solicitar documento con estudio de volumetria del pretil y
los registros de inspección que verifican la integridad y
estanqueidad del sistema de contención.</t>
  </si>
  <si>
    <t>Equipamiento para la detección</t>
  </si>
  <si>
    <t>Solicitar plan, registros de mantenimiento, calibración y
pruebas funcionales de equipamientos para la detección
temprana de eventos con sustancias químicas en áreas,
procesos y/o instalaciones</t>
  </si>
  <si>
    <t>Control de Acceso Restringido</t>
  </si>
  <si>
    <t>Verificar que instalación de almacenamiento y procesos consustancias peligrosas cuenten con un sistema de acceso restringido</t>
  </si>
  <si>
    <t>Control de tareas críticas</t>
  </si>
  <si>
    <t>Todas aquellas tareas consideradas como críticas, de acuerdo a Reglamento Corporativo de Sustancias químicas,
deberán contar con lo siguientes requisitos:
Procedimiento o instructivo específico. Check list de aplicación del procedimiento o instructivo con firma del supervisor y trabajador.
Asignación de Supervisión permanente.</t>
  </si>
  <si>
    <t>Kits de emergencia específicos disponibles</t>
  </si>
  <si>
    <t>Inspección visual de kits en terreno, registros de inspección de contenido y chequeo de fechas de vencimiento de insumos.</t>
  </si>
  <si>
    <t>COMPETENCIAS PARA MANIPULACIÓN SEGURA DE SUSTANCIAS PELIGROSAS</t>
  </si>
  <si>
    <t>Planes de Capacitación por Roles</t>
  </si>
  <si>
    <t>Solicitar los planes de capacitación de acuerdo a roles y sus respectivos registros de capacitación, considerando a lo menos el curso del riesgo de fatalidad y requisitos legales</t>
  </si>
  <si>
    <t>HDS Disponible en Punto de Uso</t>
  </si>
  <si>
    <t>Verificar en terreno que las Hojas de Datos de Seguridad (HDS) de las sustancias en uso estan disponible y accesibles (papel y/o digital) y los trabajadores han recibido instrucción de éstas</t>
  </si>
  <si>
    <t>Procedimientos específicos vigentes y
difundidos.</t>
  </si>
  <si>
    <t>Solicitar el procedimiento para una tarea específica (ej. trasvasije) y verificar que está actualizado, difundido y los trabajadores han recibido instrucción de éstas.</t>
  </si>
  <si>
    <t xml:space="preserve"> Actuación ante emergencias</t>
  </si>
  <si>
    <t>Solicitar registros de instrucción a trabajadores de los Planes de emergencias específicos de las sustancias peligrosas del área.</t>
  </si>
  <si>
    <t>AISLACIÓN, BLOQUEO Y SEGREGACIÓN EN OPERACIONES CON SUSTANCIAS PELIGROSAS</t>
  </si>
  <si>
    <t>Procedimiento de Aislación y Bloqueo
de Químicos.</t>
  </si>
  <si>
    <t>Solicitar el procedimiento vigente para intervenir procesos con sustancias peligrosas, incluyendo los pasos de aislación, mediciones previas, bloqueo, drenaje y verificación, y los trabajadores han sido</t>
  </si>
  <si>
    <t xml:space="preserve"> Puntos de Aislación Identificados.</t>
  </si>
  <si>
    <t>Solicitar el P&amp;ID de la línea y verificar en terreno que
las válvulas de bloqueo y puntos de drenaje están claramente identificados.</t>
  </si>
  <si>
    <t>Registros de tareas de aislación y bloqueo</t>
  </si>
  <si>
    <t>Evidencias de todos los registros que solicita el procedimiento de aislación y bloqueo (por ejemplo
identificación de puntos de bloqueo, segregaciones y
candados y tarjetas de bloqueo)</t>
  </si>
  <si>
    <t>SISTEMAS DE DETECCIÓN /
CONTROL DE FUGAS,DERRAMES, INCENDIOS Y EPP QUÍMICOS</t>
  </si>
  <si>
    <t>Minimizar las consecuencias de un derrame, alertándolo, conteniéndolo en su origen, y proteger al personal de la exposición mediante el uso de Elementos de Protección Personal (EPP) específicos para la sustancia, y la disponibilidad deduchas y lavaojos de emergencia</t>
  </si>
  <si>
    <t>Estándar de EPP por proceso y/o area con
presencia de sustancias quimicas.</t>
  </si>
  <si>
    <t>Solicitar el estudio de EPP por proceso y/o área con
presencia de sustancia química y verificar evidencia de uso por parte de los trabajadores en el área</t>
  </si>
  <si>
    <t>Duchas de Emergencia y Lavaojos Operativos.</t>
  </si>
  <si>
    <t>Evidenciar existencia y registros de inspección y pruebas de activación de las duchas y lavaojos, dejando registro de la prueba, de forma semanal.</t>
  </si>
  <si>
    <t>Kits de Contención de Derrames disponibles</t>
  </si>
  <si>
    <t>Verificar en terreno que los kits de contención están completos, sellados y ubicados en los puntos designados.</t>
  </si>
  <si>
    <t xml:space="preserve"> Sistemas de control de incendios</t>
  </si>
  <si>
    <t>Evidenciar existencia, idoneidad del agente de extinción y que los sistemas de control de incendios cuenten con sus mantenciones al día.</t>
  </si>
  <si>
    <t xml:space="preserve"> Equipos de Monitoreo Personal.</t>
  </si>
  <si>
    <t>Asegurar la existencia, mantención, calibración y correcto uso de detectores personales, segun el estandar de cada área, proceso y/o instalación</t>
  </si>
  <si>
    <t>CAPACIDAD DE RESPUESTA ANTE
EMERGENCIA QUÍMICA</t>
  </si>
  <si>
    <t>Garantizar una respuesta sistémica, inmediata y eficaz ante una emergencia química, integrando la comunicación, la brigada especializada (HAZMAT) y la atención médica, para controlar el evento, rescatar y atender a las personas afectadas.</t>
  </si>
  <si>
    <t>Plan de Emergencia Específico por Sustancia</t>
  </si>
  <si>
    <t>Solicitar el plan de emergencia y verificar que incluye escenarios y respuestas específicas para las sustancias peligrosas del área.</t>
  </si>
  <si>
    <t xml:space="preserve"> Brigada Especializada en nivel HAZMAT.</t>
  </si>
  <si>
    <t>Solicitar los registros de entrenamiento y certificaciones vigentes de la brigada en niveles de respuesta HAZMAT.</t>
  </si>
  <si>
    <t>Equipamiento de Brigada y Descontaminación.</t>
  </si>
  <si>
    <t>Solicitar los catastros actualizados y registros de inspección mensual de los equipos de la brigada (trajes encapsulados, SCBA, equipos de monitoreo)</t>
  </si>
  <si>
    <t>Sistemas de Alarma y Comunicación Funcionales.</t>
  </si>
  <si>
    <t>Solicitar registros de pruebas funcionales de los sistemas de alarma (sirenas) y de los canales de comunicación de emergencia</t>
  </si>
  <si>
    <t>Simulacros de Emergencia Química Realizados.</t>
  </si>
  <si>
    <t>Solicitar el informe de simulacros de emergencia química, verificando tiempos de respuesta y planes de acción.</t>
  </si>
  <si>
    <t>Protocolos de Atención Médica Específicos.</t>
  </si>
  <si>
    <t>Solicitar los protocolos médicos y verificar la disponibilidad de antídotos o tratamientos especiales para las sustancias críticas</t>
  </si>
  <si>
    <t>ANALISÍS DE COMPATIBILIDAD QUÍMICA</t>
  </si>
  <si>
    <t>En todas las bodegas y áreas de almacenamiento se deben realizar un análisis compatibilidad química de acuerdo a la sección 10 de las HDS; Estabilidad y reactividad, y así segregar físicamente las sustancias peligrosas, evitando el incompatibles. contacto entre productos</t>
  </si>
  <si>
    <t xml:space="preserve"> ETIQUETADO Y ROTULACIÓN DE ENVASES</t>
  </si>
  <si>
    <t>Todo recipiente o contenedor, original o de
trasvasije, que contenga una sustancia peligrosa debe contar con una etiqueta o rótulo que identifique claramente el producto y sus peligros</t>
  </si>
  <si>
    <t>b. El personal que realiza un trasvasije es responsable de asegurar que el nuevo recipiente sea rotulado inmediatamente con toda la información requerida antes de ser almacenado o utilizado.</t>
  </si>
  <si>
    <t xml:space="preserve"> INVENTARIO DE SUSTANCIAS PELIGROSAS</t>
  </si>
  <si>
    <t>Toda área que almacene o manipule sustancias químicas peligrosas debe mantener un inventario actualizado y detallado de todos los productos presentes con las respectivas distribuciones y/o procesos involucrados</t>
  </si>
  <si>
    <t>a. El responsable de cada área de almacenamiento debe mantener un registro(físico o digital) con la lista de todas las sustancias químicas, indicando su nombre, fabricante (de acuerdo a la HDS) cantidad, clasificación de peligrosidad ubicación y fecha de ingreso</t>
  </si>
  <si>
    <t>b. El inventario debe ser actualizado cada vez que ingrese o se retire un producto de la bodega, y debe ser verificado físicamente mediante un conteo periódico con una frecuencia de al menos 6 meses.</t>
  </si>
  <si>
    <t>c. La Hoja de Datos de Seguridad (HDS) actualizada de acuerdo a la normativa vigente, de cada producto listado en el inventario debe estar disponible y accesible de forma inmediata para todo el personal que interactúa con dichas
sustancias</t>
  </si>
  <si>
    <t>MONITOREO, PROTECCIÓN, MANTENIMIENTO Y CONTROL DE SUSTANCIAS PELIGROSAS EN TUBERIAS</t>
  </si>
  <si>
    <t>Las tuberías, de acuerdo al tipo de producto deben utilizar distintas materialidades y sistemas de control o mitigación en caso de derrames, cómo flujómetros en entrada y salida, uniones de tipo flange en cañerías, (especialmente en puntos de alto riesgo o sobre áreas de tránsito) camisas térmicas en sustancias que tienden a cristalizarse o congelarse, etc.</t>
  </si>
  <si>
    <t>a. El personal de operación/mantenimiento debe verificar/asegurar que todas las tuberías cuenten con los requisitos de diseño o de seguridad en el transporte y que cuenten con sus protecciones operativas.</t>
  </si>
  <si>
    <t>b. Está prohibido operar un sistema que no cuente con los dispositivos de protección de acuerdo a la sustancia, han sido removidas o se encuentran dañadas, debiendo ser reportada la condición para su inmediata reposición.</t>
  </si>
  <si>
    <t>DIAGRAMAS DE CICLO DE VIDA DE SUSTANCIAS QUÍMICAS
PELIGROSAS EN EL PROCESO.</t>
  </si>
  <si>
    <t>Se debe contar con planos 'as built'actualizados de toda infraestructura de transporte y almacenamiento, detallando líneas, dosificación, bombeo, válvulas, sensores y sistemas críticos asociados.</t>
  </si>
  <si>
    <t>c. El personal ejecutor debe verificar en terreno que la disposición de las líneas y componentes coincide con lo indicado en los planos  antes intervención.</t>
  </si>
  <si>
    <t>DISPOSITIVOS DE MEDICIÓN DE VARIABLES CLAVES Y CONTROL DE EMERGENCIAS OPERATIVOS</t>
  </si>
  <si>
    <t>Los sistemas almacenamiento de bombeo, 
deben líneas contar y con instrumentación operativa y calibrada (presión, caudal), incorporando sensores específicos (ej. pH,
termocuplas) según el tipo de sustancia.</t>
  </si>
  <si>
    <t>a. El operador de la planta o sistema debe monitorear continuamente las lecturas de los manómetros y flujómetros para asegurar que la operación se mantiene dentro de los rangos de diseño establecidos.</t>
  </si>
  <si>
    <t>b. El personal de instrumentación debe ejecutar el plan de calibración y mantenimiento de todos los medidores, asegurando que cada instrumento cuente con un certificado y/o etiqueta de calibración vigente.</t>
  </si>
  <si>
    <t>c. Cualquier lectura de presión o caudal que exceda los límites normales de operación debe ser reportada de inmediato al supervisor del área para investigar la causa y tomar las acciones correctivas necesarias, debiendo contar con protocolos de contingencia definido.</t>
  </si>
  <si>
    <t>Con el objetivo de asegurar siempre la utilización de materialidades, componentes y características técnicas de los dispositivos, es que cada vez que se requiera realizar un cambio, cómo puede ser la incorporación de nuevas etapas al proceso, cambio de caracteristicas fisico-química de las sustancias,nuevos procesos asociados a la sustancia, cambios operacionales, desuso de áreas, retiro de borras,actividades de desarme de infraestructura o cambios rutinarios por actividades demantenimiento, se debe asegurar un protocolo de gestión del cambio que asegure el análisis técnico especialista y comunicación/capacitación a todas las áreas involucradas. Dicho procedimiento debe considerar un plan con medidas concretas y especificaciones técnicas que validen la comunicación a todo el personal relacionado y seguridad de las operaciones.</t>
  </si>
  <si>
    <t>SEÑALIZACIÓN Y RUTAS DE EVACUACIÓN EN ÁREAS QUÍMICAS</t>
  </si>
  <si>
    <t>Toda área con sustancias peligrosas debe
mantener rutas de evacuación señalizadas y expeditas, asegurando el desplazamiento seguroa zonas de seguridad ante emergencias químicas.</t>
  </si>
  <si>
    <t>a. Se deben elaborar y mantener actualizados los Planos de emplazamiento que incluyan la señalización y demarcación de sitios, zonas de seguridad y rutas de evacuación específicas para la respuesta ante emergencias químicas.</t>
  </si>
  <si>
    <t xml:space="preserve"> b. El layout de las áreas operativas debe definir y señalizar claramente la ubicación del punto de encuentro de emergencias, las zonas de seguridad y las vías de tránsito de peatones.</t>
  </si>
  <si>
    <t>c. Toda la señalización, incluyendo letreros, señales de seguridad, demarcaciones de tuberías, debe implementarse de acuerdo a las normativas
técnicas vigentes.</t>
  </si>
  <si>
    <t>LISTADO DE AUTODIAGNÓSTICO RIESGO DE FATALIDAD N°09: PARTES MÓVILES</t>
  </si>
  <si>
    <t>Actividades de operación, mantenimiento, construcción y puesta en marcha donde se utilicen máquinas y equipos con sistemas con partes móviles como por ejemplo: rodillos, despegadora de
cátodos, correas transportadoras, tambores de aglomeración, equipos con ejes expuestos, conjunto de poleas, sistemas de transmisión por engranajes, sistemas de transmisión por cadenas, sistemas
motrices de equipos, entre otros.</t>
  </si>
  <si>
    <r>
      <t xml:space="preserve">Se excluyen los trabajos con:
</t>
    </r>
    <r>
      <rPr>
        <sz val="12"/>
        <color rgb="FF004E52"/>
        <rFont val="Calibri"/>
        <family val="2"/>
      </rPr>
      <t>•</t>
    </r>
    <r>
      <rPr>
        <sz val="12"/>
        <color rgb="FF004E52"/>
        <rFont val="Calibri"/>
        <family val="2"/>
        <scheme val="minor"/>
      </rPr>
      <t xml:space="preserve">Herramientas manuales portátiles.
</t>
    </r>
    <r>
      <rPr>
        <sz val="12"/>
        <color rgb="FF004E52"/>
        <rFont val="Calibri"/>
        <family val="2"/>
      </rPr>
      <t>•</t>
    </r>
    <r>
      <rPr>
        <sz val="12"/>
        <color rgb="FF004E52"/>
        <rFont val="Calibri"/>
        <family val="2"/>
        <scheme val="minor"/>
      </rPr>
      <t xml:space="preserve">Herramientas eléctricas fijas. </t>
    </r>
  </si>
  <si>
    <t>GUARDAS Y PROTECCIONES EN
PARTES MÓVILES</t>
  </si>
  <si>
    <t xml:space="preserve">Impedir el contacto con partes móviles, asegurando que todos los equipos y maquinarias
cuenten con guardas y protecciones fijas o móviles, diseñadas, instaladas y mantenidas para interponer una barrera física efectiva entre las personas y el peligro.     </t>
  </si>
  <si>
    <t>Docuento que defina el Diseño de Guardas y Protecciones.</t>
  </si>
  <si>
    <t>Solicitar el documento que defina el diseño y verificar
que las guardas en terreno cumplen con los requisitos
(materialidad, distancia de seguridad)</t>
  </si>
  <si>
    <t>Catastro de Puntos de Atrapamiento y
Protecciones</t>
  </si>
  <si>
    <t>Solicitar el inventario y mapa o plano actualizado de
los equipos que identifican los puntos de atrapamiento, las guardas asociadas y su ubicación dentro del área de trabajo.</t>
  </si>
  <si>
    <t xml:space="preserve"> Inspección de Pre-Uso por Operador</t>
  </si>
  <si>
    <t>Solicitar los checklists de pre-uso firmados por el operador, donde se verifique la integridad y correcta instalación de las guardas</t>
  </si>
  <si>
    <t>Sistemas de Enclavamiento Operativos.</t>
  </si>
  <si>
    <t>Solicitar en los casos que corresponda, los registros de
las pruebas funcionales de los sistemas de enclavamiento en guardas móviles.</t>
  </si>
  <si>
    <t>Programa de Mantenimiento de
Protecciones.</t>
  </si>
  <si>
    <t xml:space="preserve">Semestral </t>
  </si>
  <si>
    <t>Solicitar la pauta y los registros de mantenimiento
preventivo de las guardas y sus sistemas de fijación.</t>
  </si>
  <si>
    <t xml:space="preserve"> Prohibición de Elementos Sueltos</t>
  </si>
  <si>
    <t>Verificar mediante observación en terreno que el personal cumple con la prohibición de uso de ropa suelta, joyas, Pelo largo suelto, etc</t>
  </si>
  <si>
    <t>Protocolo de Reposición de Guardas
Post-Mantenimiento.</t>
  </si>
  <si>
    <t>Solicitar el procedimiento de mantenimiento y verificar que incluye el paso obligatorio de reposición de guardas y la liberación formal del equipo.</t>
  </si>
  <si>
    <t>AISLACIÓN, BLOQUEO Y VERIFICACIÓN DE ENERGÍA CERO</t>
  </si>
  <si>
    <t>Garantizar que toda energía motriz (eléctrica, hidráulica, neumática) y residual (inercia, gravedad) sea completamente aislada y llevada a un estado de energía cero antes de que el personal intervenga o acceda a las partes móviles de un equipo</t>
  </si>
  <si>
    <t>Procedimiento deb Aislación y Bloqueo
Vigente.</t>
  </si>
  <si>
    <t>Solicitar el procedimiento de aislación y bloqueo vigente, con sus respectivas instruciones al personal</t>
  </si>
  <si>
    <t xml:space="preserve"> Identificación de Todas las Fuentes de Energía</t>
  </si>
  <si>
    <t>Solicitar la matriz o diagrama de bloqueo del equipo, verificando que identifica todas las fuentes de energía (eléctrica, neumática, etc.)</t>
  </si>
  <si>
    <t xml:space="preserve"> Bloqueo Personal con Candado y Tarjeta.</t>
  </si>
  <si>
    <t>Verificar en terreno que cada trabajador que interviene el sistema ha instalado su propio candado y tarjeta personal en el punto de bloqueo.</t>
  </si>
  <si>
    <t>Verificación de Energía Cero y Prueba de
Arranque</t>
  </si>
  <si>
    <t>Solicitar el documento donde se registre la ejecución de la verificación de energía cero y la prueba de arranque</t>
  </si>
  <si>
    <t xml:space="preserve"> Control de Energías Residuales</t>
  </si>
  <si>
    <t>Verificar en el procedimiento y en terreno el uso de mecanismos para controlar energías residuales (trabas mecánicas, cuñas, tiempo de espera)</t>
  </si>
  <si>
    <t xml:space="preserve"> Personal capacitado en Aislación y Bloqueo.</t>
  </si>
  <si>
    <t>Registros de capacitación del personal que participa en el proceso de aislación, bloqueo y verificación de energía cero.</t>
  </si>
  <si>
    <t>CCM 1</t>
  </si>
  <si>
    <t>SISTEMA DE PARADA DE
EMERGENCIA</t>
  </si>
  <si>
    <t>Detener de forma inmediata el movimiento de un equipo o maquinaria en caso de una
emergencia por atrapamiento, mediante dispositivos de parada accesibles, operativos y de accionamiento manual que requieran un reseteo intencionado para reanudar la
marcha.</t>
  </si>
  <si>
    <t>Catastro y Diseño de Paradas de Emergencia.</t>
  </si>
  <si>
    <t>Solicitar el plano o inventario que identifica la ubicación y tipo de todas las paradas de emergencia de un sistema</t>
  </si>
  <si>
    <t>Prueba Funcionales Periódicas.</t>
  </si>
  <si>
    <t>Solicitar los registros del programa de mantenimiento
que incluyan las pruebas funcionales de los sistemas
de parada de emergencia.</t>
  </si>
  <si>
    <t>Inspección de Estado y Accesibilidad</t>
  </si>
  <si>
    <t>Solicitar los registros de inspección que verifiquen el buen estado, la señalización y la accesibilidad de los dispositivos, incluyendo la confirmación operativa en las inspecciones de preuso o listas diarias de seguridad</t>
  </si>
  <si>
    <t xml:space="preserve"> Requerimiento de Reset Manual</t>
  </si>
  <si>
    <t>Verificar en los manuales de diseño o mediante pruebas que, tras una parada de emergencia, el equipo solo pueda reiniciarse mediante una acción manual controlada (por ejemplo, presionar un botón de reinicio autorizado), evitando el arranque automático.</t>
  </si>
  <si>
    <t>Activación de paradas de emergencias</t>
  </si>
  <si>
    <t>Registros de capacitación. Además, mediante entrevistas en terreno, asegurar quque el personal conoce la ubicación y el modo de activación de las paradas de emergencia.</t>
  </si>
  <si>
    <t xml:space="preserve">CCM2 </t>
  </si>
  <si>
    <t>Garantizar una respuesta sistémica, inmediata y eficaz ante un accidente por
atrapamiento, integrando el protocolo de rescate, la primera respuesta y la
atención médica especializada, para liberar a la persona atrapada y minimizar la
severidad de las lesiones.</t>
  </si>
  <si>
    <t>Plan de Emergencia para Atrapamiento.</t>
  </si>
  <si>
    <t>Solicitar el plan de emergencia y verificar que incluye un protocolo específico para rescate en atrapamiento con partes móviles.</t>
  </si>
  <si>
    <t xml:space="preserve"> Brigada Entrenada en Rescate Técnico.</t>
  </si>
  <si>
    <t>Solicitar los registros de entrenamiento de la brigada en técnicas de rescate con herramientas de liberación.</t>
  </si>
  <si>
    <t>Equipamiento de Rescate Operativo</t>
  </si>
  <si>
    <t>Solicitar los registros de inspección mensual de losnequipos de rescate de la brigada (herramientas hidráulicas, equipos de corte, etc.).</t>
  </si>
  <si>
    <t>Sistemas deComunicación de EmergenciaFuncionales</t>
  </si>
  <si>
    <t>Simulacros deRescate por
Atrapamiento.</t>
  </si>
  <si>
    <t>Solicitar el informe del último simulacro de atrapamiento, verificando tiempos de respuesta, técnicas de rescate y planes de acción.</t>
  </si>
  <si>
    <t>Personal Capacitado en Primera Respuesta.</t>
  </si>
  <si>
    <t>Solicitar registros de capacitación en primeros auxilios para el personal de operaciones y supervisores.</t>
  </si>
  <si>
    <t xml:space="preserve"> SEÑALÉTICA FIJA DE ADVERTENCIA EN ACCESOS Y EQUIPOS</t>
  </si>
  <si>
    <t>Se debe instalar señalética de advertencia fija y visible en todos los equipos y en los accesos a áreas que contengan partes móviles, para alertar al personal sobre el riesgo de atrapamiento.</t>
  </si>
  <si>
    <t>b. El personal de mantenimiento que retire una guarda o protección para realizar un trabajo debe instalar una tarjeta de advertencia temporal que indique el peligro y la prohibición de operar el equipo.</t>
  </si>
  <si>
    <t>c. La señalética debe ser de material resistente a las condiciones del entorno y su estado debe ser verificado en las inspecciones de seguridad del área para asegurar su legibilidad permanente</t>
  </si>
  <si>
    <t xml:space="preserve"> ALARMAS VISUALES Y SONORAS DE PRE-ARRANQUE</t>
  </si>
  <si>
    <t>Todos los equipos fijos con partes móviles que noBestén completamente encapsulados y cuyo arranque no sea visible desde el punto de accionamiento, deben contar con un sistema de alarma audiovisual de pre-arranque.</t>
  </si>
  <si>
    <t>a. Antes del inicio del movimiento, el sistemaNdebe activar automáticamente una alarma sonora (bocina o sirena) y una alarma visual (baliza estroboscópica) durante un tiempopredefinido para advertir al personal cercano
sobre la puesta en marcha inminente.</t>
  </si>
  <si>
    <t>c. Todo el personal debe ser instruido para reconocer estas alarmas y evacuar inmediatamente la zona de riesgo o alejarse auna distancia segura al momento de su activación</t>
  </si>
  <si>
    <t xml:space="preserve"> DEMARCACIÓN DE ZONAS DE RIESGO DE ATRAPAMIENTO</t>
  </si>
  <si>
    <t>Se deben demarcar en el piso las zonas de
seguridad alrededor de equipos con partes
m óviles expuestas para indicar visualmente elárea de riesgo y la distancia mínima a la que se puede aproximar el personal</t>
  </si>
  <si>
    <t>LISTADO DE AUTODIAGNÓSTICO RIESGO DE FATALIDAD N°14: OPERACIÓN FERROVIARIA</t>
  </si>
  <si>
    <r>
      <t xml:space="preserve">Este riesgo de fatalidad aplica a las siguientes actividades:
</t>
    </r>
    <r>
      <rPr>
        <sz val="12"/>
        <color rgb="FF004E52"/>
        <rFont val="Calibri"/>
        <family val="2"/>
      </rPr>
      <t>•</t>
    </r>
    <r>
      <rPr>
        <sz val="12"/>
        <color rgb="FF004E52"/>
        <rFont val="Calibri"/>
        <family val="2"/>
        <scheme val="minor"/>
      </rPr>
      <t>Transporte de mineral vía ferroviaria
•Transporte de pasajeros vía ferroviaria
•Servicios de apoyo a operaciones ferroviarias
•Mantención vías
•Mantención de equipos ferroviarios</t>
    </r>
  </si>
  <si>
    <t>PERSONAL FERROVIARIO
ACREDITADO</t>
  </si>
  <si>
    <t>Garantizar que toda persona que interactúe directamente con la operación ferroviaria posea las competencias técnicas, la aptitud física/psicológica requerida y la autorización
formal y vigente para ingresar y ejecutar sus funciones en la vía férrea, previniendo
errores operacionales por falta de capacitación o ingreso no controlado</t>
  </si>
  <si>
    <t>Programa de Capacitación y Entrenamiento</t>
  </si>
  <si>
    <t>Solicitar el programa de capacitación y entrenamiento teórico-práctico para maquinistas y cuadrillas.</t>
  </si>
  <si>
    <t xml:space="preserve"> Autorización Interna Vigente</t>
  </si>
  <si>
    <t>Verificar en terreno que todo el personal (maquinistas, cuadrillas, entre otros) portan su credencial de autorización vigente.</t>
  </si>
  <si>
    <t xml:space="preserve"> Certificado de Aptitud Física y Psicológica</t>
  </si>
  <si>
    <t>Verificar que todo el personal de la operación ferroviaria cuenta con sus exámenes preocupacionales y psicosensométricos vigentes y aprobados.</t>
  </si>
  <si>
    <t>Protocolo de Autorización de Ingreso a
Vía</t>
  </si>
  <si>
    <t>Solicitar el procedimiento que define el proceso de autorización de ingreso a la vía férrea, especificando quién autoriza, el medio de comunicación (ej. frecuencia radial) y los permisos requeridos</t>
  </si>
  <si>
    <t xml:space="preserve"> Segregación Física de Accesos a la Ví</t>
  </si>
  <si>
    <t>Verificar en terreno la integridad y funcionalidad de los elementos de segregación (puertas, portones, barreras) definidos en el Layout de segregación para controlar el acceso</t>
  </si>
  <si>
    <t xml:space="preserve"> Instrucción en Riesgos Ferroviarios</t>
  </si>
  <si>
    <t>Verificar los registros que demuestren que todo el personal que ingresa a la vía ha recibido una instrucción específica sobre los riesgos críticos del área, el reglamento interno y los protocolos de emergencia.</t>
  </si>
  <si>
    <t>INTEGRIDAD OPERATIVA DE VÍAS Y EQUIPOS FERROVIARIOS</t>
  </si>
  <si>
    <t>Garantizar la integridad estructural y la plena operatividad tanto de la
infraestructura de la vía férrea como de los equipos (locomotoras, carros), a través
de un sistema riguroso de mantenimiento preventivo e inspecciones pre-uso, para prevenir desrielos o colisiones por fallas técnicas.</t>
  </si>
  <si>
    <t>Plan de Mantenimiento Preventivo de Vías</t>
  </si>
  <si>
    <t>Solicitar el plan de mantenimiento de vías y los registros de ejecución. Debe incluir como mínimo: inspección de desgaste de rieles, estado de durmientes y fijaciones, y geometría de la vía</t>
  </si>
  <si>
    <t>Plan de Mantenimiento Preventivo de Equipos</t>
  </si>
  <si>
    <t>Solicitar el plan de mantenimiento para locomotoras y carros, y verificar su cumplimiento. Debe incluir sistemas de frenos, rodado, motor y sistemas de comunicación.</t>
  </si>
  <si>
    <t>Inspección Pre Operacional del Equipo</t>
  </si>
  <si>
    <t>Solicitar el registro del check-list de pre-uso, el cual debe ser completado y firmado por el maquinista al inicio de cada turno, verificando daños, luces, frenos y comunicaciones</t>
  </si>
  <si>
    <t xml:space="preserve"> Vía Férrea Despejada y Sin Obstáculos</t>
  </si>
  <si>
    <t>Verificar en terreno que la vía férrea se encuentre despejada, sin "elementos que obstaculicen el tránsito" como material derramado, herramientas o agua estancada.</t>
  </si>
  <si>
    <t>Sistemas de Freno Conectados y Operativos</t>
  </si>
  <si>
    <t>Verificar, antes del movimiento del convoy, que todos los sistemas de frenos de los distintos componentes (carros y locomotoras) están conectados y operativos.</t>
  </si>
  <si>
    <t xml:space="preserve"> Sistema de Bloqueo "Hombre Muerto</t>
  </si>
  <si>
    <t>Verificar que todos los equipos ferroviarios cuentan con un sistema de bloqueo tipo "hombre muerto" y que su operatividad es probada según pauta de mantenimiento</t>
  </si>
  <si>
    <t>GESTIÓN INTEGRAL DEL TRÁFICOFERROVIARIO Y PROTECCIÓN DE CUADRILLAS</t>
  </si>
  <si>
    <t>Garantizar la coordinación segura y sin errores del tráfico ferroviario desde una Central
de Despacho, y asegurar la protección de las cuadrillas en la vía mediante un sistema de comunicación, autorización y resguardo físico ("loro vivo") efectivo</t>
  </si>
  <si>
    <t>Central de Despacho y Control de Tráfico</t>
  </si>
  <si>
    <t>Permanente</t>
  </si>
  <si>
    <t>Verificar la existencia y operación continua de una Sala de Control de Tráfico, responsable única de autorizar todo movimiento de equipos y personas en la vía férrea</t>
  </si>
  <si>
    <t>Sistema de Monitoreo y Comunicación
Bidireccional</t>
  </si>
  <si>
    <t>Verificar que el sistema de control de tráfico y los equipos de comunicación (radio base, portátiles) estén operativos. Realizar pruebas de comunicación entre la sala, locomotoras y cuadrillas</t>
  </si>
  <si>
    <t>Protocolo de Resguardo de Cuadrilla</t>
  </si>
  <si>
    <t>Quincenal</t>
  </si>
  <si>
    <t>Solicitar el procedimiento de trabajo en la vía, el cual debe exigir: autorización previa del Despachador, uso de "loro vivo" con silbato, y uso de balizas/conos/banderas para señalizar la zona</t>
  </si>
  <si>
    <t xml:space="preserve"> Coordinación de Ingreso a Vía</t>
  </si>
  <si>
    <t>Observar en terreno y/o revisar registros de comunicación que demuestren que la cuadrilla da aviso a la Sala de Control de su ubicación exacta y solicita permiso antes de intervenir el sector</t>
  </si>
  <si>
    <t>Capacitación del Operador Sala de Control</t>
  </si>
  <si>
    <t>Verificar los registros de capacitación y evaluación del personal de la Sala de Control, asegurando que están entrenados en el sistema de tráfico y en los protocolos de autorización de ingreso a la vía</t>
  </si>
  <si>
    <t xml:space="preserve"> Sistema de Respaldo ante Fallas</t>
  </si>
  <si>
    <t>Solicitar evidencia de la existencia y prueba de un sistema de respaldo (procedimental o tecnológico) para la gestión del tráfico en caso de falla del sistema principal de monitoreo.</t>
  </si>
  <si>
    <t xml:space="preserve">CCM1 </t>
  </si>
  <si>
    <t>CAPACIDAD DE RESPUESTA ANTE EMERGENCIAS FERROVIARIAS</t>
  </si>
  <si>
    <t>Garantizar una respuesta de emergencia inmediata, coordinada y eficaz ante un
atropello o Choque/colisión ferroviaria, asegurando el rescate, la estabilización y la
atención médica especializada para minimizar las consecuencias a la salud de las personas afectadas.</t>
  </si>
  <si>
    <t>Plan de Emergencia Específico</t>
  </si>
  <si>
    <t>Solicitar el plan de emergencia que incluya un anexo específico para "atropello, choque/colisión". Debe definir roles, responsabilidades y protocolos de comunicación</t>
  </si>
  <si>
    <t xml:space="preserve"> Brigada capacitada en Rescate Ferroviario</t>
  </si>
  <si>
    <t>Verificar los registros de capacitación de la brigada, los cuales deben incluir módulos específicos para rescate en escenarios de atropello y colisión (ej. extricación, manejo de trauma).</t>
  </si>
  <si>
    <t>Equipamiento de Primera Respuesta y
Médico</t>
  </si>
  <si>
    <t>Inspeccionar en terreno la disponibilidad y operatividad de los recursos de emergencia: equipamiento de la brigada, ambulancia y stock de trauma en policlínico.</t>
  </si>
  <si>
    <t xml:space="preserve"> Programa de Simulacros Medidos</t>
  </si>
  <si>
    <t>Solicitar el programa anual de simulacros y el informe del último ejecutado. Este debe registrar y evaluar los tiempos de respuesta y la eficacia de la cadena de emergencia.</t>
  </si>
  <si>
    <t>Protocolo de Comunicación de Emergencia</t>
  </si>
  <si>
    <t>Verificar que el protocolo de comunicación de emergencia esté definido, sea conocido por todo el personal y que los sistemas (radio, teléfono) sean probados periódicamente.</t>
  </si>
  <si>
    <t>Capacitación en Primeros Auxilios</t>
  </si>
  <si>
    <t>Verificar los registros que demuestren que los trabajadores expuestos al riesgo han recibido capacitación teórico-práctica en primeros auxilios.</t>
  </si>
  <si>
    <t xml:space="preserve"> COMUNICACIÓN RADIAL EXCLUSIVA ENTRE MAQUINISTA, PATIO Y CONTROL CENTRAL</t>
  </si>
  <si>
    <t>Se debe asegurar en todo momento un sistema de comunicación bidireccional, claro y operativo entre el maquinista, las cuadrillas en terreno y la Central de Despacho y Control, para coordinar de manera segura todos los movimientos de
equipos ferroviarios.</t>
  </si>
  <si>
    <t>a. El Operador de la Sala de Control es la única
persona responsable de autorizar un movimiento de personas y equipo rodante en las vías del ferrocarril, y debe controlar diariamente el correcto funcionamiento de los sistemas de comunicaciones</t>
  </si>
  <si>
    <t>b. Todo tren debe disponer de un sistema de comunicación bidireccional. Frente a la falla de esta comunicación, la operación debe ser detenida de inmediato.</t>
  </si>
  <si>
    <t>c. La comunicación entre el maquinista y el personal de apoyo en terreno (palanquero) debe ser clara y precisa. Si los equipos de comunicación fallasen, se utilizarán señales
manuales o de luces, y el maquinista no moverá el convoy si dichas señales no son claras o uniformes.</t>
  </si>
  <si>
    <t xml:space="preserve"> SEÑALIZACIÓN FERROVIARIA VISIBLE Y OPERATIVA EN CRUCES Y DESVÍOS</t>
  </si>
  <si>
    <t>Se debe garantizar que toda la señalización,
alarmas y barreras físicas en la vía férrea estén operativas y sean utilizadas correctamente para advertir sobre la presencia y movimiento de equipos ferroviarios, minimizando el riesgo de
interacción</t>
  </si>
  <si>
    <t>a. Se deben implementar sistemas de semaforización y barreras en cruces críticos, así como alarmas audibles y visibles que alerten sobre el acercamiento o la presencia de un equipo ferroviario.</t>
  </si>
  <si>
    <t>b. Todo convoy o equipo ferroviario debe advertir su presencia activando la bocina, pito o silbato a lo menos 50 metros antes de un cruce vehicular</t>
  </si>
  <si>
    <t>SUPERVISIÓN PRESENCIAL EN MANIOBRAS CRÍTICAS DE CARGA Y DESCARGA</t>
  </si>
  <si>
    <t>Se deben realizar todas las maniobras de carga y descarga en zonas controladas y bajoprocedimientos estrictos para asegurar la correcta estiba del material y evitar riesgos operacionales</t>
  </si>
  <si>
    <t>a. Las áreas donde se realizan las maniobras de carguío de ferrocarriles deben ser zonas aisladas y con un estricto control de ingreso de personal y equipos</t>
  </si>
  <si>
    <t>b. Toda carga se debe estibar y asegurar conforme a sus dimensiones, peso y forma, para controlar  cualquier 
desplazamiento  movimiento  involuntario durante el  transporte.</t>
  </si>
  <si>
    <t>c. La supervisión a cargo debe mantener un sistema de control sobre la autorización interna y vigencia de las competencias de todos los maquinistas que participan en la operación</t>
  </si>
  <si>
    <t>I LUMINACIÓN FRONTAL Y TRASERA OPERATIVA EN CONVOYES FERROVIARIOS</t>
  </si>
  <si>
    <t>Todo equipo ferroviario debe contar con un
sistema de iluminación y balizas completamente operativo para asegurar que sea visible en todo momento, tanto de día como de noche, y para señalar su posición y dirección de movimiento</t>
  </si>
  <si>
    <t>a. Todo equipo ferroviario debe contar con iluminación adecuada para operaciones diurnas y nocturnas, incluyendo luces delanteras y posteriores en la locomotora y en el carro culatero.</t>
  </si>
  <si>
    <t>b. La locomotora y el carro culatero deben estar
equipados con balizas destellantes o estroboscópicas de color azul, las cuales deben estar operativas durante el movimiento</t>
  </si>
  <si>
    <t>c. El carro culatero deberá contar con dos luces inferiores intermitentes de color rojo, las cuales deberán estar encendidas siempre que haga de último carro del convoy, para señalar el término del ferrocarril.</t>
  </si>
  <si>
    <t xml:space="preserve"> RUTAS DE EVACUACIÓN HABILITADAS</t>
  </si>
  <si>
    <t>Se debe garantizar la existencia de zonas de resguardo y planes de emergencia específicos para las operaciones ferroviarias, asegurando que el personal pueda protegerse de manera segura ante cualquier evento imprevist</t>
  </si>
  <si>
    <t>a. Los túneles de ferrocarril deben contar con estocadas (refugios) a ambos lados de la vía, que permitan el resguardo del personal ante el desplazamiento de equipos ferroviarios.</t>
  </si>
  <si>
    <t xml:space="preserve"> SISTEMAS DE FRENO DE EMERGENCIA</t>
  </si>
  <si>
    <t>Todos los equipos ferroviarios deben estar
equipados con un sistema de detención de
emergencia funcional, y el sistema de frenos general del convoy debe ser verificado como operativo y conectado en su totalidad antes de iniciar la marcha.</t>
  </si>
  <si>
    <t>a. Todos los equipos ferroviarios deben contar con un mecanismo de detención mediante un dispositivo de emergencia.</t>
  </si>
  <si>
    <t>b. El operador ferroviario debe verificar que todos
los componentes del sistema de frenos estén conectados y operativos entre los distintos equipos que componen el convoy, previo al movimiento del mismo.</t>
  </si>
  <si>
    <t>c. La inspección pre-operacional que realiza el maquinista debe incluir obligatoriamente la revisión del sistema de frenos y motor.</t>
  </si>
  <si>
    <t>CM3</t>
  </si>
  <si>
    <t xml:space="preserve"> TOPES Y DETENCIONES FÍSICAS</t>
  </si>
  <si>
    <t>Se deben instalar sistemas o dispositivos de
contención física en zonas críticas para evitar el choque de un convoy o carros sin control contra instalaciones o edificios.</t>
  </si>
  <si>
    <t>a. En zonas adyacentes a edificios e instalaciones
se deben instalar sistemas o dispositivos para
evitar el choque de un convoy o carros sin control.</t>
  </si>
  <si>
    <t>b. Como ejemplos de estos dispositivos se incluyen los botaderos ferroviarios,desrrieladores, topes y calzas.</t>
  </si>
  <si>
    <t>c. Se debe contar con un plan de mantenimiento preventivo para las vías férreas e instalaciones, asegurando la integridad y funcionalidad de estos sistemas de contención.</t>
  </si>
  <si>
    <t>LISTADO DE AUTODIAGNÓSTICO RIESGO DE FATALIDAD N°08: TRONADURAS Y EXPLOSIVOS</t>
  </si>
  <si>
    <r>
      <t xml:space="preserve">Su alcance abarca la gestión integral del ciclo de vida de los explosivos: almacenamiento, transporte, manipulación, carguío, conexión, iniciación de tronadura y verificación post-tronadura, manteniendo control permanente sobre explosivos y accesorios en cada etapa del proceso.
Este riesgo comprende operaciones con explosivos que pueden generar eventos fatales y/o daños materiales tales como:
</t>
    </r>
    <r>
      <rPr>
        <sz val="12"/>
        <color rgb="FF004E52"/>
        <rFont val="Calibri"/>
        <family val="2"/>
      </rPr>
      <t>•</t>
    </r>
    <r>
      <rPr>
        <sz val="12"/>
        <color rgb="FF004E52"/>
        <rFont val="Calibri"/>
        <family val="2"/>
        <scheme val="minor"/>
      </rPr>
      <t xml:space="preserve">Iniciación no controlada y/o espontánea de explosivos o agentes de fragmentación
</t>
    </r>
    <r>
      <rPr>
        <sz val="12"/>
        <color rgb="FF004E52"/>
        <rFont val="Calibri"/>
        <family val="2"/>
      </rPr>
      <t>•</t>
    </r>
    <r>
      <rPr>
        <sz val="12"/>
        <color rgb="FF004E52"/>
        <rFont val="Calibri"/>
        <family val="2"/>
        <scheme val="minor"/>
      </rPr>
      <t xml:space="preserve">Iniciación no controlada y/o espontánea de tiros quedados o rezagados
</t>
    </r>
    <r>
      <rPr>
        <sz val="12"/>
        <color rgb="FF004E52"/>
        <rFont val="Calibri"/>
        <family val="2"/>
      </rPr>
      <t>•</t>
    </r>
    <r>
      <rPr>
        <sz val="12"/>
        <color rgb="FF004E52"/>
        <rFont val="Calibri"/>
        <family val="2"/>
        <scheme val="minor"/>
      </rPr>
      <t>Proyección no controlada de fragmentos de roca (Fly Rocks)En el caso de las sustancias intermedias no aisladas de los procesos, deberan cumplir con los 
controles CCP1 y CCP2, de tal manera de asegurar el que las actividades con estas sustancias cumplan con la señalización y otros controles básicos, para evitar desviaciones en su manipulación.</t>
    </r>
  </si>
  <si>
    <t xml:space="preserve">Para el carguío automatizado, serán las Divisiones o Proyectos, quienes deberán elaborar un análisis de riesgo, en el cual definan los controles críticos aplicables de este
Riesgo de Fatalidad. </t>
  </si>
  <si>
    <t>PERSONAL ACREDITADO EN
TRONADURA Y MANEJO DE
EXPLOSIVOS</t>
  </si>
  <si>
    <t xml:space="preserve">Garantizar que todo el personal que diseña, planifica, manipula, transporta y ejecuta maniobras de tronadura posea las competencias, acreditaciones y autorizaciones vigentes requeridas por la ley y la organización, para asegurar una ejecución experta y sin errores del proceso.        </t>
  </si>
  <si>
    <t>Licencia de Manipulador de Explosivos Vigente</t>
  </si>
  <si>
    <t xml:space="preserve"> Acreditación de Programador Calculista</t>
  </si>
  <si>
    <t xml:space="preserve"> Programa de Formación y Competencias</t>
  </si>
  <si>
    <t xml:space="preserve"> Capacitación Específica del Fabricante</t>
  </si>
  <si>
    <t xml:space="preserve"> Entrenamiento Práctico en Terreno</t>
  </si>
  <si>
    <t>TRONADURAS EJECUTADAS
SEGÚN DISEÑO APROBADO</t>
  </si>
  <si>
    <t>Diseño Basado en Modelo de Bloques e
Información de Terreno</t>
  </si>
  <si>
    <t>Cada Vez</t>
  </si>
  <si>
    <t xml:space="preserve"> Parámetros de Diseño Definidos y Aprobados</t>
  </si>
  <si>
    <t xml:space="preserve"> Verificación de la Perforación (QA/QC</t>
  </si>
  <si>
    <t>Verificación del Carguío y Amarre (QA/QC)</t>
  </si>
  <si>
    <t>Solicitar los registros del QA/QC del carguío,  que demuestren la verificación en terreno del tipo de iniciador, la cantidad y tipo de explosivo, y la correcta ejecución del amarre según la secuencia de salida del diseño.</t>
  </si>
  <si>
    <t xml:space="preserve"> Gestión de Cambio para Desviaciones</t>
  </si>
  <si>
    <t>En caso de cualquier desviación del diseño original, solicitar la evidencia documental de la gestión del cambio, la cual debe estar re-evaluada y aprobada por el especialista responsable (programador calculista).</t>
  </si>
  <si>
    <t>Disponibilidad del Diseño Final en Terreno</t>
  </si>
  <si>
    <t>Verificar que el equipo de trabajo en terreno cuenta con una copia (física o digital) de la última versión aprobada del diseño de tronadura para su consulta permanente durante la ejecución</t>
  </si>
  <si>
    <t>DISEÑO Y EJECUCIÓN DE TRONADURA CONFORME A CONDICIONES REALES</t>
  </si>
  <si>
    <t>Diseño Basado en Información Actualizada</t>
  </si>
  <si>
    <t>Solicitar el diseño de tronadura y verificar que se basa en información geológica, geotécnica y operacional actualizada (modelo de bloques,mapeo de frente, etc.).</t>
  </si>
  <si>
    <t>Protocolo de Regulación de Desviaciones</t>
  </si>
  <si>
    <t>Solicitar el procedimiento que define cómo actuar ante desviaciones en la perforación, estableciendo los criterios para ajustar el diseño (ej. reducircargas, cambiar secuencia)</t>
  </si>
  <si>
    <t xml:space="preserve"> Ajuste del Diseño a la Condición del Día</t>
  </si>
  <si>
    <t>Verificar en el plan de tronadura o en undocumento anexo que se consideraron las condiciones reales del terreno del día (evaluación geotécnica, presencia de agua, etc.) para justar el diseño final.</t>
  </si>
  <si>
    <t xml:space="preserve"> Verificación en Terreno (QA/QC de Tronadura)</t>
  </si>
  <si>
    <t>Solicitar los registros del QA/QC de la tronadura, que deben incluir la verificación en terreno de la correcta ejecución del plan de carguío y la secuencia de amarre según el diseño ajustado.</t>
  </si>
  <si>
    <t>Control de Parámetros de Diseño (Carga y
Taco</t>
  </si>
  <si>
    <t>Realizar inspecciones aleatorias en terreno para verificar que la cantidad de explosivo y la longitud del taco en los pozos corresponden a lo especificado en el diseño final</t>
  </si>
  <si>
    <t xml:space="preserve"> Gestión de Cambio para Modificaciones</t>
  </si>
  <si>
    <t>Solicitar evidencia documental de la gestión del cambio, aprobada por el programador calculista, para cualquier modificación significativa no contemplada en el protocolo de ajuste.</t>
  </si>
  <si>
    <t>AISLACIÓN FÍSICA Y EVACUACIÓN SEGURA DE LA ZONA DE TRONADURA</t>
  </si>
  <si>
    <t>Garantizar que el área de influencia definida para una tronadura (Halo) esté físicamente aislada de manera efectiva y completamente evacuada por todo el personal, mediante un sistema de verificación ("Carta de Loros") que confirme la ausencia total de personas y equipos antes de autorizar la detonación.</t>
  </si>
  <si>
    <t>"Carta de Loro" Implementada y Aprobada</t>
  </si>
  <si>
    <t>Solicitar la "Carta de Loro" del día, firmada por los responsables, la cual debe incluir el radio de evacuación (halo), ubicación de cada "loro", responsables y horarios.</t>
  </si>
  <si>
    <t>Delimitación Física Efectiva del Área</t>
  </si>
  <si>
    <t>Verificar en terreno que cada acceso al "halo de evacuación" esté bloqueado físicamente por barreras
duras o vigías ("loros humanos") capacitados y con comunicación.</t>
  </si>
  <si>
    <t xml:space="preserve"> Control de Accesos Verificado</t>
  </si>
  <si>
    <t>Solicitar el registro de comunicaciones donde el jefe de tronadura confirma positivamente con cada "loro" que su posición está asegurada antes de autorizar la detonación</t>
  </si>
  <si>
    <t>Protocolos de Evacuación Validados</t>
  </si>
  <si>
    <t>Verificar los registros de simulacros de evacuación para confirmar que el personal conoce las rutas de escape y los puntos de encuentro, y que estos son ensayados.</t>
  </si>
  <si>
    <t>Registro de Evacuación Completa</t>
  </si>
  <si>
    <t>Solicitar el registro (check list o protocolo radial) donde cada supervisor de área confirma que todo su personal ha sido contabilizado y se encuentra en un punto seguro.</t>
  </si>
  <si>
    <t>Control de Reingreso Autorizado</t>
  </si>
  <si>
    <t>Verificar que existe un protocolo claro para autorizar el re-ingreso al área, el cual solo puede ser instruido por el jefe de tronadura una vez que la zona ha sido declarada segura.</t>
  </si>
  <si>
    <t>VEHÍCULOS ACREDITADOS Y
SEGUROS PARA TRANSPORTE Y
FABRICACIÓN DE EXPLOSIVOS</t>
  </si>
  <si>
    <t>Acreditación Vigente del Vehículo</t>
  </si>
  <si>
    <t>Solicitar las resoluciones de la autoridad fiscalizadora para cada vehículo y verificar que la acreditación para transporte de explosivos esté vigente</t>
  </si>
  <si>
    <t>Inspección Pre-Uso (Check list de control
diario)</t>
  </si>
  <si>
    <t>Solicitar las listas de chequeo pre-uso firmadas por el operador. Verificar que la inspección de sistemas críticos (frenos, sistema mata chispas, ESD) se realiza al inicio de cada turno.</t>
  </si>
  <si>
    <t>Plan de Mantenimiento Específico Ejecutado</t>
  </si>
  <si>
    <t>Solicitar el plan de mantenimiento de la flota y las órdenes de trabajo. Verificar el cumplimiento de las pautas para sistemas eléctricos, mecánicos y de incendio específicos</t>
  </si>
  <si>
    <t>Condición de Operación Conforme a Fabricante</t>
  </si>
  <si>
    <t>Verificar que el vehículo opera de acuerdo a las especificaciones del fabricante, sin modificaciones no autorizadas, y con sus sistemas (ej. Retardo dinámico) funcionando correctamente.</t>
  </si>
  <si>
    <t>Programa de Calibración de Componentes</t>
  </si>
  <si>
    <t>Solicitar el programa y los certificados de calibración de los componentes que lo requieran (ej. sistemas de dosificación en camiones fábrica).</t>
  </si>
  <si>
    <t>Competencias del Personal de Mantenimiento</t>
  </si>
  <si>
    <t>Solicitar los registros de capacitación del personal de mantenimiento, que demuestren su competencia para intervenir estos vehículos, según lo indicado por el fabricante</t>
  </si>
  <si>
    <t>CAPACIDAD DE RESPUESTA
ANTE EMERGENCIA</t>
  </si>
  <si>
    <t>Plan de Emergencia Específico y Difundido</t>
  </si>
  <si>
    <t>Solicitar el plan de emergencias que incluya un protocolo específico para incidentes de tronadura (explosión, flyrock, TQ), definiendo roles y flujogramas de comunicación.</t>
  </si>
  <si>
    <t>Brigada Entrenada en Rescate Post Explosión</t>
  </si>
  <si>
    <t>Verificar los registros de entrenamiento de la brigada, que deben demostrar capacitación en rescate en ambientes post-explosión (manejo de trauma, ingreso a zonas con gases, estabilización de estructuras).</t>
  </si>
  <si>
    <t>Equipamiento de Rescate y Médico Disponible</t>
  </si>
  <si>
    <t>Inspeccionar en terreno el equipamiento de la brigada y del policlínico, verificando la disponibilidad y operatividad de equipos para trauma por explosión y monitoreo de gases.</t>
  </si>
  <si>
    <t>Vehículos de Emergencia Operativos</t>
  </si>
  <si>
    <t>Solicitar el plan de mantenimiento de la ambulancia y vehículos de rescate, y verificar su cumplimiento. Confirmar que los vehículos tienen la certificación para operar en la faena.</t>
  </si>
  <si>
    <t xml:space="preserve"> Simulacros Específicos y Medidos</t>
  </si>
  <si>
    <t>Solicitar el informe del último simulacro de accidente por tronadura, el cual debe incluir la evaluación de los tiempos de respuesta y la eficacia de las maniobras de rescate</t>
  </si>
  <si>
    <t xml:space="preserve"> Protocolo de Disipación de Gases</t>
  </si>
  <si>
    <t>Verificar que el plan de emergencia incluye un protocolo específico para la ventilación y disipación de gases post-tronadura, como requisito previo para el ingreso seguro de los equipos de rescate</t>
  </si>
  <si>
    <t>VERIFICACIÓN DE CONDICIONES METEOROLÓGICAS</t>
  </si>
  <si>
    <t>a. Se debe contar con un sistema de detección de tormentas eléctricas, nevazones, ventiscas y vientos que puedan generar una suspensión automática de los procesos asociados a carguío de explosivos y tronadura.</t>
  </si>
  <si>
    <t>b. La planificación del proceso de tronadura debe considerar una gestión de alerta meteorológica y una respuesta definida ante estos eventos, ya que el carguío durante tormentas eléctricas es una causa de incidentes.</t>
  </si>
  <si>
    <t>c. Frente a un corte de energía eléctrica que afecte el sistema de ventilación principal en minería subterránea, se debe suspender la tronadura.</t>
  </si>
  <si>
    <t>SEÑALIZACIÓN Y DEMARCACIÓN TEMPORAL DEL ÁREA</t>
  </si>
  <si>
    <t>Se debe confinar, aislar y señalizar el área de trabajo donde se realizará la tarea con materiales explosivos, utilizando barreras físicas, letreros y personal de vigilancia ("loros vivos") para impedir el  ingreso de personal o vehículos no autorizado</t>
  </si>
  <si>
    <t>a. Los accesos a las áreas comprometidas deben ser aisladas mediante personas “loros vivos”; en casos justificados y reglamentados se puede utilizar tapados, barreras y letreros prohibitivos</t>
  </si>
  <si>
    <t>b. El supervisor es responsable de realizar la segregación del área restringida según corresponda, instalando la señalética y los "loros vivos" en las ubicaciones definidas en el plano (layout) de la "carta de loro".</t>
  </si>
  <si>
    <t>c. Se deben utilizar elementos de información como pizarras o letreros para comunicar la ejecución de la tronadura, y su ubicación debe estar validada en la "carta de loro".</t>
  </si>
  <si>
    <t>COMUNICACIÓN BIDIRECCIONAL (CARTA DE LORO)</t>
  </si>
  <si>
    <t>Se debe asegurar la correcta elaboración,
difusión y ejecución de la "carta de loro" para garantizar una comunicación efectiva y la evacuación completa del personal antes de autorizar la tronadura.</t>
  </si>
  <si>
    <t>a. Previo a las tronaduras, se debe emitir una “carta de loros” que incluya todas las tronaduras del área, la cual debe ser aprobada por el responsable del área.</t>
  </si>
  <si>
    <t>b. La "carta de loro" debe documentar el diagrama de comunicación, los protocolos de autorización de inicio, el listado de números de contacto o frecuencias radiales y la ubicación de los elementos de segregación.</t>
  </si>
  <si>
    <t xml:space="preserve"> El personal a cargo del proceso de tronadura debe ser instruido respecto a la "carta de loro", mientras que el personal no directamente relacionado debe conocer el proceso de evacuación y las áreas seguras.</t>
  </si>
  <si>
    <t xml:space="preserve">  CHEQUEO PRE-OPERACIONAL DE ACCESORIOS</t>
  </si>
  <si>
    <t>Se deben verificar todos los componentes del proceso de tronadura conforme al diseño técnico para evitar errores en la conexión o uso de materiales inadecuados que puedan llevar a una iniciación no controlada.</t>
  </si>
  <si>
    <t>a. El diseño técnico de la tronadura debe incluir la descripción del carguío de cada pozo o barreno, especificando el tipo de iniciadores, el tipo de explosivo, y la secuencia de salida (retardos).</t>
  </si>
  <si>
    <t>b. Se debe contar con una guía de recepción de los explosivos a utilizar, así como una guía de devolución para los sobrantes, asegurando el control de todo el material.</t>
  </si>
  <si>
    <t>c. Un error en el amarre o conexión para la secuencia de salida es una causa directa de eventos no deseados, por lo que su correcta ejecución y verificación es fundamental antes de la detonación.</t>
  </si>
  <si>
    <t>POLVORINES CON PARAPETOS Y RESGUARDOS</t>
  </si>
  <si>
    <t>Se deben infraestructuras diseñar de e implementaralmacenamiento deexplosivos que cumplan con la normativavigente y los estándares de seguridad, para prevenir aumentos de temperatura odetonaciones accidentales.</t>
  </si>
  <si>
    <t>a. Todas las instalaciones utilizadas para el almacenamiento de explosivos y materias primas deben contar con las autorizaciones de las autoridades fiscalizadoras.</t>
  </si>
  <si>
    <t>b. Los almacenes de explosivos deben contar con un sistema de control y vigilancia permanente.</t>
  </si>
  <si>
    <t xml:space="preserve"> LIMPIEZA PROGRAMADA DE BERMAS COLMATADAS</t>
  </si>
  <si>
    <t>Se deben ejecutar las descargas y limpiezas de las bermas de seguridad de manera controlada, considerando siempre las condiciones de estabilidad del terreno, para asegurar que mantengan su capacidad de contención y no generen riesgos de deslizamientos.</t>
  </si>
  <si>
    <t>a. Las operaciones de descarga y limpieza de bermas deben ser ejecutadas únicamente considerando las condiciones de estabilidad de la zona afectada por la tronadura.</t>
  </si>
  <si>
    <t>b. Todas las actividades de limpieza de bermas colmatadas deben ser obligatoriamente visadas (aprobadas) por el área de Geotecnia antes de su ejecución.</t>
  </si>
  <si>
    <t>c. El área de Geotecnia es responsable de evaluar y definir el grado de inestabilidad de una zona amagada por una tronadura, y el ingreso para realizar tareas como la limpieza de bermas queda supeditado a dicha evaluación de riesgo</t>
  </si>
  <si>
    <t>HUMECTACIÓN DEL MATERIAL FRAGMENTADO</t>
  </si>
  <si>
    <t>Se debe aplicar la humectación (riego) sobre el área que contenga una carga no iniciada, como un fragmentador de roca (plasma), con el objetivo de controlar las condiciones del entorno y asegurar el área antes de realizar cualquier maniobra de intervención sobre dicha carga.</t>
  </si>
  <si>
    <t>a. El supervisor a cargo debe solicitar el apoyo de un camión aljibe para humectar el área específica que contiene la carga sin iniciar.</t>
  </si>
  <si>
    <t>b. Antes de intervenir una carga no iniciada, y después de la humectación, se deben verificar las condiciones del pozo y las vías de acceso a la carga para garantizar que la intervención sea segura.</t>
  </si>
  <si>
    <t>c. La humectación del material es una medida de control que se debe aplicar específicamente en el escenario de detectar una carga no iniciada, para mitigar riesgos antes de la intervención.</t>
  </si>
  <si>
    <t>LISTADO DE AUTODIAGNÓSTICO RIESGO DE FATALIDAD N° 10: VEHÍCULOS</t>
  </si>
  <si>
    <t>Este riesgo de fatalidad aplica a vehículos que transitan a través de carreteras, tales como:
• Camionetas.
• Vehículos de transporte de personal como:
• Buses
• Mini buses
• Vehículos de transporte de carga.</t>
  </si>
  <si>
    <t>Este evento considera como exclusión los siguientes escenarios:
• Operación de equipos mineros
• Equipos autónomos
• Interacciones de vehículos , equipos móviles con peatones e el sitio, incluido el subterráneo</t>
  </si>
  <si>
    <t>CONDUCTOR ACREDITADO Y APTO FÍSICA Y
PSICOLÓGICAMENTE</t>
  </si>
  <si>
    <t>Garantizar que toda persona que conduzca un vehículo cuente con las competencias
técnicas, una autorización interna vigente para el tipo de vehículo específico y una
condición física y psicológica compatible con la tarea de conducir, asegurando así un
estado de alerta y una conducta segura en todo momento.</t>
  </si>
  <si>
    <t>RF 10</t>
  </si>
  <si>
    <t>INTEGRIDAD MECÁNICA Y
SISTEMAS ACTIVOS DEL VEHÍCULO</t>
  </si>
  <si>
    <t>Asegurar que todos los vehículos que transitan en faena cumplan con las
especificaciones técnicas definidas para el entorno minero y que sus sistemas de
seguridad activos (frenos, dirección, neumáticos) sean mantenidos e
inspeccionados sistemáticamente para garantizar su correcto funcionamiento en
todo momento.</t>
  </si>
  <si>
    <t>Inspección Pre-Uso</t>
  </si>
  <si>
    <t>SISTEMA INTEGRAL DE ASISTENCIA Y
MONITOREO A LA CONDUCCIÓN</t>
  </si>
  <si>
    <t>Garantizar que la conducción de vehículos sea monitoreada y regulada
permanentemente a través de sistemas tecnológicos y reglas operacionales claras,
gestionando activamente la velocidad, la fatiga del conductor y las condiciones del
entorno para prevenir la pérdida de control.</t>
  </si>
  <si>
    <t>Disponibilidad de
Sistemas</t>
  </si>
  <si>
    <t>INFRAESTRUCTURA VIAL
CONFORME A DISEÑO</t>
  </si>
  <si>
    <t>Asegurar que todas las rutas y caminos utilizados en la faena sean diseñados,
construidos y mantenidos de acuerdo a estándares definidos, garantizando que
elementos como bermas, pretiles, señalización y lechos de frenado estén siempre
operativos para prevenir la pérdida de control o mitigar sus consecuencias.</t>
  </si>
  <si>
    <t>Garantizar la existencia de un plan de respuesta a emergencias robusto y ensayado,
con personal brigadista capacitado, equipamiento de rescate y extricación
vehicular operativo, y una coordinación efectiva con el personal médico para
proveer atención oportuna y especializada a las personas lesionadas tras un
accidente vehicular.</t>
  </si>
  <si>
    <t>SISTEMA DE COMUNICACIÓN OPERACIONAL EFECTIVA</t>
  </si>
  <si>
    <t>EVALUACIÓN Y SUSPENSIÓN POR CONDICIONES CLIMÁTICAS</t>
  </si>
  <si>
    <t>INSPECCIÓN PREOPERACIONAL DE VEHÍCULO</t>
  </si>
  <si>
    <t>DISPOSITIVOS DE VISIBILIDAD Y SEÑALIZACIÓN</t>
  </si>
  <si>
    <t xml:space="preserve">CM1 </t>
  </si>
  <si>
    <t>PARABRISAS LAMINADO E INASTILLABLE</t>
  </si>
  <si>
    <t>EXTINTOR Y BOTIQUÍN EN CABINA</t>
  </si>
  <si>
    <t>PÉRTIGA CON LUZ, BALIZA, FOCO PARA VISIÓN POSTERIOR (FAENERO)</t>
  </si>
  <si>
    <t>Columna1</t>
  </si>
  <si>
    <t>LISTADO DE AUTODIAGNÓSTICO RIESGO DE FATALIDAD N° 11: ESPACIOS CONFINADOS</t>
  </si>
  <si>
    <t>Este evento considera como exclusión los siguientes escenarios.
1.- Desarrollo minero subterráneo.
2.- Convertidor (Reactor).
3.- Domos y stock pile.</t>
  </si>
  <si>
    <t>SISTEMA DE INGRESO
CONTROLADO Y VIGILADO</t>
  </si>
  <si>
    <t>Prevenir el ingreso no autorizado o en condiciones inseguras a un espacio confinado,
asegurando que toda entrada sea autorizada mediante un permiso de trabajo, con la
presencia permanente de un vigía y un sistema de comunicación efectivo.</t>
  </si>
  <si>
    <t>Procedimiento de
Ingreso a Espacio
Confinado.</t>
  </si>
  <si>
    <t>Solicitar el procedimiento vigente y verificar que
define los roles de supervisor, vigía y personal
entrante.
Verificar que el personal recibió instrucción en el
procedimiento.</t>
  </si>
  <si>
    <t>Permiso de Ingreso a
Espacio Confinado
(PTEC).</t>
  </si>
  <si>
    <t>Solicitar el PTEC de una tarea, verificando su
correcto llenado, firmas, mediciones de gases y
autorización.</t>
  </si>
  <si>
    <t>Designación y
Presencia de Vigía.</t>
  </si>
  <si>
    <t>Verificar en el PTEC la designación de un vigía
exclusivo y confirmar su presencia permanente en el
punto de ingreso.</t>
  </si>
  <si>
    <t>Sistema de
Comunicación
Bidireccional.</t>
  </si>
  <si>
    <t>Solicitar el registro de la prueba de comunicación
entre el vigía y el personal entrante antes de
autorizar el ingreso.</t>
  </si>
  <si>
    <t>Control de Acceso y
Registro de Personal.</t>
  </si>
  <si>
    <t>Verificar que el vigía mantiene un registro
actualizado de quiénes y a qué hora ingresaron y
salieron del espacio.</t>
  </si>
  <si>
    <t>Personal Acreditado y
Capacitado</t>
  </si>
  <si>
    <t>Solicitar credencial, registros de aprobación de curso
del riesgo de fatalidad e instrucción del
procedimiento de trabajo en espacios confinados y
los certificados de aptitud médica del personal.</t>
  </si>
  <si>
    <t>RF 11</t>
  </si>
  <si>
    <t>EVALUACIÓN Y MONITOREO
CONTINUO DE ATMÓSFERA</t>
  </si>
  <si>
    <t>Prevenir la intoxicación, asfixia o explosión, asegurando que la atmósfera de todo
espacio confinado sea medida antes de ingresar y monitoreada continuamente
durante la permanencia del personal, utilizando equipos calibrados y específicos
para los riesgos presentes.</t>
  </si>
  <si>
    <t>Procedimiento de
Medición de Atmósfera.</t>
  </si>
  <si>
    <t>Solicitar el procedimiento que define cómo,
cuándo y desde dónde se deben realizar las
mediciones de atmósfera.</t>
  </si>
  <si>
    <t>Medición Inicial Previo al
Ingreso.</t>
  </si>
  <si>
    <t>Verificar en el Permiso de Ingreso (PTEC) el
registro de la medición inicial de gases (O₂,
LEL, CO, H₂S), con fecha, hora y firma.</t>
  </si>
  <si>
    <t>Monitoreo Continuo
Durante la Tarea.</t>
  </si>
  <si>
    <t>Verificar en terreno que el personal dentro del
espacio confinado porta un monitor de gases
personal, encendido y operativo.</t>
  </si>
  <si>
    <t>Equipos de Medición
Calibrados y Certificados.</t>
  </si>
  <si>
    <t>Solicitar el certificado de calibración vigente
del equipo de medición de gases y registro de
prueba de verificación funcional.</t>
  </si>
  <si>
    <t>Personal Entrenado en
Medición de Gases.</t>
  </si>
  <si>
    <t>Solicitar los registros de instrucción práctica
del personal autorizado para realizar
mediciones de atmósfera.</t>
  </si>
  <si>
    <t>Protocolo de Acción ante
Alarmas.</t>
  </si>
  <si>
    <t>Verificar en el procedimiento la instrucción de
evacuación inmediata del espacio ante
cualquier alarma del monitor de gases.</t>
  </si>
  <si>
    <t>IDENTIFICACIÓN Y PREPARACIÓN
DE ESPACIOS CONFINADOS</t>
  </si>
  <si>
    <t>Asegurar que todos los espacios confinados estén identificados, señalizados y
preparados adecuadamente antes del ingreso, mediante la aislación de energías, el
control de flujos de entrada y la implementación de ventilación para mantener una
atmósfera segura.</t>
  </si>
  <si>
    <t>Catastro de Espacios
Confinados
Actualizado.</t>
  </si>
  <si>
    <t>Solicitar el inventario y mapa de todos los espacios
confinados del área, con su clasificación de riesgo.</t>
  </si>
  <si>
    <t>Señalización de
Espacios Confinados.</t>
  </si>
  <si>
    <t>Verificar en terreno que todas las entradas a
espacios confinados están señalizadas.</t>
  </si>
  <si>
    <t>Aislación y Bloqueo
de Energías y Flujos.</t>
  </si>
  <si>
    <t>Solicitar el Permiso de Ingreso (PTEC) y los registros
de bloqueo que verifiquen el aislamiento de todas
las energías y líneas de proceso.</t>
  </si>
  <si>
    <t>Preparación del
Espacio (Purga y
Limpieza).</t>
  </si>
  <si>
    <t>Verificar en el procedimiento y en el PTEC los
requisitos de limpieza, drenaje o inertización previos
al ingreso.</t>
  </si>
  <si>
    <t>Sistema de
Ventilación Adecuado.</t>
  </si>
  <si>
    <t>Verificar que el cálculo de ventilación y el equipo
utilizado son los adecuados para el tamaño del
espacio y los contaminantes.</t>
  </si>
  <si>
    <t>Inspección de
Equipos de
Ventilación.</t>
  </si>
  <si>
    <t>Solicitar los registros de inspección y
mantenimiento de los equipos de ventilación
forzada.</t>
  </si>
  <si>
    <t>CAPACIDAD DE RESPUESTA Y
RESCATE ANTE EMERGENCIA EN
ESPACIOS CONFINADOS</t>
  </si>
  <si>
    <t>Garantizar un rescate rápido, seguro y eficaz de personas desde un espacio
confinado en caso de una emergencia, mediante un plan de rescate específico,
personal entrenado y equipamiento adecuado disponible en el lugar.</t>
  </si>
  <si>
    <t>Plan de Rescate para
Espacios Confinados</t>
  </si>
  <si>
    <t>Verificar que el plan de rescate está documentado
y aprobado.</t>
  </si>
  <si>
    <t>Equipo de Rescate
Disponible e
Inspeccionado.</t>
  </si>
  <si>
    <t>Verificar en terreno la presencia y el registro de
inspección vigente del equipo de rescate (trípode,
huinche, ERA, cuerdas, etc.).</t>
  </si>
  <si>
    <t>Personal de Rescate
Entrenado</t>
  </si>
  <si>
    <t>Solicitar los registros de capacitación de la brigada
o equipo de rescate en espacios confinados.</t>
  </si>
  <si>
    <t>Simulacros de
Rescate Realizados y
Evaluados.</t>
  </si>
  <si>
    <t>Solicitar el informe del último simulacro de rescate
en espacio confinado, verificando tiempos y planes
de acción de las brechas.</t>
  </si>
  <si>
    <t>Comunicación con
Equipo de Rescate.</t>
  </si>
  <si>
    <t>Verificar en el PTEC el registro de la comunicación
con la brigada o equipo de rescate para
informarles del inicio del trabajo.</t>
  </si>
  <si>
    <t>VENTILACIÓN FORZADA INSTALADA Y OPERATIVA EN ESPACIOS
CONFINADOS (CUANDO APLIQUE)</t>
  </si>
  <si>
    <t>ILUMINACIÓN CERTIFICADA Y SEGURA PARA ESPACIOS CONFINADOS</t>
  </si>
  <si>
    <t>SALUD COMPATIBLE PARA INGRESO A ESPACIOS CONFINADOS</t>
  </si>
  <si>
    <t>LISTADO DE AUTODIAGNÓSTICO RIESGO DE FATALIDAD N° 12: METALES FUNDIDOS</t>
  </si>
  <si>
    <t>PERSONAL CAPACITADO PARA
TRABAJAR CON METALES FUNDIDOS</t>
  </si>
  <si>
    <t>Todo trabajador que desarrolle actividades en contacto directo con metales fundidos
debe estar capacitado y autorizado por la administración, demostrando conocimiento
en los riesgos y controles de los equipos y procesos específicos del área.</t>
  </si>
  <si>
    <t>Personal capacitado</t>
  </si>
  <si>
    <t>Solicitar registro de aprobación de cursos de
riesgo de fatalidad de metales fundidos.
Verificar que el personal conoce los parámetros
operacionales y el riesgo de explosión, por el
contacto de agua con metales fundidos</t>
  </si>
  <si>
    <t>Listado de personal
autorizado</t>
  </si>
  <si>
    <t>Solicitar al supervisor el listado de personal
autorizado</t>
  </si>
  <si>
    <t>Personal autorizado para
la operación de equipos</t>
  </si>
  <si>
    <t>Solicitar el listado de personal autorizado para
operar equipos específicos del proceso
pirometalúrgico, tales como Hornos (Flash,
Eléctrico, Refino), Convertidores (CPS, Teniente),
Puentes Grúa, Locomotoras, Camiones de Escoria
y Rueda de Moldeo, se otorgará únicamente al
personal que haya aprobado el curso de
operación de equipos.</t>
  </si>
  <si>
    <t>RF 12</t>
  </si>
  <si>
    <t>CONTROL DE ACCESO A ÁREAS DE
FUNDICIÓN</t>
  </si>
  <si>
    <t>Prevenir la exposición de personal a la línea de fuego del metal fundido, asegurando que
todo ingreso y tránsito por las naves de fundición sea estrictamente controlado,
comunicado y autorizado, siguiendo un plan de tránsito establecido.</t>
  </si>
  <si>
    <t>Plan de Tránsito y Control
de Ingreso Vigente.</t>
  </si>
  <si>
    <t>Solicitar el plan de tránsito del área y el
procedimiento de control de ingreso, verificando su
actualización y difusión.</t>
  </si>
  <si>
    <t>Autorización Formal de
Ingreso.</t>
  </si>
  <si>
    <t>Solicitar registros (bitácoras, permisos) que
evidencien la autorización de ingreso del personal
ajeno a la operación.</t>
  </si>
  <si>
    <t>Comunicación Radial
Bidireccional.</t>
  </si>
  <si>
    <t>Verificar en terreno que el personal en piso cuenta
con radio y ha establecido comunicación con la sala
de control u operadores.</t>
  </si>
  <si>
    <t>Demarcación de Líneas
de Fuego y Vías
Peatonales.</t>
  </si>
  <si>
    <t>Verificar en terreno que las zonas de alto riesgo y las
vías de tránsito seguras están claramente
demarcadas y señalizadas.</t>
  </si>
  <si>
    <t>Segregación de
Ambientes de Trabajo.</t>
  </si>
  <si>
    <t>Verificar en terreno la implementación de barreras
que segregan la interacción entre equipos pesados,
livianos y personas.</t>
  </si>
  <si>
    <t>Personal Capacitado para
el Área.</t>
  </si>
  <si>
    <t>Solicitar los registros del curso de riesgo de fatalidad
e instrucción de la inducción específica para
ingresar y trabajar en áreas de fundición.</t>
  </si>
  <si>
    <t>CONTROL OPERACIONAL DEL METAL
FUNDIDO (TRASLADO, MONITOREO,
REFRIGERACIÓN)</t>
  </si>
  <si>
    <t>Prevenir derrames o proyecciones violentas de metal, asegurando que el traslado,
el monitoreo de variables críticas y la integridad de los equipos que contienen o
están en contacto con material fundido se gestionen conforme a procedimientos y
estándares de mantenimiento.</t>
  </si>
  <si>
    <t>Programa de
Mantenimiento de
Equipos Críticos.</t>
  </si>
  <si>
    <t>Solicitar la pauta y los registros de
mantenimiento preventivo ejecutado para
equipos clave (puentes grúa, hornos,
convertidores).</t>
  </si>
  <si>
    <t>Inspección de Pre-Uso de
Equipos de Traslado.</t>
  </si>
  <si>
    <t>Solicitar los checklists de pre-uso firmados por
los operadores de puentes grúa y locomotoras
del turno.</t>
  </si>
  <si>
    <t>Monitoreo de Variables
Críticas de Proceso.</t>
  </si>
  <si>
    <t>Verificar en sala de control los registros de
monitoreo de variables críticas (ej.
temperatura de hornos, niveles).</t>
  </si>
  <si>
    <t>Sistemas de Refrigeración
Operativos.</t>
  </si>
  <si>
    <t>Solicitar los registros de inspección y
mantenimiento que verifiquen el correcto
funcionamiento de los sistemas de
refrigeración.</t>
  </si>
  <si>
    <t>Control de Velocidad de
Equipos Móviles.</t>
  </si>
  <si>
    <t>Verificar mediante observación o registros
(GPS si aplica) que los equipos de traslado
operan a velocidades controladas.</t>
  </si>
  <si>
    <t>Competencias y
Acreditación del Personal
Operador</t>
  </si>
  <si>
    <t>Solicitar listado de competencias del perfil o
descriptor del cargo, aprobación del curso de
riesgo de fatalidad y acreditación vigentes
para operadores de equipos críticos.</t>
  </si>
  <si>
    <t>CONTROL DE HUMEDAD EN
OPERACIONES CON METAL
FUNDIDO</t>
  </si>
  <si>
    <t>Prevenir explosiones por contacto de agua/humedad con metal fundido, asegurando
que todas las áreas, materiales, herramientas y equipos estén secos, y que los sistemas
de drenaje y bombeo de las naves estén permanentemente operativos.</t>
  </si>
  <si>
    <t>Procedimiento de
Control de Humedad.</t>
  </si>
  <si>
    <t>Solicitar el procedimiento que define los controles
para evitar el contacto de agua con metal fundido.</t>
  </si>
  <si>
    <t>Verificación de
Materiales Secos.</t>
  </si>
  <si>
    <t>Verificar en el procedimiento y mediante
observación en terreno, los controles para asegurar
la sequedad de los materiales añadidos a los hornos.</t>
  </si>
  <si>
    <t>Precalentamiento de
Herramientas y
Recipientes.</t>
  </si>
  <si>
    <t>Solicitar los registros o verificar en terreno que las
ollas, cucharas y herramientas son precalentadas
antes de su uso.</t>
  </si>
  <si>
    <t>Sistemas de Drenaje y
Bombeo Operativos.</t>
  </si>
  <si>
    <t>Solicitar los registros de inspección y
mantenimiento de los sistemas de drenaje y
bombas de las naves de fundición.</t>
  </si>
  <si>
    <t>Inspección de
Presencia de Agua en
Áreas Críticas.</t>
  </si>
  <si>
    <t>Solicitar los checklists de la supervisión que incluyan
la inspección de fosos y pisos buscando presencia
de agua.</t>
  </si>
  <si>
    <t>Personal Capacitado
en Riesgo Agua-
Metal.</t>
  </si>
  <si>
    <t>Solicitar los registros de capacitación que
demuestren que el personal ha sido instruido sobre
el peligro de explosiones por humedad.</t>
  </si>
  <si>
    <t>PROTECCIÓN PERSONAL Y ESTRUCTURAL
CONTRA METAL FUNDIDO (EPP, CASETAS
Y CONTENCIÓN)</t>
  </si>
  <si>
    <t>Minimizar las consecuencias de un contacto con metal fundido, asegurando que el
personal expuesto utilice EPP especializado que retarde la transferencia de calor, y
que existan refugios estructurales (casetas, cabinas) que provean una barrera física
contra derrames y proyecciones.</t>
  </si>
  <si>
    <t>EPP para Metal
Fundido.</t>
  </si>
  <si>
    <t>Solicitar documento que defina el tipo de traje y
elementos de protección según la tarea y el nivel
de exposición.</t>
  </si>
  <si>
    <t>Inspección de EPP
Pre-Uso.</t>
  </si>
  <si>
    <t>Verificar mediante observación en terreno que el
personal utiliza el EPP correcto y que este se
encuentra en buen estado.</t>
  </si>
  <si>
    <t>Diseño y Estándar de
Salas y Cabinas.</t>
  </si>
  <si>
    <t>Por Proyecto</t>
  </si>
  <si>
    <t>Solicitar el estándar de diseño y la memoria de
cálculo para salas de control, casetas de refugio y
cabinas de equipos.</t>
  </si>
  <si>
    <t>Inspección de
Integridad de
Estructuras.</t>
  </si>
  <si>
    <t>Solicitar los registros de inspección que verifican la
integridad de salas, cabinas y casetas
(hermeticidad, vidrios, estructura).</t>
  </si>
  <si>
    <t>Programa de
Mantenimiento de
Estructuras.</t>
  </si>
  <si>
    <t>Solicitar el programa de mantenimiento para las
salas, cabinas y casetas de protección y verificar
sus registros de ejecución.</t>
  </si>
  <si>
    <t>Disponibilidad y
Gestión de Stock de
EPP.</t>
  </si>
  <si>
    <t>Solicitar los registros de inventario y verificar la
disponibilidad de stock para el EPP específico para
metal fundido.</t>
  </si>
  <si>
    <t>CAPACIDAD DE RESPUESTA Y
RESCATE ANTE EMERGENCIA</t>
  </si>
  <si>
    <t>Garantizar una respuesta sistémica, inmediata y eficaz ante un accidente con metal
fundido, integrando la comunicación, la brigada y la atención médica especializada,
para rescatar, enfriar y atender a las personas afectadas y minimizar la severidad de
las quemaduras.</t>
  </si>
  <si>
    <t>Plan de Emergencia
Específico para
Quemaduras.</t>
  </si>
  <si>
    <t>Solicitar el plan de emergencia y verificar que
incluye un protocolo específico para contacto con
metal fundido.</t>
  </si>
  <si>
    <t>Brigada y Personal
Médico Entrenados.</t>
  </si>
  <si>
    <t>Solicitar los registros de entrenamiento de la
brigada y del personal de salud.</t>
  </si>
  <si>
    <t>Duchas de
Emergencia y
Equipos de Primera
Respuesta.</t>
  </si>
  <si>
    <t>Solicitar los registros de inspección y pruebas
funcionales semanales de las duchas y lavaojos de
emergencia.</t>
  </si>
  <si>
    <t>Sistemas de Alarma y
Comunicación
Funcionales.</t>
  </si>
  <si>
    <t>Solicitar registros de pruebas funcionales de los
sistemas de alarma y de los canales de
comunicación de emergencia.</t>
  </si>
  <si>
    <t>Simulacros
Específicos Realizados
y Evaluados.</t>
  </si>
  <si>
    <t>Solicitar el informe del último simulacro de contacto
con metal fundido, verificando tiempos de
respuesta y planes de acción.</t>
  </si>
  <si>
    <t>Personal Capacitado
ante Emergencias</t>
  </si>
  <si>
    <t>Verificar que el personal ha sido instruido en el
procedimiento de emergencia y realizó el curso de
primeros auxilios.</t>
  </si>
  <si>
    <t>REGULACIÓN DE PERNOS TENSORES EN PISO Y BÓVEDA</t>
  </si>
  <si>
    <t>USO DE BOCINA/BALIZA ANTES DE INICIAR MOVIMIENTO</t>
  </si>
  <si>
    <t>SALUD COMPATIBLE PARA TRABAJOS CON METAL FUNDIDO</t>
  </si>
  <si>
    <t>LISTADO DE AUTODIAGNÓSTICO RIESGO DE FATALIDAD N° 13: CAÍDA DE OBJETOS</t>
  </si>
  <si>
    <t>Este evento considera como exclusión los siguientes escenarios:
• Operaciones con aeronaves no tripuladas (drones).
• Operaciones con aeronaves tripuladas.
• Caídas de rocas por falla de terreno.
• Procesos productivos en minería subterráneas.
• Falla o colapso estructural.
• Perforación en sondaje.
• Proyección de rocas en tronaduras.</t>
  </si>
  <si>
    <t>ESTRUCTURAS Y MATERIALES
SUJETOS EN ALTURA</t>
  </si>
  <si>
    <t>Prevenir la caída de objetos por fallas estructurales, almacenamiento incorrecto o condiciones
ambientales, asegurando que todas las estructuras en altura sean inspeccionadas, los materiales
acopiados estén asegurados y se controlen los trabajos ante vibraciones o clima adverso.</t>
  </si>
  <si>
    <t>Programa de Inspección
de Estructuras.</t>
  </si>
  <si>
    <t>Solicitar el programa de inspección estructural y los
informes con los hallazgos y planes de acción.</t>
  </si>
  <si>
    <t>Procedimiento o
instructivo de Acopio
Seguro en Altura.</t>
  </si>
  <si>
    <t>Solicitar el procedimiento o instructivo que define
los criterios para el apilamiento y aseguramiento de
materiales en plataformas.</t>
  </si>
  <si>
    <t>Barreras para Objetos
Rodantes.</t>
  </si>
  <si>
    <t>Verificar en terreno que las áreas de acopio de
objetos cilíndricos cuentan con barreras o sistemas
de contención efectivos.</t>
  </si>
  <si>
    <t>Retiro Programado de
Material Acumulado.</t>
  </si>
  <si>
    <t>Solicitar el programa de limpieza de estructuras de
proceso (correas, chutes) y los registros de su
ejecución.</t>
  </si>
  <si>
    <t>Control por Condiciones
Climáticas Adversas.</t>
  </si>
  <si>
    <t>Solicitar el procedimiento que define los criterios de
suspensión de trabajos por viento, lluvia o nieve.</t>
  </si>
  <si>
    <t>Control de Vibraciones.</t>
  </si>
  <si>
    <t>Verificar que el plan de mantenimiento incluye la
inspección de fijaciones y el control de vibraciones
en equipos críticos.</t>
  </si>
  <si>
    <t>RF 13</t>
  </si>
  <si>
    <t>CONTROL DE TRABAJOS EN LA
VERTICAL</t>
  </si>
  <si>
    <t>Prevenir la caída de herramientas y objetos durante la ejecución de trabajos en
altura, asegurando que toda tarea en la vertical sea planificada, que las
herramientas estén amarradas, y que los trabajos simultáneos en distintos niveles
estén coordinados.</t>
  </si>
  <si>
    <t>Procedimiento de trabajo</t>
  </si>
  <si>
    <t>Solicitar el procedimiento de trabajo para una
tarea en altura, verificando el análisis de
riesgo de caída de objetos y la autorización.</t>
  </si>
  <si>
    <t>Control de Trabajos
Simultáneos.</t>
  </si>
  <si>
    <t xml:space="preserve">Por evento </t>
  </si>
  <si>
    <t>Solicitar el registro de coordinación (ART
cruzado) para trabajos simultáneos en la
misma vertical.</t>
  </si>
  <si>
    <t>Sistema de Sujeción de
Herramientas.</t>
  </si>
  <si>
    <t>Verificar en terreno que el personal utiliza
sistemas de amarre (muñequeras, cordeles
certificados) para sus herramientas.</t>
  </si>
  <si>
    <t>Elementos de Izaje
Manual Certificados.</t>
  </si>
  <si>
    <t>Solicitar la inspección y certificación vigente
de los elementos de izaje manual (tecles,
eslingas).</t>
  </si>
  <si>
    <t>Housekeeping Obligatorio
Post-Tarea.</t>
  </si>
  <si>
    <t>Diaria</t>
  </si>
  <si>
    <t>Verificar en procedimiento y en terreno, el
retiro de todos los materiales al finalizar cada
trabajo.</t>
  </si>
  <si>
    <t>Personal capacitado para
Trabajos en Altura.</t>
  </si>
  <si>
    <t>Solicitar los registros de capacitación y
acreditación del personal que ejecuta
trabajos en la vertical.</t>
  </si>
  <si>
    <t>SISTEMAS DE CONTENCIÓN Y
SEGREGACIÓN</t>
  </si>
  <si>
    <t>Minimizar las consecuencias de una caída de objetos, mediante la instalación de
sistemas de contención secundaria (mallas, rodapiés) y la segregación física de los
niveles inferiores para evitar que personas ingresen a la zona de caída.</t>
  </si>
  <si>
    <t>Procedimiento que
regule la Segregación
de Niveles Inferiores.</t>
  </si>
  <si>
    <t>Solicitar el procedimiento o instructivo que defina el
tipo de barrera física y el radio de exclusión para
trabajos en altura.</t>
  </si>
  <si>
    <t>Implementación de
Segregación Efectiva.</t>
  </si>
  <si>
    <t>Verificar en terreno que el área bajo la zona de
trabajo está segregada con barreras físicas y
señalizada.</t>
  </si>
  <si>
    <t>Instalación de
Rodapiés en
Plataformas.</t>
  </si>
  <si>
    <t>Inspeccionar los andamios y plataformas de trabajo,
verificando que todos los bordes cuentan con
rodapiés.</t>
  </si>
  <si>
    <t>Uso de Sistemas de
Contención
Secundaria.</t>
  </si>
  <si>
    <t>Para trabajos sobre áreas críticas, verificar en el plan
de trabajo la definición e instalación de mallas o
bandejas de contención.</t>
  </si>
  <si>
    <t>Inspección de
Integridad de
Barreras.</t>
  </si>
  <si>
    <t>Solicitar los registros de inspección que verifican el
buen estado de las mallas, rodapiés y otros sistemas
de contención.</t>
  </si>
  <si>
    <t>Personal instruido en
Segregación.</t>
  </si>
  <si>
    <t>Verificar registros de aprobación de instrucción del
personal en segregación y, mediante entrevistas en
terreno, verificar que el personal conoce su
importancia y las aplica.</t>
  </si>
  <si>
    <t>Garantizar una respuesta médica rápida, coordinada y eficaz ante un accidente por
caída de objetos, para estabilizar al lesionado, minimizar la severidad del trauma y
asegurar su evacuación a un centro de atención especializado en el menor tiempo
posible.</t>
  </si>
  <si>
    <t>Plan de Emergencia
para Trauma por
Impacto.</t>
  </si>
  <si>
    <t>Solicitar el plan de emergencia y verificar que
incluye un protocolo específico para la atención de
lesionados por caída de objetos.</t>
  </si>
  <si>
    <t>Brigada Entrenada en
Trauma.</t>
  </si>
  <si>
    <t>Solicitar los registros de entrenamiento de la
brigada en protocolos de primeros auxilios.</t>
  </si>
  <si>
    <t>Equipos de Primera
Respuesta y Rescate
Disponibles.</t>
  </si>
  <si>
    <t>Solicitar los registros de inspección mensual de los
equipos de primera respuesta y rescate.</t>
  </si>
  <si>
    <t>Sistemas de
Comunicación de
Emergencia
Funcionales.</t>
  </si>
  <si>
    <t>Solicitar registros de pruebas funcionales de los
canales de radio y los números telefónicos de
emergencia.</t>
  </si>
  <si>
    <t>Simulacros
Específicos
Realizados.</t>
  </si>
  <si>
    <t>Solicitar el informe del último simulacro de
accidente por caída de objeto, verificando tiempos
de respuesta y planes de acción.</t>
  </si>
  <si>
    <t>Personal Capacitado
en Primera
Respuesta.</t>
  </si>
  <si>
    <t>Solicitar los registros de capacitación en primeros
auxilios básicos para el personal que trabaja en
áreas de riesgo.</t>
  </si>
  <si>
    <t>CONTROL DE ORDEN Y LIMPIEZA EN TRABAJOS EN ALTURA</t>
  </si>
  <si>
    <t>Todas las plataformas de trabajo en altura deben
mantenerse ordenadas, limpias y libres de
objetos, herramientas o materiales sueltos que
no estén en uso y que puedan caer
accidentalmente.</t>
  </si>
  <si>
    <t>a. El supervisor a cargo de la tarea es
responsable de asegurar que el área de trabajo
se mantenga despejada, verificando que solo
permanezcan en altura las herramientas y
materiales necesarios para la ejecución
inmediata del trabajo.</t>
  </si>
  <si>
    <t>b. Todo el personal que trabaje en altura debe
practicar un housekeeping continuo,
almacenando temporalmente los pernos,
tuercas, piezas menores y herramientas en
contenedores o bolsos amarrados a la estructura.</t>
  </si>
  <si>
    <t>c. Al finalizar el turno o la tarea, se debe realizar
una limpieza completa del área, asegurando el
retiro de todos los elementos estructurales,
insumos, despuntes y objetos externos a la
instalación, prohibiendo abandonar cualquier
material en altura.</t>
  </si>
  <si>
    <t>USO DE PORTA HERRAMIENTAS CERTIFICADOS</t>
  </si>
  <si>
    <t>Toda herramienta manual utilizada en trabajos
en altura debe ser asegurada mediante el uso de
bolsos, cinturones o cordeles de sujeción (colas
de amarre) diseñados y certificados para evitar
su caída.</t>
  </si>
  <si>
    <t>a. El trabajador es responsable de asegurar cada
una de sus herramientas manuales a un punto
de anclaje seguro (cinturón, muñeca o
estructura) antes de iniciar el ascenso o la tarea
en altura.</t>
  </si>
  <si>
    <t>b. El supervisor debe verificar que el personal a
su cargo cuenta con los dispositivos
portaherramientas adecuados y certificados para
las herramientas que utilizará, y que los utiliza
correctamente durante toda la tarea.</t>
  </si>
  <si>
    <t>c. Está prohibido transportar herramientas en los
bolsillos, en la mano durante el ascenso o
descenso de escaleras, o utilizar elementos
hechizos (alambres, cordeles no certificados)
para su sujeción.</t>
  </si>
  <si>
    <t>INSPECCIÓN VISUAL DE ACCESORIOS DE IZAJE MANUAL</t>
  </si>
  <si>
    <t>Todos los accesorios y sistemas de sujeción
utilizados para el izaje manual de objetos en
altura (cables, ganchos, seguros, chavetas) deben
ser inspeccionados visualmente por el usuario
antes de cada maniobra.</t>
  </si>
  <si>
    <t>a. El trabajador, antes de conectar la carga, debe
realizar una inspección visual del sistema de
sujeción para verificar la ausencia de daños,
deformaciones, desgaste excesivo o mal
funcionamiento de sus componentes, como el
seguro del gancho.</t>
  </si>
  <si>
    <t>b. Cualquier accesorio de izaje que presente una
condición subestándar o un defecto debe ser
retirado de servicio inmediatamente, etiquetado
como "No Usar" y reportado a la supervisión para
su reemplazo.</t>
  </si>
  <si>
    <t>c. El supervisor a cargo debe verificar que el
método de trabajo y los accesorios de izaje
seleccionados sean los correctos para el peso y la
forma del objeto a izar, asegurando que no se
excedan las capacidades de diseño.</t>
  </si>
  <si>
    <t>Se deben establecer y aplicar sistemas de detección y respuesta ante condiciones meteorológicas adversas, suspendiendo los procesos de carguío y tronadura para evitar incidentes causados por tormentas eléctricas, nevazones, ventiscas o vientos fuertes</t>
  </si>
  <si>
    <t>LISTADO DE AUTODIAGNÓSTICO RIESGO DE FATALIDAD N°16: VACIADOS, CHIMENEAS, PIQUES</t>
  </si>
  <si>
    <t>Este evento considera como exclusión los siguientes escenarios:
• Montaje de plataforma
• Túneles horizontales.</t>
  </si>
  <si>
    <t>CONDICIONES SEGURAS DE
INGRESO Y OPERACIÓN EN PIQUES Y CHIMENEAS</t>
  </si>
  <si>
    <t>Prevenir caídas, asfixia o atrapamiento, asegurando que el ingreso y operación en puntos de
vaciado, piques y chimeneas se realice únicamente tras aislar y bloquear energías, monitorear la
atmósfera, y controlar el acceso con segregación y señalización adecuadas.</t>
  </si>
  <si>
    <t>Aislación y Bloqueo de Energías.</t>
  </si>
  <si>
    <t>Solicitar el permiso de trabajo y los registros de bloqueo
que verifican el aislamiento de todas las fuentes de
energía y flujos de material</t>
  </si>
  <si>
    <t xml:space="preserve"> Monitoreo Continuo de Atmósfera</t>
  </si>
  <si>
    <t>Verificar en el permiso de trabajo el registro de la medición inicial de gases y que el personal cuenta con monitores personales.</t>
  </si>
  <si>
    <t>Segregación Física y Control de Acceso.</t>
  </si>
  <si>
    <t>Verificar en terreno que el área de trabajo está segregada
con barreras duras (ej. mallas de control de acceso) y señalizada.</t>
  </si>
  <si>
    <t xml:space="preserve"> Iluminación.</t>
  </si>
  <si>
    <t>Solicitar los registros de mediciones de luxometría que
verifiquen que la iluminación en el área cumple con el
mínimo 200 lux.</t>
  </si>
  <si>
    <t xml:space="preserve"> Sistemas de Supresión de Polvo.</t>
  </si>
  <si>
    <t>Verificar en terreno que los sistemas de nebulizadores en
puntos de vaciado están operativos</t>
  </si>
  <si>
    <t>Personal capacitado para Tareas en Piques.</t>
  </si>
  <si>
    <t>Solicitar los registros del curso del riesgo de fatalidad del
personal que ejecuta trabajos en excavaciones verticales</t>
  </si>
  <si>
    <t>FORTIFICACIÓN Y SELLADO DE
EXCAVACIONES VERTICALES</t>
  </si>
  <si>
    <t>Prevenir la caída de rocas o el ingreso inadvertido a excavaciones verticales, asegurando
que los piques y chimeneas sean diseñados y fortificados según las condiciones del macizo, y que las labores abandonadas o en discontinuidad sean selladas con tapados herméticos.</t>
  </si>
  <si>
    <t>Diseño Geotécnico de Excavaciones Verticales.</t>
  </si>
  <si>
    <t>Solicitar el diseño de la chimenea o pique, verificando que incluye la validación geomecánica para su fortificación.</t>
  </si>
  <si>
    <t>Construcción de Tapados</t>
  </si>
  <si>
    <t>Solicitar el documento que define los requisitos de diseño y materiales para tapados herméticos.</t>
  </si>
  <si>
    <t>Catastro de Piques y Chimeneas Actualizado</t>
  </si>
  <si>
    <t>Solicitar el plano actualizado del sector que identifique todas las excavaciones verticales, incluyendo las abandonadas y selladas.</t>
  </si>
  <si>
    <t>Inspección de Integridad de Fortificación.</t>
  </si>
  <si>
    <t>Solicitar los registros de inspección geotécnica que verifican el estado de la fortificación en piques y chimeneas activas.</t>
  </si>
  <si>
    <t>Inspección de Tapados Herméticos.</t>
  </si>
  <si>
    <t>Solicitar los registros de inspección que verifican la integridad estructural y la hermeticidad de los tapados instalados</t>
  </si>
  <si>
    <t>Personal Capacitado para Construcción.</t>
  </si>
  <si>
    <t>Solicitar los registros del curso de riesgo de fatalidad del personal que construye fortificaciones o tapados en excavaciones verticales</t>
  </si>
  <si>
    <t>SISTEMAS DE PROTECCIÓN
CONTRA CAÍDAS</t>
  </si>
  <si>
    <t>Detener la caída de una persona que trabaja en o cerca de una excavación vertical, asegurando
que todo el personal utilice un Sistema Personal de Detención de Caídas (SPDC) certificado,
conectado a puntos de anclaje o líneas de vida.</t>
  </si>
  <si>
    <t>Diseño de Anclajes y Líneas de Vida.</t>
  </si>
  <si>
    <t>Solicitar el documento para el diseño, memoria de cálculo e instalación de puntos de anclaje y líneas de vida</t>
  </si>
  <si>
    <t xml:space="preserve"> Certificación de Anclajes y Líneas de Vida.</t>
  </si>
  <si>
    <t>Solicitar los registros de certificación y pruebas de carga (pull test) de los anclajes y líneas de vida instalados.</t>
  </si>
  <si>
    <t xml:space="preserve"> Programa de Inspección de SPDC.</t>
  </si>
  <si>
    <t>Solicitar el programa de inspección formal de los SPDC
y los registros de las inspecciones trimestrales</t>
  </si>
  <si>
    <t xml:space="preserve"> Inspección de Pre-uso por el Usuario.</t>
  </si>
  <si>
    <t>Verificar en terreno, mediante entrevistas y revisión de tarjetas de inspección, que el personal inspecciona su SPDC antes de cada uso</t>
  </si>
  <si>
    <t xml:space="preserve"> Disponibilidad de SPDC Certificados.</t>
  </si>
  <si>
    <t>Verificar en pañol que los arneses y colas de seguridad disponibles cuentan con su certificación vigente y están en buen estado</t>
  </si>
  <si>
    <t>Solicitar los registros de capacitación del personal.</t>
  </si>
  <si>
    <t>CAPACIDAD DE RESPUESTA Y RESCATE ANTE EMERGENCIA</t>
  </si>
  <si>
    <t>Garantizar un rescate técnico rápido, seguro y eficaz de personas desde un pique o chimenea, mediante un plan de rescate específico, una brigada especializada en rescate vertical y en espacios confinados, y el equipamiento adecuado disponible en el lugar</t>
  </si>
  <si>
    <t>Plan de Rescate Específico por Tarea</t>
  </si>
  <si>
    <t>Solicitar el permiso de trabajo y verificar que el plan de
rescate específico está documentado y aprobado.</t>
  </si>
  <si>
    <t>Brigada Especializada en Rescate Vertical</t>
  </si>
  <si>
    <t>Solicitar los registros de entrenamiento de la brigada en
técnicas de rescate vertical y en espacios confinados.</t>
  </si>
  <si>
    <t>Equipamiento de Rescate Verticaln Operativo.</t>
  </si>
  <si>
    <t>Verificar en terreno la presencia y el registro de inspección
vigente del equipo de rescate (trípode, huinche, ERA, cuerdas, etc.).</t>
  </si>
  <si>
    <t>Comunicación de Emergencia Funcional</t>
  </si>
  <si>
    <t>Solicitar los registros de pruebas funcionales de los canales de comunicación de emergencia entre la superficie y el interior de la labor.</t>
  </si>
  <si>
    <t>Simulacros de Rescate Vertical Realizados.</t>
  </si>
  <si>
    <t>Solicitar el informe del último simulacro de rescate en pique o chimenea, verificando tiempos y técnicas de rescate.</t>
  </si>
  <si>
    <t xml:space="preserve"> Coordinación con Atención Médica.</t>
  </si>
  <si>
    <t>Verificar que el plan de rescate incluye la coordinación y
comunicación directa con el policlínico o servicio médico.</t>
  </si>
  <si>
    <t>COMUNICACIÓN BIDIRECCIONAL OPERATIVA EN PIQUES</t>
  </si>
  <si>
    <t>Se debe mantener un sistema de comunicación bidireccional operativo y de uso obligatorio para todo el personal que realice trabajos en piques y chimeneas</t>
  </si>
  <si>
    <t>a. El supervisor a cargo debe asegurar que todo el personal involucrado en la tarea cuente con un equipo de radiocomunicación funcional y que conozca la frecuencia radial designada para la operación.</t>
  </si>
  <si>
    <t>b. Antes de iniciar los trabajos, se debe realizar una prueba de comunicación entre el personal que estará en el pique o chimenea y el personal de apoyo en superficie o en el nivel de acceso, verificando la claridad de la señal.</t>
  </si>
  <si>
    <t>c. Si la comunicación falla o se interrumpe durante la tarea, los trabajos deben detenerse inmediatamente hasta que el sistema de comunicación sea completamente restablecido
y verificado.</t>
  </si>
  <si>
    <t>ORDEN Y LIMPIEZA EN ACCESOS</t>
  </si>
  <si>
    <t>Los accesos, plataformas y áreas de trabajo
alrededor de puntos de vaciado, piques y
chimeneas  deben mantenerse ordenados y libres de obstáculos.</t>
  </si>
  <si>
    <t>a. El supervisor de turno es responsable de inspeccionar el estado de orden y limpieza de los accesos a piques y puntos de vaciado, asegurando que no existan materiales, herramientas o derrames que puedan causar caídas o interferir con la operación.</t>
  </si>
  <si>
    <t>b. El personal que realiza trabajos en estas áreas debe practicar un housekeeping continuo,retirando los desechos, despuntes herramientas no utilizadas al finalizar su tarea.</t>
  </si>
  <si>
    <t>c. Se debe prohibir el apilamiento incorrecto deobjetos o insumos en las plataformas de trabajo, y todo material excedente, rocas o colpas deben ser retirados para evitar su caída accidental.</t>
  </si>
  <si>
    <t>ACCESORIOS DE IZAJE MANUAL VERIFICADOS</t>
  </si>
  <si>
    <t>Todos los accesorios y sistemas de sujeción
utilizados para el izaje manual de herramientas o equipos en piques y chimeneas deben ser inspeccionados por el usuario antes de cada maniobra</t>
  </si>
  <si>
    <t>a. El trabajador, antes de utilizar cualquier accesorio de izaje (cables, seguros, chavetas, ganchos), debe realizar una inspección visual para verificar la ausencia de daños, desgaste o deformaciones que puedan comprometer su
funcionamiento.</t>
  </si>
  <si>
    <t>b. Todo accesorio de izaje debe ser certificado y adecuado para la carga a movilizar. Está prohibido el uso de elementos hechizos o que se encuentren en mal estado</t>
  </si>
  <si>
    <t>c. El supervisor debe verificar que el método de trabajo para subir o bajar equipos sobre estructuras o vigas es el correcto y seguro, asegurando que no se generen condiciones de riesgo por cargas suspendidas.</t>
  </si>
  <si>
    <t>USO DE SISTEMAS DE ILUMINACIÓN FIJOS O PORTÁTILES</t>
  </si>
  <si>
    <t>Todas las áreas de trabajo en puntos de vaciado, chimeneas y piques deben contar con un sistema de iluminación, fijo o portátil, que garantice la visibilidad adecuada para realizar las tareas de forma segura.</t>
  </si>
  <si>
    <t>a. El supervisor del área debe asegurar que la iluminación en los puntos de trabajo cumpla con los niveles mínimos definidos en el estándar, gestionando la instalación de luminarias adicionales si es necesario.</t>
  </si>
  <si>
    <t>b. Todo el personal que trabaje en estas áreas debe verificar al inicio del turno que el sistema de iluminación está operativo y reportar de inmediato cualquier falla o deficiencia a su supervisor</t>
  </si>
  <si>
    <t>c. En caso de falla del sistema de iluminación fijo, los trabajos deben ser suspendidos hasta su restablecimiento o hasta que se disponga de un sistema de iluminación portátil de emergencia que garantice condiciones seguras.</t>
  </si>
  <si>
    <t xml:space="preserve"> VIGÍA PARA CONTROL DE ACCESOS</t>
  </si>
  <si>
    <t>Se debe designar un vigía para controlar y
restringir el acceso a las áreas de trabajo en
piques y chimeneas mientras se realizan actividades en su interior o en sus proximidades.</t>
  </si>
  <si>
    <t>a. El vigía debe posicionarse en un punto seguro con visibilidad del acceso, siendo su única responsabilidad impedir el ingreso de personal o equipos no autorizados a la zona segregada.</t>
  </si>
  <si>
    <t>b. El vigía debe mantener un registro de todo el personal que ingresa y sale del pique o chimenea y mantener 
permanente con ellos.</t>
  </si>
  <si>
    <t>c. Nadie podrá ingresar al área de trabajo sin la autorización explícita del vigía, quien a su vez debe estar coordinado con el supervisor a cargo de la tarea.</t>
  </si>
  <si>
    <t>ALARMA SONORA Y VISUAL PARA EMERGENCIAS EN PIQUES</t>
  </si>
  <si>
    <t>Los piques y chimeneas deben contar con un sistema de alarma sonora y visual para alertar al personal sobre una situación de emergencia y activar los protocolos de evacuación o respuesta.</t>
  </si>
  <si>
    <t>a. El sistema de alarma debe ser claramente identificable y su señal debe ser perceptible (audible y visible) desde todos los puntos de trabajo asociados al pique o chimenea</t>
  </si>
  <si>
    <t>b. Se debe realizar un programa de pruebas periódicas del sistema de alarma para verificar su correcto funcionamiento, dejando registro de cada prueba.</t>
  </si>
  <si>
    <t>LISTADO DE AUTODIAGNÓSTICO RIESGO DE FATALIDAD N°18: PLANCHONEO</t>
  </si>
  <si>
    <t>Aplica a operaciones subterráneas de:
• Desarrollo
• Construcción de túneles, galerías.
• Operaciones de producción, limpieza.
• Acuñadura, saneamiento, fortificación.
• Mantenimiento</t>
  </si>
  <si>
    <t>Este evento considera como exclusión los siguientes escenarios.
•  Hundimiento significativo (estructural) o falla geotécnica mayor (colapso).
•  Estallido de rocas</t>
  </si>
  <si>
    <t>ESTABILIZACIÓN CONFORME A DISEÑO GEOTÉCNICO (SOSTENIMIENTO, FORTIFICACIÓN Y ACUÑADURA</t>
  </si>
  <si>
    <t>Controlar el desprendimiento de rocas y prevenir colapsos, asegurando que toda excavación
subterránea sea estabilizada oportunamente mediante acuñadura y fortificación conforme a un diseño geotécnico validado</t>
  </si>
  <si>
    <t>Diseño de Estabilización Validado y
Contextualizado</t>
  </si>
  <si>
    <t>Solicitar plano de fortificación, verificando que la aprobación de Geotecnia considera las condiciones locales (humedad, sismicidad, tipo de roca)</t>
  </si>
  <si>
    <t>Identificación de Roca Suelta, Acuñadura y
Saneamiento</t>
  </si>
  <si>
    <t>Solicitar el ART o checklist de la cuadrilla que evidencie la
inspección visual de la frente, buscando la identificación de
roca suelta.
Solicitar el documento para el proceso de identificación de
roca suelta, acuñadura y saneamiento</t>
  </si>
  <si>
    <t>Materiales de Fortificación Certificados
y Adecuados</t>
  </si>
  <si>
    <t>Solicitar certificados de calidad de insumos. Verificar que el
material usado es el adecuado según diseño</t>
  </si>
  <si>
    <t>Aseguramiento de Calidad (QA/QC) en Terreno</t>
  </si>
  <si>
    <t>Solicitar reportes de QA/QC de la semana (pull-tests, espesores de shotcrete). Verificar que las pruebas se
intensifican en zonas de mayor criticidad.</t>
  </si>
  <si>
    <t>Protocolo de Acción Post Evento Sísmico</t>
  </si>
  <si>
    <t>Solicitar el procedimiento de reevaluación de la estabilidad
y fortificación de las labores después de un evento sísmico
significativo. (por ejemplo mayor a 1.0 Mw</t>
  </si>
  <si>
    <t>Solicitar registros del curso de riesgo de fatalidad, para todo
el personal expuesto al riesgo.</t>
  </si>
  <si>
    <t>Gestión de Reporte de Condiciones Anormales.</t>
  </si>
  <si>
    <t>Verificar en libros de novedades o reportes que los hallazgos de condiciones anormales (ej. agua, grietas) son reportados y gestionados.</t>
  </si>
  <si>
    <t>PERFORACIÓN Y TRONADURA
CONFORME A DISEÑO GEOTÉCNICO</t>
  </si>
  <si>
    <t>Controlar el daño al macizo rocoso, asegurando que toda perforación y tronadura se ejecute según un diseño validado y que se realice una evaluación post-evento para garantizar un reingreso seguro a las labores</t>
  </si>
  <si>
    <t>Diseño de P&amp;T Validado por Geotecnia</t>
  </si>
  <si>
    <t>Solicitar diagrama de disparo y carta de tronadura,
verificando la aprobación y firma vigente de Geotecnia.</t>
  </si>
  <si>
    <t>Control de Calidad (QA/QC) de Ejecución.</t>
  </si>
  <si>
    <t>Solicitar reportes de topografía o de navegación que
verifiquen el cumplimiento de la perforación y carguío
según diseño.</t>
  </si>
  <si>
    <t>Protocolo de Aislamiento y Evacuación.</t>
  </si>
  <si>
    <t>Revisar registros de aislamiento del área (libro de tronadura) que confirman la evacuación del personal antes de la tronadura.</t>
  </si>
  <si>
    <t>Evaluación Post Tronadura y Liberación
de Área</t>
  </si>
  <si>
    <t>Solicitar el registro de inspección post-tronadura (check
de gases, TQ, estabilidad) que autoriza formalmente el
reingreso.</t>
  </si>
  <si>
    <t>Control de Daño Inducido al Macizo.</t>
  </si>
  <si>
    <t>Solicitar el reporte post-tronadura que incluya: mapeo de
nuevas fracturas, medición de sobre-excavación (&lt;20cm)
y la reevaluación de la fortificación si es necesario.</t>
  </si>
  <si>
    <t xml:space="preserve"> Personal de P&amp;T Acreditado.</t>
  </si>
  <si>
    <t>Solicitar registros:-Licencias de Manipulador: Para todo el personal quemanipula explosivos (incluyendo conductores de transporte) emitida por la autoridad fiscalizadora.-Acreditación de Programador Calculista: Licencia vigente
emitida por SERNAGEOMIN para el personal responsable
del diseño de tronadura.-Programa de Formación: Definición de competencias específicas por rol (Operador, Mantenedor y Supervisor).-Capacitación del Fabricante: Certificados de aprobación para tecnologías específicas (ej. tronadura electrónica).- Entrenamiento Práctico: Registros de entrenamiento en terreno validados por un instructor para personal nuevo.</t>
  </si>
  <si>
    <t>Gestión de Tiros Quedados (TQ).</t>
  </si>
  <si>
    <t>Solicitar el procedimiento de gestión de TQ y verificar los
registros de reporte y eliminación segura</t>
  </si>
  <si>
    <t>SEGREGACIÓN Y CONTROL DE
ACCESO</t>
  </si>
  <si>
    <t>Impedir el ingreso de personas y equipos a zonas con riesgo de caída de roca, asegurando que
estas áreas estén claramente identificadas, segregadas con barreras físicas y con un sistema de control de acceso riguroso</t>
  </si>
  <si>
    <t>Segregación y Señalización</t>
  </si>
  <si>
    <t>Solicitar el documento que define los tipos de barreras y
señalización según el nivel de riesgo</t>
  </si>
  <si>
    <t>Solicitar el mapa actualizado que identifica las áreas que
requieren segregación por riesgo de caída de roca.</t>
  </si>
  <si>
    <t>Implementación de Barreras Físicas.</t>
  </si>
  <si>
    <t>Verificar en terreno que las zonas de alto riesgo están
aisladas con barreras físicas efectivas</t>
  </si>
  <si>
    <t xml:space="preserve"> Señalización Clara y Visible</t>
  </si>
  <si>
    <t>Verificar en terreno la existencia y buen estado de letreros
de advertencia claros, tales como: Peligro, No Pasar (en
todos los accesos).</t>
  </si>
  <si>
    <t xml:space="preserve"> Protocolo de Control de Acceso Formal.</t>
  </si>
  <si>
    <t>Solicitar el procedimiento de autorización de ingreso a
áreas restringidas y revisar los registros de permisos
emitidos</t>
  </si>
  <si>
    <t>Inspecciones al Cumplimiento de Segregación.</t>
  </si>
  <si>
    <t>Solicitar los informes que verifiquen el cumplimiento del
estándar de segregación en terreno</t>
  </si>
  <si>
    <t>OPERACIÓN REMOTA EN ZONAS
CRÍTICAS</t>
  </si>
  <si>
    <t>Eliminar la exposición de las personas a la línea de fuego en zonas de alto riesgo de caída
de roca, asegurando que cualquier intervención en estas áreas se realice exclusivamente
mediante el uso de equipos de operación remota</t>
  </si>
  <si>
    <t>Zonas de Operación Remota Definidas y
Segregadas.</t>
  </si>
  <si>
    <t>Solicitar el plano vigente que delimita las zonas de
exclusión. Verificar en terreno la señalización y barreras.</t>
  </si>
  <si>
    <t>Equipos Remotos Funcionales y Mantenidos.</t>
  </si>
  <si>
    <t>Solicitar los registros de mantenimiento preventivo del
equipo y el checklist de pre-uso firmado por el operador</t>
  </si>
  <si>
    <t>Sistemas de Comunicación y Video
Operativos.</t>
  </si>
  <si>
    <t>Solicitar reportes de disponibilidad de la red. Verificar en
sala de control la calidad de la señal de video y datos.</t>
  </si>
  <si>
    <t xml:space="preserve"> Personal Operador Acreditado.</t>
  </si>
  <si>
    <t>Solicitar los registros de acreditación vigentes para todos
los operadores de equipos remotos</t>
  </si>
  <si>
    <t>Protocolos de Operación e Ingreso Vigentes</t>
  </si>
  <si>
    <t>Solicitar el procedimiento de operación remota y el
protocolo de control de ingreso a la zona de exclusión</t>
  </si>
  <si>
    <t>Sistemas de detención de emergencia
operativos.</t>
  </si>
  <si>
    <t>Solicitar registros de pruebas funcionales de los sistemas
de detención de emergencia del equipo y de la sala de
control.</t>
  </si>
  <si>
    <t>Garantizar una respuesta sistémica, inmediata y eficaz tras una caída de roca, integrando la
comunicación, la brigada de rescate y la atención médica, para rescatar y atender a las personas afectadas en el menor tiempo posible, minimizando la severidad de las lesiones</t>
  </si>
  <si>
    <t>Plan de Emergencia Integrado y Vigente</t>
  </si>
  <si>
    <t>Solicitar el plan de emergencia para caída de roca,
verificando su actualización y que integra a todas las
áreas de respuesta.</t>
  </si>
  <si>
    <t>Brigada de Rescate Entrenada</t>
  </si>
  <si>
    <t>Solicitar los registros de entrenamiento de los miembros
de la brigada en rescate minero.</t>
  </si>
  <si>
    <t>Equipamiento de Rescate y Refugios
Operativos.</t>
  </si>
  <si>
    <t>Solicitar los registros de inspección mensual de los equipos de rescate, refugios mineros y estaciones de emergencia</t>
  </si>
  <si>
    <t>Sistemas de Comunicación de
Emergencia Funcionales.</t>
  </si>
  <si>
    <t>Solicitar registros de pruebas funcionales de los sistemas
de comunicación de emergencia (radios, alarmas)</t>
  </si>
  <si>
    <t>Simulacros Integrados Realizados y Evaluados.</t>
  </si>
  <si>
    <t>Solicitar el informe del último simulacro, verificando
tiempos de respuesta y planes de acción de las brechas.</t>
  </si>
  <si>
    <t xml:space="preserve"> Personal Capacitado en Respuesta Inicial.</t>
  </si>
  <si>
    <t>Verificar que el personal ha recibido instrucción en el
protocolo de aviso y las rutas de evacuación</t>
  </si>
  <si>
    <t xml:space="preserve"> MAPA DE RIESGO GEOTÉCNICO</t>
  </si>
  <si>
    <t>Se debe contar con mapas de riesgo geotécnico actualizados para todas las áreas operativas, los cuales deben ser el instrumento de referencia para la planificación, la instrucción y la autorización de trabajos.</t>
  </si>
  <si>
    <t>b. El supervisor, previo al inicio de cada turno, debe consultar el mapa de riesgo vigente para informar a su equipo sobre el nivel de riesgo del sector a intervenir y los controles específicos que aplican</t>
  </si>
  <si>
    <t>c. El área de Planificación Mina debe utilizar la información de los mapas de riesgo geotécnico como un dato de entrada obligatorio para el diseño de fases, la secuencia de extracción y la programación de perforación y tronadura.</t>
  </si>
  <si>
    <t>DEMARCACIÓN Y SEÑALIZACIÓN EN ZONAS DE RIESGO</t>
  </si>
  <si>
    <t>Toda área identificada con alto riesgo geotécnico en el mapa correspondiente debe contar con demarcación física y señalización de advertencia que restrinja el ingreso solo a personal autorizado.</t>
  </si>
  <si>
    <t>a. El supervisor del área es el único responsable de autorizar el ingreso a estas zonas, manteniendo un registro de las personas y equipos autorizados para operar en dicho sector.</t>
  </si>
  <si>
    <t>b. El supervisor de turno debe verificar que la demarcación (pretiles, conos, barreras) y la señalización de peligro se encuentren instaladas, en buen estado y claramente visibles en todos los accesos a la zona de riesgo.</t>
  </si>
  <si>
    <t>c. Todo trabajador que ingrese a estas áreas tiene la obligación de informar a su supervisión cualquier cambio en las condiciones del talud, como desprendimientos menores, grietas o presencia de agua.</t>
  </si>
  <si>
    <t>VERIFICACIÓN Y REMOCIÓN DE MATERIAL SUELTO</t>
  </si>
  <si>
    <t>Se debe realizar la remoción controlada de todo material suelto o planchones de roca inestables en los taludes o frentes de trabajo, antes de autorizar la ejecución de otras tareas en el área.</t>
  </si>
  <si>
    <t>b. La remoción de material suelto en altura o en zonas de alto riesgo debe realizarse siempre conequipos mecanizados (acuñadores, excavadoras), prohibiéndose la exposición directa del personal bajo la línea de fuego de la roca inestable.</t>
  </si>
  <si>
    <t>c. El supervisor del frente es responsable de verificar visualmente que el área ha sido saneada y se encuentra libre de material suelto antes de autorizar la continuación de las actividades operacionales en el sector</t>
  </si>
  <si>
    <t xml:space="preserve"> CHEQUEO DE CONDICIÓN DE LABOR</t>
  </si>
  <si>
    <t>Todo operador o trabajador debe realizar una inspección visual de las condiciones geotécnicas de su lugar de trabajo al inicio del turno y antes de posicionar su equipo o iniciar su tarea.</t>
  </si>
  <si>
    <t>a. El operador debe verificar la presencia de grietas, desprendimiento de rocas, filtraciones de agua, deformaciones en la fortificación (si aplica) o cualquier condición anómala en los taludes o paredes de la labor.</t>
  </si>
  <si>
    <t>LISTADO DE AUTODIAGNÓSTICO RIESGO DE FATALIDAD N°20: SÍLICE</t>
  </si>
  <si>
    <t>Mantener las fuentes de emisión de polvo respirable con sílice con controles disponibles y eficientes para evitar concentraciones ambientales peligrosas y cumplir con el LPP.
La implementación del RF 20 aplica en los procesos de Codelco y de empresas contratistas que presenten trabajadores expuestos a sílice, definidos cualitativa cuantitativamente. 
Las empresas que no presentan exposición a sílice en sus trabajadores pero que ingresan a procesos donde existe exposición, deberán adoptar las
medidas de control que les apliquen de dichos procesos, como: Protección respiratoria efectiva y presurización de cabinas.
Fuentes de emisión:
• Equipo o punto desde donde se genera o emite polvo respirable con contenido de sílice al ambiente de trabajo y que tiene el potencial de impactar la exposición a sílice del
personal.
• (Ejemplos de fuentes de emisión: extracción, traspasos, puntos de carguío, puntos devaciado-carguío, acopios, stock pile, chancadores, harneros, correas en puntos de transferencias, etc.)</t>
  </si>
  <si>
    <t>Se excluye:
• Emisión de polvo por tronaduras en mina rajo/superficie.
• Procesos de aseo no industrial.</t>
  </si>
  <si>
    <t>SUPRESIÓN, HUMECTACIÓN,
COLECCIÓN Y CONFINAMIENTO DE FUENTES</t>
  </si>
  <si>
    <t>Garantizar el control efectivo de polvo respirable con contenido de sílice en las fuentes críticas de
emisión, mediante sistemas de supresión, humectación, colección y confinamiento, asegurando eficiencias operativas superiores al 90% del estándar de diseño definido por el proyecto o fabricante del equipo o sistema.</t>
  </si>
  <si>
    <t>Catastro de fuentes y sistemas de control de polvo</t>
  </si>
  <si>
    <t>Registro formal de catastro/matriz de fuentes con índices del ambiente laboral (IAL) e identificación de los sistemas de control de polvo</t>
  </si>
  <si>
    <t>Operación de sistemas de control de polvo</t>
  </si>
  <si>
    <t>Listado de sistemas de control que incluya:-Parámetro Operacional crítico de diseño vs registro diario operacional (caudal sistemas de colección, flujo agua /presión de aire , dosificación espuma o tensoactivos, etc.). -Utilización (meta 100%)</t>
  </si>
  <si>
    <t>Plan de mantención preventiva de sistemas de control de polvo</t>
  </si>
  <si>
    <t>Programa de mantención cargado en plan matriz (SOMA u otro definido en EE.CC.) con OT ejecutadas y registros de inspección. Informe de disponibilidad de sistemas de control (meta: 95% )</t>
  </si>
  <si>
    <t>Eficiencia sistemas de control sobre el 90% del estándar de diseño</t>
  </si>
  <si>
    <t>Informe de mediciones de polvo respirable en el entorno de sistemas de control para determinar eficiencia de controles y permanencia de esta en el tiempo</t>
  </si>
  <si>
    <t>Stock crítico de repuestos e insumos</t>
  </si>
  <si>
    <t>Evidencia de stock mínimo definido y registro de reposición de boquillas, mangas, tensoactivos, espuma, etc</t>
  </si>
  <si>
    <t>Plan de contingencia en caso de falla de sistemas de control de polvo</t>
  </si>
  <si>
    <t>Procedimiento que establezca medidas alternativas
temporales ante fallas (humectación manual, aumento factor de protección EPR, restricción de acceso, etc.)</t>
  </si>
  <si>
    <t>CONTROL DE EMISIONES EN
EQUIPOS PRODUCTIVOS</t>
  </si>
  <si>
    <t>Garantizar que los equipos productivos (correas, chutes de traspaso, chancadores, harnerosetc.) operen bajo parámetros de diseño y sean mantenidos sus componentes críticos para evitar fugas de polvo y derrames.</t>
  </si>
  <si>
    <t>Procedimiento de operación de equipos productivos para el control de polvo</t>
  </si>
  <si>
    <t>Documento vigente que defina criterios de operación para evitar fugas de polvo y derrames, como: Capacidad máxima (t/h), granulometría, humedad.</t>
  </si>
  <si>
    <t>Catastro de equipos con control de polvo</t>
  </si>
  <si>
    <t>Matriz o registro actualizado de equipos productivos (chancadores, correas, harneros, chutes, etc.) y componentes para el control de polvo (placas de desgaste, gualderas, raspadores, encerramientos, conexiones flexibles, mangas de alivio de presión, etc.).</t>
  </si>
  <si>
    <t>Plan de mantención de equipos productivos y sus componentes para el control de polvo</t>
  </si>
  <si>
    <t>Programa de mantención cargado en plan matriz con órdenes de trabajo ejecutadas y registros.</t>
  </si>
  <si>
    <t xml:space="preserve"> Cumplimiento de parámetros de diseño</t>
  </si>
  <si>
    <t>Informe de registros de variables operacionales y contrastación respecto de diseño, como tasas de transporte (t/h) en correas, alimentación a chancadores (t/h), granulometría y humedad.</t>
  </si>
  <si>
    <t>Stock de repuestos componentes para el control de polvo</t>
  </si>
  <si>
    <t>Registro de bodega con stock mínimo definido y evidencia de reposiciones.</t>
  </si>
  <si>
    <t>VENTILACIÓN SUBTERRÁNEA Y
PRESURIZACIÓN DE CABINAS E
INSTALACIONES</t>
  </si>
  <si>
    <t>Garantizar la dilución, extracción y aislamiento del polvo respirable mediante ventilación en galerías y presurización positiva en cabinas (fijas, equipos y vehículos), salas, barrios cívicos u otras instalaciones habitadas en zonas de exposición, manteniendo caudales normativos y hermeticidad para proteger al personal.</t>
  </si>
  <si>
    <t>Procedimiento de ventilación y presurización</t>
  </si>
  <si>
    <t>Documento vigente que defina, según aplique:
Sistemas de ventilación primaria y secundaria en Mina
subterránea y sus caudales normativos.
Equipos de presurización de cabinas, salas u otras
instalaciones habitadas, sus caudales  y sistemas de
filtración con eficiencia mínima requerida</t>
  </si>
  <si>
    <t>Catastro de sistemas de ventilación y
presurización de cabinas o salas</t>
  </si>
  <si>
    <t>Registro actualizado de ventiladores y/o sistemas de presurización con aire filtrado en cabinas y salas, según
aplique, señalando componentes críticos y su estado de
operatividad.</t>
  </si>
  <si>
    <t>Plan de mantención preventiva de
sistemas de ventilación</t>
  </si>
  <si>
    <t>Programa de mantención de sistemas de ventilación
subterránea (ventiladores, mangas, chimeneas, puertas) y/o presurización (UMAS, ductos, filtros), cargado en plan matriz con registros de OT ejecutadas</t>
  </si>
  <si>
    <t>Cumplimiento de caudales, presurización y filtrado</t>
  </si>
  <si>
    <t>Informes técnicos de aforos de ventilación y reportes de
presurización y hermeticidad.</t>
  </si>
  <si>
    <t>Stock de filtros y elementos de sellado</t>
  </si>
  <si>
    <t>Registro de stock crítico de elementos de sellado (burletes,
sellos, siliconas) y filtros disponibles.</t>
  </si>
  <si>
    <t>ASEO INDUSTRIAL NO CONTAMINANTE (CONTROL DE
DISPERSIÓN)</t>
  </si>
  <si>
    <t>Garantizar la recuperación y limpieza segura de polvo con sílice acumulado en áreas
operativas mediante técnicas especializadas (alto vacío, limpieza húmeda), evitando su
dispersión en el ambiente laboral.</t>
  </si>
  <si>
    <t>Procedimiento de aseo industrial especializado</t>
  </si>
  <si>
    <t>Documento que defina equipos permitidos, técnicas
autorizadas (alto vacío, limpieza húmeda) y prohibiciones (uso de aire comprimido, barrido o paleo en seco)</t>
  </si>
  <si>
    <t>Catastro de equipos de aseo</t>
  </si>
  <si>
    <t>Registro actualizado de sistemas de alto vacío (camiones aspiradores, colectores, líneas alto vacío) y equipos de limpieza en húmedo (hidro lavadoras, hidrojet, humectadores).</t>
  </si>
  <si>
    <t>Plan de mantención preventiva de equipos</t>
  </si>
  <si>
    <t>Programa de mantención registrado y OT ejecutadas</t>
  </si>
  <si>
    <t>Evaluación periódica de cumplimiento de
plan de aseo industrial.</t>
  </si>
  <si>
    <t>Plan de aseo industrial mensual y reporte de cumplimiento.</t>
  </si>
  <si>
    <t xml:space="preserve"> Stock de filtros y componentes críticos</t>
  </si>
  <si>
    <t>Registro de stock mínimo definido y evidencia de reposiciones.</t>
  </si>
  <si>
    <t>PROTECCIÓN RESPIRATORIA
EFECTIVA</t>
  </si>
  <si>
    <t>Garantizar la protección de trabajadores expuestos a polvo respirable mediante la selección,entrega, uso correcto, pruebas de ajuste y recambio/mantención de equipos de protección respiratoria (EPR) certificados, para evitar inhalación de polvo silicógeno</t>
  </si>
  <si>
    <t>Programa de protección respiratoria</t>
  </si>
  <si>
    <t>Documento vigente que defina: tipos de EPR, filtros (P100
o equivalente), criterios de selección, pruebas de ajuste
(cuali/cuanti), uso correcto, limpieza, mantención, recambio y disposición; incluye matriz de selección.</t>
  </si>
  <si>
    <t>Registro de entrega y stock de EPR</t>
  </si>
  <si>
    <t>Registros de entrega por trabajador, talla según prueba
de ajuste y catálogo de stock en bodega con trazabilidad
de repuestos/componentes.</t>
  </si>
  <si>
    <t>Pruebas de ajuste vigentes</t>
  </si>
  <si>
    <t>Informes de pruebas de ajuste (cualitativas y/o cuantitativas) vigentes por trabajador; equipos de prueba
con mantención/calibración documentada</t>
  </si>
  <si>
    <t>Registro formal de recambio de filtros y
limpieza/mantención de EPR</t>
  </si>
  <si>
    <t>Registros de recambio por saturación/vida útil y mantención/limpieza de EPR (incluye lavandería si aplica), según programa</t>
  </si>
  <si>
    <t>Capacitación y evaluación de uso</t>
  </si>
  <si>
    <t>Registros de curso del riesgo de fatalidad y evaluaciones
de aprendizaje/observaciones de uso en terreno (checklist)</t>
  </si>
  <si>
    <t>DISEÑO DE PROYECTOS PRODUCTIVOS</t>
  </si>
  <si>
    <t>Los proyectos productivos o reingenierías deben considerar criterios y especificaciones de diseño de equipos, procesos y sistemas de control para
evitar las fugas y derrames de polvo. Al respecto se debe considerar lo siguiente:</t>
  </si>
  <si>
    <t>a. Desde la ingeniería conceptual se deben establecer las variables de diseño de equipos (tolvas, chutes, correas, chancadores, etc.) y sus componentes (encerramientos, placas de desgaste, gualderas, juntas, faldones, etc.) para
evitar fugas y derrames de polvo. Lo mismo para los sistemas de control de polvo (colectores, supresores, humectadores, ventilación general, entre otros) y sus componentes críticos (ventiladores, encerramientos, filtros de mangas, boquillas, líneas hidráulicas y neumáticas, PLC,
etc.). Criterios generales se encuentran en la NCC 44. Requisitos para la erradicación de la silicosis y en este riesgo de fatalidad..</t>
  </si>
  <si>
    <t>b. La empresa encargada del diseño debe contar con Ingenieros expertos en control de polvo</t>
  </si>
  <si>
    <t>c. La Vicepresidencia de Proyectos o Gerencia de Proyectos Distrital deberá hacer participe a la Unidad de Higiene Industrial, Corporativa y/o Divisional, según sea un nuevo proyecto o extensión, respectivamente, de las reuniones
específicas de cumplimiento de la NCC44, como garantes del control de polvo en el proyecto.</t>
  </si>
  <si>
    <t xml:space="preserve"> PERSONAL COMPETENTE EN IDENTIFICACIÓN Y MEDICIÓN</t>
  </si>
  <si>
    <t>El personal que realiza identificación y medición de fuentes de emisión de polvo debe contar con las competencias técnicas necesarias y estar debidamente capacitado en los estándares de evaluación</t>
  </si>
  <si>
    <t>a. El área de Higiene Ocupacional es responsable de asegurar que todo personal que ejecute mediciones de polvo respirable cuente con certificación vigente en técnicas de muestreo, uso de instrumentos de medición y aplicación de los criterios de priorización establecidos en el
estándar técnico SIGO-ET-005</t>
  </si>
  <si>
    <t>b. Los evaluadores deben mantener registros actualizados de calibración de equipos de medición y aplicar consistentemente la metodología de evaluación del Índice de Ambiente Laboral (IAL) y el Índice de Priorización
de Fuentes (IPF)</t>
  </si>
  <si>
    <t>c. Está prohibido realizar mediciones de emisión de polvo sin los instrumentos adecuados o con equipos descalibrados, debiendo verificar los sellos de mantención antes de cada campaña de medición.</t>
  </si>
  <si>
    <t>SELLOS Y FALDONES EN PUNTOS DE TRANSFERENCIA</t>
  </si>
  <si>
    <t>Se debe mantener la integridad de los elementos de contención (sellos, faldones,
cortinas, mangas de alivio de presión) en todos los puntos de transferencia de material para evitar fugas de polvo</t>
  </si>
  <si>
    <t>a. El supervisor de mantenimiento debe incluir en las rutinas de inspección la verificación del estado de sellos, faldones, mangas y cortinas en puntos de transferencia, generando avisos demantención cuando detecte desgaste o daño.</t>
  </si>
  <si>
    <t>b. Los operadores deben reportar inmediatamente cualquier fuga visible de material o polvo en puntos de transferencia, activando el protocolo de control de derrames hasta que se realice la reparación.</t>
  </si>
  <si>
    <t>c. Todo punto de transferencia debe mantener sus elementos de contención según las especificaciones 
técnicas del fabricante,reemplazándose cuando el desgaste supere los límites establecidos en el plan de mantenimiento</t>
  </si>
  <si>
    <t xml:space="preserve"> CATASTRO ACTUALIZADO DE FUENTES CRÍTICAS</t>
  </si>
  <si>
    <t>Se debe mantener un catastro actualizado y
disponible de todas las fuentes críticas de emisión de polvo, incluyendo su ubicación,
tipo de control y nivel de criticidad.</t>
  </si>
  <si>
    <t>a. El área de Higiene Ocupacional es responsable de actualizar semestralmente el catastro de fuentes críticas, incorporando nuevos equipos o puntos productivos y
eliminando aquellos fuera de servicio</t>
  </si>
  <si>
    <t>b. El catastro debe estar disponible en formato digital y físico en las áreas operativas, incluyendo el layout con la
ubicación geográfica de cada fuente y sus sistemas de control asociados</t>
  </si>
  <si>
    <t>c. Cualquier modificación en los procesos productivos que genere una nueva fuente de emisión debe ser comunicada al área de Higiene Ocupacional dentro de 48 horas para
su evaluación e incorporación al catastro</t>
  </si>
  <si>
    <t xml:space="preserve"> SEÑALIZACIÓN DE ÁREAS DE EXPOSICIÓN</t>
  </si>
  <si>
    <t>Todas las áreas con fuentes de emisión de polvodeben estar claramente señalizadas indicando el riesgo y los controles obligatorios.</t>
  </si>
  <si>
    <t>a. El dueño del proceso debe asegurar que las áreas de exposición a polvo con contenido de sílice estén con señalización de advertencia y se indique el uso obligatorio de protección respiratoria.</t>
  </si>
  <si>
    <t>b. El tipo de protección respiratoria que señale la señalética debe tener un factor de protección acorde a las concentraciones ambientales de sílice en el área de trabajo</t>
  </si>
  <si>
    <t>PUERTAS DE VENTILACIÓN OPERATIVAS</t>
  </si>
  <si>
    <t>Las puertas del sistema de ventilación en áreas subterráneas deben mantenerse operativas y en su posición correcta para asegurar el flujo de aire diseñado.</t>
  </si>
  <si>
    <t>a. El operador de ventilación debe verificar en cada turno el estado y posición de las puertas de ventilación  críticas, 
registrando cualquier anomalía y corrigiendo desviaciones de inmediato</t>
  </si>
  <si>
    <t>b. Está prohibido bloquear, trabar o mantener abiertas las puertas de ventilación sin autorización del área de ventilación, debiendo reportarse cualquier intervención no autorizada.</t>
  </si>
  <si>
    <t>c. Las puertas dañadas o con problemas de hermeticidad deben ser reparadas dentro de 24 horas, instalando controles temporales si la reparación requiere mayor tiempo.</t>
  </si>
  <si>
    <t>FILTROS DE CABINAS E INSTALACIONES</t>
  </si>
  <si>
    <t>Los sistemas de filtración en cabinas, salas de control y barrios cívicos, en áreas de exposición, deben mantenerse instalados y operativos según especificaciones técnicas. La eficiencia de sus filtros (HEPA: H13, H14, EPA: E11, E12, u otro) deberá definirse para asegurar concentraciones de polvo
ambientales en rangos de confort para oficinas y similares, mientras que en cabinas fijas y móviles, se debe asegurar la no exposición a sílice cristalina. Para su elección se debe considerar que la pérdida de carga que ofrecen en todo su rango de operación, también, asegure como mínimo un caudal de aire fresco filtrado de 20 metros cúbicos por hora y por persona (D.S. 594)</t>
  </si>
  <si>
    <t>a. El supervisor de mantenimiento debe verificar
mensualmente el estado de saturación de los filtros 
mediante el diferencial de presión, programando el recambio antes de alcanzar el límite de saturación.</t>
  </si>
  <si>
    <t>b. Los filtros deben ser reemplazados únicamente por personal capacitado, siguiendo el protocolo de disposición segura del material contaminado y verificando el sello hermético de la nueva instalación.</t>
  </si>
  <si>
    <t>c. Está prohibido operar cabinas o salas de control sin filtros instalados o con filtros que hayan superado su vida útil, debiendo mantener stock de repuestos para reemplazo inmediato</t>
  </si>
  <si>
    <t>LISTADO DE AUTODIAGNÓSTICO RIESGO DE FATALIDAD N°21: ARSÉNICO</t>
  </si>
  <si>
    <t>FUENTES DE ARSÉNICO
IDENTIFICADAS, SEGREGADAS Y
RESTRINGIDAS</t>
  </si>
  <si>
    <t>Garantizar que todas las fuentes de emisión de compuestos solubles de arsénico sean identificadas, caracterizadas respecto del riesgo de exposición, señalizada y segregada el área donde se encuentran y de acceso restringido para asegurar que solo personal autorizado respecto del control de la exposición, interactúe con las fuentes de arsénico peligroso.</t>
  </si>
  <si>
    <t>Identificación de Peligros y Caracterización del Riesgo PNS (Metales y Metaloides)</t>
  </si>
  <si>
    <t>Definición de Personal Expuesto</t>
  </si>
  <si>
    <t>Solicitar el informe de evaluación cualitativa o cuantitativa que define los Grupos de Exposición Similar (GES) y la nómina de trabajadores expuestos (INE) a arsénico</t>
  </si>
  <si>
    <t>Segregación Física de bFuentes Críticas</t>
  </si>
  <si>
    <t>Verificar en terreno que las áreas donde existen fuentes de emisión críticas cuenten con segregación física que impida el acceso al personal no autorizado.</t>
  </si>
  <si>
    <t xml:space="preserve"> Señalización de Advertencia de Riesgo</t>
  </si>
  <si>
    <t>Verificar en terreno la existencia, visibilidad y buen estado de la señalización de advertencia de riesgo en todas las áreas donde existen fuentes de emisión de arsénico.</t>
  </si>
  <si>
    <t>Protocolo de Control de Acceso</t>
  </si>
  <si>
    <t>Solicitar el procedimiento que regula el ingreso a áreas con presencia de arsénico. Verificar mediante registros o permisos que solo personal autorizado ingresa a estas zonas.</t>
  </si>
  <si>
    <t>Mapa de Riesgos Actualizado</t>
  </si>
  <si>
    <t>Verificar que el Mapa de Riesgos del área esté actualizado y publicado, indicando claramente las zonas con presencia de arsénico, nivel de riesgo y los EPPs requeridos.</t>
  </si>
  <si>
    <t>SISTEMAS DE CAPTURA Y RETENCIÓN DE ARSÉNICO OPERATIVOS</t>
  </si>
  <si>
    <t>Garantizar la operación y mantenimiento continuo y eficiente de los equipos de proceso y sistemas de control ingenieril, diseñados para capturar, transportar, retener y neutralizar el arsénico, evitando su dispersión en el ambiente de trabajo (Ej: Precipitadores
electrostáticos, lavadores de gases, filtros de plantas de neutralización, campanas, colectores, supresores).</t>
  </si>
  <si>
    <t>Catastro de equipos y sistemas de ControL</t>
  </si>
  <si>
    <t>Solicitar el catastro y layout de todos los equipos de
proceso y sistemas de control ingenieril para capturar y retener materiales con arsénico, incluyendo sus componentes críticos (Precipitadores electrostáticos, lavadores de gases, colectores, supresores, etc.</t>
  </si>
  <si>
    <t>Parámetros de Operación Definidos</t>
  </si>
  <si>
    <t>Solicitar los procedimientos o manuales de operación que definan los parámetros y rangos operacionales de diseño de los equipos y sistemas que capturan y retienen arsénico.</t>
  </si>
  <si>
    <t>Plan de Mantenimiento Preventivo</t>
  </si>
  <si>
    <t>Verificar en el sistema de gestión de mantenimiento la existencia y cumplimiento del plan de mantenimiento preventivo para los equipos y sistemas de control para arsénico</t>
  </si>
  <si>
    <t>Monitoreo de Variables Críticas de Operación</t>
  </si>
  <si>
    <t>Solicitar los registros operacionales de las variables críticas de operación respecto de diseño de los equipos y sistemas de control (ej. voltajes de precipitadores electrostáticos, caudales de extracción en campanas, etc.).</t>
  </si>
  <si>
    <t>Medición de Eficiencia de Controles</t>
  </si>
  <si>
    <t>Solicitar los informes de medición que evalúen periódicamente la eficiencia de los sistemas de
control y el seguimiento de los Índices de Ambiente
Laboral (IAL).</t>
  </si>
  <si>
    <t>Plan de Contingencia ante Fallas</t>
  </si>
  <si>
    <t>Solicitar los Planes de contingencia por fallas y/o averías (mantenimiento, operación) de equipos que controlan el arsénico generado en el proceso.</t>
  </si>
  <si>
    <t>ASEO NO CONTAMINANTE DE
MATERIAL ARSENICAL (CONTROL DE DISPERSIÓN)</t>
  </si>
  <si>
    <t>Garantizar la remoción de derrames o acumulaciones de material con contenido de arsénico, mediante técnicas de aseo industrial tecnificado que eviten su dispersión como polvo en el ambiente de trabajo (ej. aspiración de alto vacío, limpieza en húmedo) y disposición segura de residuos peligrosos. Asegurar que el personal que interactúa directamente con material arsenical esté debidamente
capacitado para evitar la pérdida de control de su exposición.</t>
  </si>
  <si>
    <t>Plan y Procedimiento de Aseo Industrial</t>
  </si>
  <si>
    <t>Solicitar el plan y programa de Aseo Industrial y los
procedimientos que definen las técnicas de limpieza
(supresión húmeda, aspiración) para evitar la dispersión de
polvo, uso de EPP apropiado y disposición segura de residuos arsenicales.</t>
  </si>
  <si>
    <t>Catastro y Mantenimiento de Equipos de Aseo</t>
  </si>
  <si>
    <t>Solicitar el catastro de equipos de aseo tecnificado (redes y/o camiones de alto vacío, aspiradoras, hidrolavadoras) y el plan de mantenimiento preventivo para asegurar su operatividad.</t>
  </si>
  <si>
    <t>Ejecución del Programa de Aseo</t>
  </si>
  <si>
    <t>Solicitar los registros de ejecución del programa mensual de aseo industrial y la verificación en terreno de la limpieza
efectiva de las áreas críticas</t>
  </si>
  <si>
    <t>Plan de Prevención y Control de Derrames</t>
  </si>
  <si>
    <t>Solicitar el plan de prevención de derrames, que debe incluir recursos, responsables, tiempos de ejecución e investigación de causas para evitar recurrencia</t>
  </si>
  <si>
    <t>Uso de Técnicas que Eviten la Dispersión</t>
  </si>
  <si>
    <t>Observar en terreno que el aseo y limpieza se realiza
mediante técnicas como la aspiración de alto vacío o la
humectación, prohibiendo el barrido o paleo en seco o el uso de aire comprimido</t>
  </si>
  <si>
    <t>Capacitación del personal de actividad crítica de aseo industrial</t>
  </si>
  <si>
    <t>Verificar registros del curso de riesgo de fatalidad, para
personal encargado del aseo, entre otros, se debe abordar:
Manejo seguro de materiales arsenicales, uso de EPP
específicos y medidas higiénico sanitarias para evitar el
ingreso de arsénico al organismo.</t>
  </si>
  <si>
    <t>MEDIDAS HIGIÉNICO SANITARIAS Y PROTECCIÓN PERSONAL</t>
  </si>
  <si>
    <t>Garantizar que, ocurrida la exposición ambiental a arsénico, este no ingrese al organismo
de los trabajadores, mediante el uso correcto de Elementos de Protección Personal (EPP)específicos, y la aplicación rigurosa de medidas higiénico-sanitarias en infraestructura de
soporte adecuada.</t>
  </si>
  <si>
    <t>EPP Específico para Vías de Ingreso</t>
  </si>
  <si>
    <t>Solicitar el estudio y la matriz que define el EPP
específico (protección respiratoria, dérmica y ocular) para
cada cargo y tarea con exposición a arsénico. Programa
protección respiratoria formalizado.-El personal debe estar capacitado en el uso correcto, inspección, almacenamiento, limpieza y recambio de sus EPP, incluyendo la prohibición de uso de barba para G32usuarios de protección respiratoria de presión negativa</t>
  </si>
  <si>
    <t>Infraestructura de Soporte (Casas de
Cambio y Salas de Hidratación</t>
  </si>
  <si>
    <t>Verificar  que las casas de cambio cuentan con área limpia
con casilleros para disponer de ropa de tránsito y ropa
limpia de trabajo,  área sucia con casilleros para disponer
de ropa y EPP de trabajo y sector de duchas como única
comunicación directa entre área sucia y limpia.
Verificar que las  salas de hidratación cuentan, previo a su
ingreso, con zona de disposición de EPP y ropa contaminada y zona para el lavado de cara y manos.
Ambas instalaciones deben contar con sistema de ventilación  que inyecte aire fresco filtrado a las
instalaciones, provocando una presión positiva que
impida el ingreso de aire contaminado.</t>
  </si>
  <si>
    <t>Servicios Lavado ropa de Trabajo y EPP</t>
  </si>
  <si>
    <t>Servicio de lavado de ropa de trabajo y protección
respiratoria por parte de la empresa, considerar aguas de
lavado como residuos industriales</t>
  </si>
  <si>
    <t xml:space="preserve"> Instructivo de Normas Higiénicas</t>
  </si>
  <si>
    <t>Solicitar el instructivo de normas higiénicas, verificar los
registros de instrucción y evaluación de entendimiento.
Debe incluir la prohibición de comer/fumar en áreas de
riesgo y el lavado obligatorio antes de colación</t>
  </si>
  <si>
    <t>Verificación de Cumplimiento en
Terreno</t>
  </si>
  <si>
    <t>Solicitar evidencia de CdP de la supervisión respecto del
uso correcto de EPP y el cumplimiento de las normas
higiénico sanitarias.</t>
  </si>
  <si>
    <t>MONITOREO OCUPACIONAL DE
EXPOSICIÓN Y SALUD POR
ARSÉNICO</t>
  </si>
  <si>
    <t>Garantizar la implementación de un sistema de vigilancia médica y ambiental que evalúe periódicamente la exposición de los trabajadores a arsénico y su estado de salud, para detectar a tiempo desviaciones y gestionar los casos con resultados alterados.</t>
  </si>
  <si>
    <t>Programa de Vigilancia Ambiental</t>
  </si>
  <si>
    <t>Solicitar el programa de vigilancia ambiental cuantitativa
por exposición a arsénico y los informes de evaluación del
Organismo Administrador (OAL/AD) que establecen los
niveles de riesgo por GES.</t>
  </si>
  <si>
    <t>Programa de Vigilancia de la Salud</t>
  </si>
  <si>
    <t>Solicitar el programa de vigilancia de salud según Protocolo MINSAL. Verificar el cumplimiento de la frecuencia de los exámenes de arsénico en orina según nivel de riesgo.</t>
  </si>
  <si>
    <t>Gestión de Casos con Resultados Alterados</t>
  </si>
  <si>
    <t>Solicitar evidencia (registros, informes) de la gestión de
casos con LTB alterado, incluyendo: Retiro inmediato de
la exposición, investigación de causas, cierre de brechas y
remuestreo.</t>
  </si>
  <si>
    <t xml:space="preserve"> Nómina de Expuestos (INE) Actualizada</t>
  </si>
  <si>
    <t>Verificar que la nómina de trabajadores expuestos a arsénico (INE) esté actualizada y haya sido enviada formalmente al Organismo Administrador de la Ley.</t>
  </si>
  <si>
    <t>Comunicación de Resultados</t>
  </si>
  <si>
    <t xml:space="preserve"> Reporte a la Operación</t>
  </si>
  <si>
    <t xml:space="preserve"> MONITOREO AMBIENTAL DE POLVOS ARSENICALES EN ÁREAS DE TRABAJO</t>
  </si>
  <si>
    <t>Se debe realizar un monitoreo y seguimiento periódico de las fuentes de emisión de arsénico para identificar su criticidad, evaluar la eficiencia y desempeño en el tiempo de los controles existentes y asegurar que las concentraciones ambientales se mantengan bajo los límites permisibles.</t>
  </si>
  <si>
    <t>a. Se debe contar con un catastro o matriz de identificación, medición y priorización de fuentes de emisión de arsénico en el área, el cual debe mantenerse actualizado.</t>
  </si>
  <si>
    <t>c. Los resultados del monitoreo ambiental, como el Índice de Ambiente Laboral (IAL) y el Índice de Exposición (IE), deben ser comunicados mensualmente a los dueños de los procesos para la toma de acciones correctivas.</t>
  </si>
  <si>
    <t xml:space="preserve"> INSPECCIÓN RUTINARIA Y MANTENIMIENTO DE SISTEMAS DE CONTROL DE ARSÉNICO</t>
  </si>
  <si>
    <t>Se debe ejecutar un plan de mantenimiento preventivo y de inspección sobre todos los equipos de proceso y sistemas de control ingenieril (ej. precipitadores, plantas de gases,
neutralización, filtros, colectores, supresión) para asegurar su correcta operatividad y evitar fugas o emisiones de material con contenido de arsénico</t>
  </si>
  <si>
    <t>a. El área debe contar con un plan matriz de mantenimiento preventivo en SOMA (o sistema similar) para los sistemas de control de polvo y sus componentes críticos (filtros, ventiladores, ductos, sellos, etc.).</t>
  </si>
  <si>
    <t>b. El personal de mantenimiento debe ejecutar las pautas y órdenes de trabajo para la inspección y reparación de los sistemas de control, dejando registro del cumplimiento en el sistema.</t>
  </si>
  <si>
    <t>c. Se debe realizar una verificación periódica para detectar la ausencia de emisiones fugitivas en los equipos de proceso y en los sistemas que capturan, transportan y retienen el arsénico.</t>
  </si>
  <si>
    <t xml:space="preserve"> FUENTES Y ÁREAS CON PRESENCIA DE ARSÉNICO SEÑALIZADAS Y DEMARCADAS</t>
  </si>
  <si>
    <t>Se deben señalizar todas las áreas y fuentes donde exista riesgo de exposición a compuestos de arsénico para advertir al personal sobre el peligro, el uso obligatorio de EPP y las normas higiénicas que debe cumplir.</t>
  </si>
  <si>
    <t>a. Se deben identificar en terreno las fuentes de emisión y sus controles, y mantener una matriz de fuentes actualizada para la habilitación de la señalética correspondiente.</t>
  </si>
  <si>
    <t>b. Toda área con riesgo de exposición a arsénico debe contar con señalética que advierta sobre el riesgo presente y el uso obligatorio de los Elementos de Protección Personal (EPP) específicos</t>
  </si>
  <si>
    <t>c. Las instalaciones de soporte, como casas de cambio y salas de hidratación, deben contar con señalética que contenga el instructivo sobre su correcto uso y las normas higiénicas</t>
  </si>
  <si>
    <t>SUPERVISIÓN EN TERRENO DE TAREAS EN SECTORES CON
PRESENCIA DE ARSÉNICO</t>
  </si>
  <si>
    <t>a. El supervisor es responsable de verificar que los trabajadores apliquen correctamente las medidas higiénico-sanitarias, como el lavado de manos, cambio de ropa y la prohibición de comer o fumar en áreas de riesgo.</t>
  </si>
  <si>
    <t>c. La supervisión del proceso debe verificar el cumplimiento del programa de mantenimiento de los sistemas de control de arsénico y gestionar los avisos de falla oavería a través del sistema SAP</t>
  </si>
  <si>
    <t>ROPA DE TRABAJO EXCLUSIVA Y LAVADO OBLIGATORIO EN FAENA</t>
  </si>
  <si>
    <t>Se deben implementar y hacer cumplir estrictas normas de higiene personal para todos los trabajadores que se desempeñe procesos con presencia de arsénico soluble, con el fin de evitar respirar, ingerir o tener contacto dérmico con arsénico</t>
  </si>
  <si>
    <t>c. Las instalaciones deben contar con un servicio de lavandería exclusivo para la ropa de trabajo y protección respiratoria, y las aguas de lavado deben ser tratadas como residuos industriales</t>
  </si>
  <si>
    <t>LISTADO DE AUTODIAGNÓSTICO RIESGO DE FATALIDAD N°24: TALUDES</t>
  </si>
  <si>
    <t>Este evento considera como exclusión los siguientes escenarios.
• Excavaciones para construcción (obras civiles en proyectos).
• Carguío de mineral en la frente no rematada.
• Inestabilidades en pilas y botaderos de lixiviación
• Caída de rocas.
• Interacción de rajo con cavidades.
• Interacción de rajo con cráter.</t>
  </si>
  <si>
    <t>SISTEMA INTEGRAL DE
CARACTERIZACIÓN, MODELAMIENTO Y
MONITOREO GEOTÉCNICO</t>
  </si>
  <si>
    <t>Asegurar la estabilidad de los taludes, mediante un sistema integrado que garantice la captura
de datos, la actualización de modelos, el análisis de estabilidad y el monitoreo continuo para
anticipar inestabilidades y tomar decisiones operacionales informadas.</t>
  </si>
  <si>
    <t>Captura Sistemática y Actualización de Modelos.</t>
  </si>
  <si>
    <t>Solicitar el modelo geotécnico y verificar el registro de sus
últimas actualizaciones con data de mapeo y sondajes</t>
  </si>
  <si>
    <t>Solicitar el informe de bases geotécnicas para el diseño
actual del rajo, verificando por ejemplo el Factor de Seguridad</t>
  </si>
  <si>
    <t xml:space="preserve"> Análisis de Estabilidad Actualizado</t>
  </si>
  <si>
    <t>Solicitar los informes de análisis de estabilidad (2D/3D),
verificando que se realizan periódicamente y/o tras cambios de diseño.</t>
  </si>
  <si>
    <t>Monitoreo Continuo con Radares Operativos</t>
  </si>
  <si>
    <t>Solicitar reportes de disponibilidad de los radares y verificar en la sala de control que están en línea y monitoreando.</t>
  </si>
  <si>
    <t>Gestión de Alertas de Monitoreo.</t>
  </si>
  <si>
    <t>Solicitar el protocolo de gestión de alertas de radar y los
registros de las últimas alertas, verificando que se gestionaron (ej. velocidad &lt;30mm/día u otro valor aprobado</t>
  </si>
  <si>
    <t>Solicitar los reportes del sistema de evaluación de talud
(Full Control) para verificar la conciliación geométrica de los bancos</t>
  </si>
  <si>
    <t>Competencias del personal especialista</t>
  </si>
  <si>
    <t>Solicitar competencias y roles (incluidas en descriptor o perfil de cargo) para el personal que interpreta los datos
geotécnicos y toma decisiones 24/7 y revisar evidencia de
su cumplimiento.</t>
  </si>
  <si>
    <t>PERFORACIÓN Y TRONADURA
CONFORME A DISEÑO
GEOTÉCNICO (CONTROL DE DAÑO</t>
  </si>
  <si>
    <t>Preservar la integridad de la pared final del rajo, asegurando que toda perforación y tronadura se ejecute según un diseño de control de daño (precorte/trim) para minimizar el fracturamiento inducido por la voladura y mantener el factor de seguridad del talud</t>
  </si>
  <si>
    <t>Diseño de Tronadura de Control de Pared</t>
  </si>
  <si>
    <t>Solicitar el diseño de P&amp;T y verificar que incluye especificaciones para control de pared (precorte, trim, buffer).</t>
  </si>
  <si>
    <t>Validación Geotécnica del Diseño</t>
  </si>
  <si>
    <t>Verificar que el diseño de tronadura cuenta con la aprobación formal del área de geotecnia.</t>
  </si>
  <si>
    <t>Solicitar reportes de topografía o de navegación GPS que verifiquen el cumplimiento de la perforación según diseño.</t>
  </si>
  <si>
    <t>Monitoreo de Vibraciones.</t>
  </si>
  <si>
    <t>Solicitar los informes de monitoreo de vibraciones y verificar que la Partícula Pico de Velocidad (PPV) es &lt; 250 mm/s u otro valor aprobado</t>
  </si>
  <si>
    <t>Evaluación de Resultados Post-Tronadura.</t>
  </si>
  <si>
    <t>Solicitar el reporte post-tronadura que incluya la evaluación visual o escaneo de la condición de la pared final.</t>
  </si>
  <si>
    <t xml:space="preserve"> Personal Acreditado en Tronadura de Control.</t>
  </si>
  <si>
    <t>Solicitar registros de acreditación del personal que diseña, ejecuta y supervisa tronaduras de control de pared.</t>
  </si>
  <si>
    <t>ESTABILIZACIÓN CONFORME A
DISEÑO GEOTÉCNICO (SANEAMIENTO
Y FORTIFICACIÓN DE TALUDES)</t>
  </si>
  <si>
    <t>Mantener el factor de seguridad de los taludes, asegurando que las labores de saneamiento y la
construcción de elementos de estabilización (buttress, gaviones, anclajes) se ejecuten conforme
a las recomendaciones y diseños geotécnicos.</t>
  </si>
  <si>
    <t>Solicitar el programa de saneamiento de taludes y los
registros de su ejecución y recepción conforme</t>
  </si>
  <si>
    <t xml:space="preserve"> Diseño de Obras de Estabilización</t>
  </si>
  <si>
    <t>Para obras mayores (buttress, anclajes), solicitar el diseño
de ingeniería validado por Geotecnia.</t>
  </si>
  <si>
    <t>Aseguramiento de Calidad (QA/QC) de
Construcción.</t>
  </si>
  <si>
    <t>Solicitar los registros de QA/QC de la construcción de las
obras de estabilización (ej. compactación de materiales,
torque de anclajes).</t>
  </si>
  <si>
    <t xml:space="preserve"> Protocolo de Trabajos Cercanos a Taludes.</t>
  </si>
  <si>
    <t>Solicitar el procedimiento para trabajos en la cresta o al pie
de taludes y verificar su aplicación</t>
  </si>
  <si>
    <t>Personal Acreditado para Tareas de Estabilización.</t>
  </si>
  <si>
    <t>Solicitar registros de acreditación para operadores de
equipos de saneamiento y construcción</t>
  </si>
  <si>
    <t>Inspección Geotécnica Post Estabilización.</t>
  </si>
  <si>
    <t>Solicitar el informe de inspección geotécnica que valida la
correcta ejecución del saneamiento o la obra de estabilización.</t>
  </si>
  <si>
    <t>PRETILES Y SEGREGACIÓN DE
ÁREAS</t>
  </si>
  <si>
    <t>Contener material desprendido de taludes e impedir el ingreso de personas y equipos a zonas con riesgo de deslizamiento, asegurando que existan barreras físicas efectivas
(pretiles) y un control de acceso riguroso</t>
  </si>
  <si>
    <t>Diseño Geotécnico de Pretiles.</t>
  </si>
  <si>
    <t>Solicitar el documento para diseño de pretiles, verificando
las especificaciones de altura, ancho y material según el
equipo.</t>
  </si>
  <si>
    <t>Mapa de Zonas de Riesgo Actualizado</t>
  </si>
  <si>
    <t>Solicitar el mapa de riesgo geotécnico del turno y verificar
su fecha de actualización y la clara identificación de zonas
restringidas.</t>
  </si>
  <si>
    <t>Implementación y Mantención de Pretiles</t>
  </si>
  <si>
    <t>Solicitar informes de inspección topográfica que verifiquen el cumplimiento de la geometría de los pretiles
construidos</t>
  </si>
  <si>
    <t>Señalización Clara y Visible.</t>
  </si>
  <si>
    <t>Verificar en terreno la existencia y buen estado de letreros
de advertencia claros (Peligro: Caída de Rocas, No Pasar)</t>
  </si>
  <si>
    <t>Protocolo de Control de Acceso Formal.</t>
  </si>
  <si>
    <t>Solicitar el procedimiento de autorización de ingreso a
áreas restringidas y revisar los registros de permisos
emitidos.</t>
  </si>
  <si>
    <t xml:space="preserve"> Verificación de pretiles y segregación</t>
  </si>
  <si>
    <t>Verificar que documento de diseño de pretiles y segregación se cumpla en terreno.</t>
  </si>
  <si>
    <t>Garantizar una respuesta inmediata, organizada y eficaz tras la ocurrencia de un deslizamiento de material, para rescatar, estabilizar y evacuar a las personas afectadas en el
menor tiempo posible, minimizando la severidad de las lesiones y las fatalidades.</t>
  </si>
  <si>
    <t>Plan de EmergenciaEspecífico para Deslizamientos.</t>
  </si>
  <si>
    <t>Solicitar el plan de emergencia y verificar su actualización, incluyendo protocolos de alarma, evacuación y rescate</t>
  </si>
  <si>
    <t>Brigada de Rescate Entrenada.</t>
  </si>
  <si>
    <t>Solicitar los registros de entrenamiento de los miembros
de la brigada en rescate en taludes.</t>
  </si>
  <si>
    <t>Equipamiento de Rescate y Atención Médica Operativo.</t>
  </si>
  <si>
    <t>Solicitar los registros de inspección mensual de los
equipos de rescate (ambulancia, equipos de extricación,
etc.)</t>
  </si>
  <si>
    <t>Sistema de Alarma y Comunicación Funcional.</t>
  </si>
  <si>
    <t>Solicitar registros de pruebas funcionales de los sistemas
de alarma y de los canales de comunicación de emergencia.</t>
  </si>
  <si>
    <t xml:space="preserve"> Simulacros Específicos Realizados y Evaluados.</t>
  </si>
  <si>
    <t>Solicitar el informe del último simulacro de deslizamiento, verificando tiempos de respuesta y planes de acción de las brechas</t>
  </si>
  <si>
    <t>INFORMACIÓN GEOTÉCNICA RESPALDADA EN SISTEMA OFICIAL</t>
  </si>
  <si>
    <t>b. El área de tecnología (TI) de los Centros de Trabajo, en coordinación con el área de Geotecnia, debe mantener un protocolo de respaldo automático y periódico de las bases de datos geotécnicas para prevenir la pérdida de información.</t>
  </si>
  <si>
    <t>c. El supervisor debe verificar que todos los análisis de estabilidad y los diseños mineros se realicen utilizando exclusivamente la información validada y actualizada contenida en los sistemas oficiales.</t>
  </si>
  <si>
    <t xml:space="preserve"> EQUIPOS DE MEDICIÓN GEOTÉCNICA CALIBRADOS Y OPERATIVOS.</t>
  </si>
  <si>
    <t>Todos los equipos e instrumentos utilizados para la captura de datos geotécnicos y topográficos (radares, escáneres, estaciones totales, GPS) deben contar con un programa de calibración y mantenimiento vigente, conforme a las especificaciones del fabricante.</t>
  </si>
  <si>
    <t>c. Está prohibido utilizar cualquier equipo con su calibración vencida o que presente fallas. Dicho equipo debe ser retirado de operación y reportado para su gestión, asegurando su reemplazo para no interrumpir el monitoreo.</t>
  </si>
  <si>
    <t xml:space="preserve"> PLATAFORMA DE PERFORACIÓN VERIFICADA ANTES DE USO</t>
  </si>
  <si>
    <t>Previo al posicionamiento de cualquier equipo de perforación en la proximidad del borde de un banco, se debe realizar una verificación visual de la estabilidad y competencia de la plataforma de trabajo</t>
  </si>
  <si>
    <t xml:space="preserve"> El operador del equipo de perforación, junto con el supervisor, deben inspeccionar el área de posicionamiento para detectar la presencia de grietas,  hundimientos, material suelto ocualquier signo de inestabilidad en el terreno.</t>
  </si>
  <si>
    <t>b. El posicionamiento del equipo debe respetar las distancias seguras al borde del banco, definidas en el procedimiento de trabajo y en el plan de perforación de la malla.</t>
  </si>
  <si>
    <t>c. Si se detecta cualquier condición de riesgo, el operador no debe posicionar el equipo, debe retirarse a un lugar seguro e informar inmediatamente al supervisor para una evaluación geotécnica formal antes de proceder</t>
  </si>
  <si>
    <t>LISTADO DE AUTODIAGNÓSTICO RIESGO DE FATALIDAD N°25: EQUIPOS MINEROS E INDUSTRIALES</t>
  </si>
  <si>
    <r>
      <t xml:space="preserve">Este evento considera como exclusión los siguientes escenarios.
</t>
    </r>
    <r>
      <rPr>
        <sz val="12"/>
        <color rgb="FF004E52"/>
        <rFont val="Calibri"/>
        <family val="2"/>
      </rPr>
      <t xml:space="preserve">• </t>
    </r>
    <r>
      <rPr>
        <sz val="12"/>
        <color rgb="FF004E52"/>
        <rFont val="Calibri"/>
        <family val="2"/>
        <scheme val="minor"/>
      </rPr>
      <t>Operaciones ferroviarias dentro y fuera de los recintos industriales de CODELCO
• Equipos o maquinarias no autopropulsados
• Equipos alza-hombres (man-lift)
• Grúa articulada
• Grúa torre
• Pérdida de control Vehículos livianos
• Pérdida de control maniobras de izaje
• Equipos autónomo</t>
    </r>
  </si>
  <si>
    <t>CONDUCTOR ACREDITADO Y APTO FÍSICA Y PSICOLÓGICAMENTE</t>
  </si>
  <si>
    <t xml:space="preserve">Garantizar que toda persona que opere equipos mineros esté debidamente formada, evaluada,  
por la organización y con aptitud médica vigente, reduciendo el riesgo de errores operacionales
derivados de fallas humanas o falta de capacitación.   </t>
  </si>
  <si>
    <t>Proceso de acreditación de operadores</t>
  </si>
  <si>
    <t>Documentos requisitos para la acreditación:
-Licencia municipal clase D.
-Licencia interna.
-Evaluación teórica y práctica sobre operación y
conocimiento de los sistemas del equipo minero e
industrial, en marca y modelo, realizada por organismo
certificador validado por Chile Valora  o fabricante/representantes de la marca.
-Curso del riesgo de fatalidad.</t>
  </si>
  <si>
    <t xml:space="preserve"> Evaluación médica vigente y compatible</t>
  </si>
  <si>
    <t>Examen médico de Evaluación de Salud para equipos
mineros, emitido por una entidad reconocida. Resultado
“Apto”.</t>
  </si>
  <si>
    <t xml:space="preserve"> Credencial y autorización interna vigente</t>
  </si>
  <si>
    <t>Credencial entregada tras aprobación de formación y
salud. Debe estar vigente, disponible y verificable en
terreno.</t>
  </si>
  <si>
    <t xml:space="preserve"> Registro consolidado del personal autorizado</t>
  </si>
  <si>
    <t>Base de datos actualizada con trazabilidad del cumplimiento de los requisitos (formación, salud,
autorización) para cada trabajador.</t>
  </si>
  <si>
    <t>Implementación del sistema de observación de conductas en operación</t>
  </si>
  <si>
    <t>Registros de observaciones conductuales realizadas en
terreno. Listado de observadores de conducta activos.</t>
  </si>
  <si>
    <t xml:space="preserve"> Plan de Capacitación</t>
  </si>
  <si>
    <t>Documento que defina las actividades de capacitación a
realizar por los operadores, considerando a lo menos el
curso del riesgo de fatalidad e instrucciones del procedimiento de operación del equipo, plan de tránsito,
actuación ante emergencias, uso de dispositivos (F&amp;S,
antiatropello, anticolisión, otros)</t>
  </si>
  <si>
    <t>SISTEMA INTEGRAL DE ASISTENCIA Y MONITOREO A LA CONDUCCIÓN</t>
  </si>
  <si>
    <t>Garantizar que el equipo cuente con sistemas operativos de asistencia y monitoreo que permitan detectar y prevenir desviaciones críticas durante la operación, tales como: Gestión
de velocidad, monitoreo de fatiga/somnolencia, alertas de proximidad y colisión, y comunicación bi-direccional con el centro de control.</t>
  </si>
  <si>
    <t>Equipos cuentan con sistema de gestión de
velocidad instalado y operativo</t>
  </si>
  <si>
    <t>Informe de configuración validado por área técnica. Historial de eventos por velocidad</t>
  </si>
  <si>
    <t>Equipos cuentan con sistema de monitoreo de fatiga y somnolencia</t>
  </si>
  <si>
    <t>Registro de activación del sistema, evidencia de
calibración y mantención certificada</t>
  </si>
  <si>
    <t>Equipos cuentan con sistema de alerta de
proximidad y colisión funciona</t>
  </si>
  <si>
    <t>Informe de pruebas operativas y checklist de pre uso. Evidencia de eventos registrados.</t>
  </si>
  <si>
    <t>Comunicación bidireccional activa entre operador y centro de control</t>
  </si>
  <si>
    <t>Bitácora electrónica o sistema validado.
Confirmación de integridad de señal y protocolo de uso.</t>
  </si>
  <si>
    <t>Reportabilidad de alertas críticas</t>
  </si>
  <si>
    <t>Sistema de registro que permite trazabilidad de alertas, respuestas y cierre de acciones</t>
  </si>
  <si>
    <t>Procedimiento de mantenimiento y revisión técnica de sistemas de asistencia</t>
  </si>
  <si>
    <t>Programa vigente con historial de intervenciones,
responsable asignado y respaldo técnico.</t>
  </si>
  <si>
    <t>INTEGRIDAD DE COMPONENTES
CRÍTICOS DEL EQUIPO (MECÁNICOS, HIDRÁULICOS Y ELÉCTRICOS)</t>
  </si>
  <si>
    <t>Asegurar que los componentes críticos del equipo relacionados con frenos, dirección, neumáticos, sistemas hidráulicos y eléctricos mantengan condiciones de funcionamiento
seguras, evitando pérdida de control, incendios o fallas operativas durante la conducción.</t>
  </si>
  <si>
    <t>Plan de mantenimiento de componentes críticos del equipo</t>
  </si>
  <si>
    <t>Plan de mantenimiento validado y aprobado, con inclusión explícita de frenos, dirección, neumáticos, retardador, sistemas hidráulicos y eléctricos.</t>
  </si>
  <si>
    <t>Parámetros técnicos definidos para cada
componente crítico</t>
  </si>
  <si>
    <t>Fichas técnicas, umbrales de funcionamiento y métricas de rendimiento emitidas por fabricante o ingeniería interna.</t>
  </si>
  <si>
    <t xml:space="preserve"> Inspecciones ejecutadas según programa</t>
  </si>
  <si>
    <t>Informes de inspección técnica firmados y almacenados en sistema. Registro en bitácora o software de gestión.</t>
  </si>
  <si>
    <t>Registro del cumplimiento del mantenimiento según plan matriz</t>
  </si>
  <si>
    <t>Evidencia del mantenimiento realizado (checklist, órdenes de trabajo) y validación de fechas clave por equipo mecánico.</t>
  </si>
  <si>
    <t>Existencia de repuestos y suministros críticos disponibles</t>
  </si>
  <si>
    <t>Registro actualizado de stock de repuestos críticos en
sistema logístico. Lista de codificación y trazabilidad.</t>
  </si>
  <si>
    <t>Certificación Operativa del equipo antes de
reintegrarse a faena.</t>
  </si>
  <si>
    <t>Informe interno de validación tras mantenimiento
mayor, revisión post-falla o cambio de componentes
clave</t>
  </si>
  <si>
    <t xml:space="preserve"> Inspección Pre-Uso</t>
  </si>
  <si>
    <t>Evidencia del chequeo pre-operacional del equipo,
verificando el estado de los componentes críticos
definidos por el fabricante y la empresa.
a. El checklist debe incluir dirección, frenos,
neumáticos, luces, alarma de retroceso, sistemas
de retardo y protección.
Toda falla detectada debe ser registrada y el equipo puesto fuera de servicio hasta su reparación.
La evidencia debe mantenerse archivada electrónicamente o en formato físico conforme al procedimiento interno</t>
  </si>
  <si>
    <t>INFRAESTRUCTURA VIAL
CONFORME A DISEÑO (BERMAS,
PRETILES, RADIOS, DRENAJE)</t>
  </si>
  <si>
    <t>Asegurar que las rutas operacionales, incluyendo rampas, botaderos, plataformas de carga, bermas, pretiles, radios de giro, drenaje, señalización y sistemas de segregación mantengan condiciones estructurales, visibilidad y limpieza acordes al diseño, garantizando un entorno
seguro para la circulación de equipos mineros</t>
  </si>
  <si>
    <t>Plan de Tránsito</t>
  </si>
  <si>
    <t>Disponer de documento que defina el diseño de la
infraestructura vial respecto a la implementación de bermas, pretiles, radios, drenajes, restricciones, señalización, otros.</t>
  </si>
  <si>
    <t>Programa de inspección vial formal</t>
  </si>
  <si>
    <t>Evidencia documental de rutas inspeccionadas con
frecuencia establecida, incluyendo observaciones sobre
bermas, drenaje, radios y señalética</t>
  </si>
  <si>
    <t>Plan de mantenimiento de infraestructura vial</t>
  </si>
  <si>
    <t>Documento operativo con actividades de conservación,
reparación y mejora de condiciones viales críticas (pretiles,
carpetas, radios, acceso restringido).</t>
  </si>
  <si>
    <t>Reportes de condiciones viales inseguras y
acciones correctivas</t>
  </si>
  <si>
    <t>Registro con trazabilidad desde la detección de desviación
hasta la acción ejecutada y cierre documentado.</t>
  </si>
  <si>
    <t>Verificación de accesos y restricciones
operativas</t>
  </si>
  <si>
    <t>Evidencia de control de rutas bloqueadas, zonas en
mantenimiento y rutas restringidas para ciertos equipo</t>
  </si>
  <si>
    <t>CABINAS DE PROTECCIÓN (ROPS
Y FOPS</t>
  </si>
  <si>
    <t>Proteger la integridad física del operador (a) ante vuelcos o caída de objetos, asegurando
que la cabina del equipo cuente con estructuras ROPS (Roll Over Protective Structure) y
FOPS (Falling Object Protective Structure) certificadas, íntegras, sin modificaciones y con
mantención validada.</t>
  </si>
  <si>
    <t>Certificación estructural de ROPS y FOPS</t>
  </si>
  <si>
    <t>Documentación técnica del fabricante o entidad competente que respalde resistencia y diseño conforme
a normas ISO 3471 (ROPS) e ISO 3449 (FOPS).</t>
  </si>
  <si>
    <t>Inspección visual de integridad estructura</t>
  </si>
  <si>
    <t>Registro fotográfico o físico de revisión visual sin daños,
fisuras ni modificaciones en la estructura.</t>
  </si>
  <si>
    <t>Registro de modificaciones o reparaciones
estructurales</t>
  </si>
  <si>
    <t>Historial de intervenciones en la cabina con respaldo técnico, validación del fabricante y pruebas de resistencia si corresponde.</t>
  </si>
  <si>
    <t>Trazabilidad de cabinas certificadas por equipo</t>
  </si>
  <si>
    <t>Sistema digital o manual que relacione cada cabina con su equipo, certificado estructural, fecha de última inspección y responsable</t>
  </si>
  <si>
    <t>CAPACIDAD DE RESPUESTA ANTE EMERGENCIA</t>
  </si>
  <si>
    <t>Asegurar que, ante un evento no deseado de un equipo minero, exista una capacidad efectiva y oportuna de respuesta por parte de la brigada de emergencia, con recursos, protocolos y entrenamiento adecuado para proteger la vida del operador u otras personas involucradas</t>
  </si>
  <si>
    <t>Plan de emergencia documentado y específico</t>
  </si>
  <si>
    <t>Documento formal asociado a emergencia que contemple procedimiento, roles, medios y tiempo de respuesta. Debe estar disponible y conocido por el equipo.</t>
  </si>
  <si>
    <t>Equipamiento de rescate disponible e
inspeccionado</t>
  </si>
  <si>
    <t>Equipos y medios necesarios ante una emergencia asociada a choque, colisión, volcamiento y/o incendio en el lugar de trabajo, conforme al procedimiento de emergencia aplicable a la tare</t>
  </si>
  <si>
    <t>Brigada entrenada actuar ante emergencias</t>
  </si>
  <si>
    <t>La brigada debe haber recibido entrenamiento teórico y
práctico para emergencias con equipos mineros e
industriales. El registro de esto debe estar disponible.</t>
  </si>
  <si>
    <t>Simulacros y validación de tiempos de
respuesta</t>
  </si>
  <si>
    <t>Se deben realizar ejercicios que validen el tiempo de
rescate tras un accidente con equipos mineros e
industriales. Los registros deben quedar disponibles.</t>
  </si>
  <si>
    <t>Difusión y comunicación del plan
de rescate</t>
  </si>
  <si>
    <t>El plan debe ser comunicado de forma verbal o escrita al
equipo antes del inicio de las actividades.</t>
  </si>
  <si>
    <t>El plan debe ser comunicado de forma verbal o escrita al equipo antes del inicio de las actividades.</t>
  </si>
  <si>
    <t>Evaluación de radio, CIO, GPS, botón de pánico u otros
sistemas de comunicación activos y funcionales.</t>
  </si>
  <si>
    <t xml:space="preserve"> PLAN DE RUTA, SEÑALIZACIÓN OPERATIVA Y GESTIÓN DE CAMBIOS</t>
  </si>
  <si>
    <t>El conductor debe seguir la ruta definida,
respetar toda señalización operativa del sitio y cumplir los procedimientos internos ante cualquier cambio de condiciones de tránsito o desvío</t>
  </si>
  <si>
    <t>a. El supervisor(a) debe verificar que el conductor conozca y entienda la ruta establecida, incluyendo desvíos y puntos críticos.</t>
  </si>
  <si>
    <t>b. Toda modificación a la ruta habitual debe ser evaluada y autorizada mediante gestión del cambio documentada..</t>
  </si>
  <si>
    <t xml:space="preserve"> EQUIPO CONFORME A ESPECIFICACIONES TÉCNICAS DEL FABRICANTE</t>
  </si>
  <si>
    <t>Todos los equipos mineros deben cumplir con lasespecificaciones técnicas establecidas por el fabricante para su operación segura y conforme al estándar definido por la compañía</t>
  </si>
  <si>
    <t xml:space="preserve"> El supervisor(a) debe revisar que el equipo cuente con ficha técnica y manual de operación accesible.</t>
  </si>
  <si>
    <t>b. No se permite operar un equipo que presente modificaciones sin gestión del cambio aprobada.</t>
  </si>
  <si>
    <t>c. Se deben respetar límites de carga, velocidad, presión, temperatura y otros parámetros definidos.</t>
  </si>
  <si>
    <t>EVALUACIÓN Y SUSPENSIÓN POR CONDICIONES CLIMÁTICAS ADVERSAS</t>
  </si>
  <si>
    <t>Los trabajos de operación de equipos móviles deben ser evaluados ante condiciones climáticas adversas (lluvia, niebla, viento, nieve) y suspendidos si estas comprometen la seguridad</t>
  </si>
  <si>
    <t>a. El supervisor(a) debe aplicar el procedimiento interno para suspensión preventiva cuando se superen los umbrales establecidos</t>
  </si>
  <si>
    <t>b. El operador(a) debe reportar visibilidad reducida, pérdida de adherencia o inestabilidad al conducir.</t>
  </si>
  <si>
    <t>c. La reanudación debe estar autorizada tras verificación en terreno de condiciones seguras. El criterio de suspensión debe estar documentado y aplicado según procedimiento.</t>
  </si>
  <si>
    <t>LICENCIA INTERNA Y ACREDITACIÓN OBLIGATORIA DE EQUIPOS</t>
  </si>
  <si>
    <t>Todo equipo móvil debe contar con licencia de operación interna vigente y su acreditación conforme al procedimiento</t>
  </si>
  <si>
    <t>a. El supervisor(a) debe confirmar que el equipo posee licencia de operación visible o documento equivalente</t>
  </si>
  <si>
    <t>b. No se permite operar equipos que no hayan sido inspeccionados ni autorizados por la unidad técnica correspondiente.</t>
  </si>
  <si>
    <t>c. Toda acreditación debe estar respaldada por ficha técnica, revisión y autorización de mantenimiento</t>
  </si>
  <si>
    <t>DISPOSITIVOS INTEGRALES DE VISIBILIDAD Y SEÑALIZACIÓN</t>
  </si>
  <si>
    <t>Todo equipo debe contar con elementos de visibilidad activa y pasiva que permitan su identificación en todo momento</t>
  </si>
  <si>
    <t>a. Los dispositivos deben incluir como mínimo baliza, pértiga iluminada, rotulación visible y conos de seguridad si aplica.</t>
  </si>
  <si>
    <t>b. El operador(a) debe activar los sistemas de señalización antes de cualquier desplazamiento.</t>
  </si>
  <si>
    <t>c. Toda falla en estos sistemas debe implicar detención del equipo hasta su reparación.</t>
  </si>
  <si>
    <t xml:space="preserve"> CINTURÓN DE SEGURIDAD RETRÁCTIL DE 3 PUNTAS OPERATIVO</t>
  </si>
  <si>
    <t>Todo equipo móvil debe estar equipado con cinturón de seguridad retráctil de 3 puntas, en buen estado y funcional.</t>
  </si>
  <si>
    <t>a. El operador(a) debe usar el cinturón en todo momento durante la operación del equipo.</t>
  </si>
  <si>
    <t>b. El supervisor(a) debe verificar el uso y estado del cinturón al inicio de cada turno. c. En caso de falla o ausencia, el equipo no debe ser operado hasta su reposición.</t>
  </si>
  <si>
    <t>El uso del cinturón debe ser observado en terreno
y registrado en el checklist de seguridad</t>
  </si>
  <si>
    <t>PARACHOQUES DELANTERO EXTENDIDO FUNCIONAL</t>
  </si>
  <si>
    <t>En los equipos que aplique, de acuerdo a
evaluación de riesgos de los Centros de trabajo, deben contar con parachoques delantero extendido que permita reducir daños estructurales y proteger la cabina en caso de impacto</t>
  </si>
  <si>
    <t>a. El supervisor(a) debe verificar la presencia, estado y montaje adecuado del parachoque</t>
  </si>
  <si>
    <t>b. No se permite operar un equipo que haya sufrido daño visible en este componente sin evaluación técnica.</t>
  </si>
  <si>
    <t>c. El parachoques debe cumplir con los criterios de diseño establecidos por el fabricante o la empresa.</t>
  </si>
  <si>
    <t>LISTADO DE AUTODIAGNÓSTICO RIESGO DE FATALIDAD N°27: ATROPELLO</t>
  </si>
  <si>
    <r>
      <t>ELEMENTOS DEL CONTROL</t>
    </r>
    <r>
      <rPr>
        <b/>
        <sz val="16"/>
        <color theme="0"/>
        <rFont val="Calibri"/>
        <family val="2"/>
      </rPr>
      <t>•</t>
    </r>
  </si>
  <si>
    <t>Este evento considera como exclusión los siguientes escenarios.
• Pérdida de control maniobras de izaje.
• Pérdida de control de vehículos livianos
• Pérdida de control de equipos mineros e industriales
• Pérdida de control de equipos autónomos</t>
  </si>
  <si>
    <t>RUTAS VEHICULARES Y PEATONALES CONFORME A DISEÑO (SEGREGACIÓN,
SEÑALÉTICA, ILUMINACIÓN)</t>
  </si>
  <si>
    <t>Asegurar que toda la infraestructura vial y peatonal destinada al tránsito de equipos y personas, como por ejemplo: rampas, caminos, accesos, senderos, segregaciones, iluminación, semáforos,
refugios, otros, esté implementada para mantener en control las condiciones de circulación y visibilidad en todas las zonas de interacción.</t>
  </si>
  <si>
    <t>Reglamento del Tránsito del Centro de Trabajo</t>
  </si>
  <si>
    <t>Solicitar el documento que estipula las exigencias y
requerimientos para el transito seguro de equipos,
vehículos y personas en el centro de trabajo.</t>
  </si>
  <si>
    <t>Plan de tránsito vial y peatonal vigente</t>
  </si>
  <si>
    <t>Solicitar layout actualizado y difundido en el área. Debe
contener rutas, zonas segregadas, señalética e iluminación definida</t>
  </si>
  <si>
    <t>Infraestructura vial construida e implementada según diseño aprobado</t>
  </si>
  <si>
    <t>Solicitar evidencia (fotos, checklist o informe técnico)
que confirme ejecución según plano y normativas
vigentes (ej. Manual MOP).</t>
  </si>
  <si>
    <t xml:space="preserve"> Señalética instalada y visible en puntos definidos</t>
  </si>
  <si>
    <t>Solicitar checklist de señales instaladas según layout.
Verificar estado físico y fijación.</t>
  </si>
  <si>
    <t xml:space="preserve"> Iluminación funcional en zonas de tránsito y cruce</t>
  </si>
  <si>
    <t>Solicitar informe de revisión nocturna o medición de
iluminación en puntos críticos. Confirmar programa de
mantención vigente.</t>
  </si>
  <si>
    <t>Mantenimiento periódico de rutas, refugios y segregaciones</t>
  </si>
  <si>
    <t>Verificar bitácora de mantenimientos preventivos. Debe
incluir caminos, senderos, refugios, iluminación,
semáforos y segregación. Solicitar reporte mensual con cumplimiento del plan de mantención, brechas, tiempo de respuesta y alertas corregidas.</t>
  </si>
  <si>
    <t>Stock mínimo de elementos críticos (señales, vallas, luminarias)</t>
  </si>
  <si>
    <t>TrimestraL</t>
  </si>
  <si>
    <t>Solicitar listado de stock mínimo exigido por layout. Confirmar existencia en bodega y reposición según plan
de respuesta.</t>
  </si>
  <si>
    <t>Análisis de fallas y plan de contingencia
implementado</t>
  </si>
  <si>
    <t>Solicitar documento que describa modos de falla
esperados y plan de contingencia (desvíos, refuerzo
señalética, cierre de rutas)</t>
  </si>
  <si>
    <t xml:space="preserve"> Instrucción del personal</t>
  </si>
  <si>
    <t>Verificar que el personal que interactúa con equipos /
vehículos, ha sido instruido en el plan de tránsito que le
aplica.</t>
  </si>
  <si>
    <t>SISTEMA ANTI ATROPELLO Y
ADVERTENCIA DE PROXIMIDAD</t>
  </si>
  <si>
    <t>Garantizar que los vehículos y equipos móviles definidos cuenten con un sistema
antiatropello y de advertencia de proximidad operativo, calibrado y gestionado técnicamente, que permita prevenir la interacción con personas en zonas de riesgo,
evitando atropellos o colisiones en áreas compartidas</t>
  </si>
  <si>
    <t>Sistema operativo ydisponible en los equipos y zonas definidas</t>
  </si>
  <si>
    <t>Verificar en terreno el funcionamiento del sistema.
Revisar checklist de inspección, ubicación de TAGs (a
los que aplique) y componentes.</t>
  </si>
  <si>
    <t>Instalación y calibración según fabricante o proveedor</t>
  </si>
  <si>
    <t>Solicitar certificados de calibración, informes de instalación, y ficha técnica por modelo de equipo.</t>
  </si>
  <si>
    <t>Dispositivos señalizados y protegidos</t>
  </si>
  <si>
    <t>Verificar identificación visible y señalización. Confirmar protección física en el montaje</t>
  </si>
  <si>
    <t xml:space="preserve"> Plan de mantenimiento del sistema</t>
  </si>
  <si>
    <t>Solicitar bitácora de mantenimientos realizados. Confirmar periodicidad, responsables y elementos cubiertos (unidad de control, TAGs a los que aplique, sensores, etc.).</t>
  </si>
  <si>
    <t>Stock de repuestos críticos disponibles</t>
  </si>
  <si>
    <t>Solicitar listado de stock mínimo por modelo. Verificar existencia en bodega y plan de reposición.</t>
  </si>
  <si>
    <t xml:space="preserve"> Análisis de fallas y plan de contingencia definido</t>
  </si>
  <si>
    <t>Solicitar documento que identifique fallas esperadas,
by-pass detectados y medidas correctivas. Incluir tratamiento de eventos críticos y alertas sin cierre</t>
  </si>
  <si>
    <t xml:space="preserve"> Instrucción vigente al personal involucrado</t>
  </si>
  <si>
    <t>Verificar registros de instrucción. Confirmar que el personal entiende los fallos y operatividad del sistema</t>
  </si>
  <si>
    <t xml:space="preserve"> Indicadores de rendimiento del sistema</t>
  </si>
  <si>
    <t>Solicitar informe de desempeño del sistema: alertas,
tasas de falla, eventos de riesgo, brechas detectadas
y acciones de mejora.</t>
  </si>
  <si>
    <t>ALTA VISIBILIDAD EN PERSONAS, VEHÍCULOS Y EQUIPO</t>
  </si>
  <si>
    <t>Garantizar la máxima visibilidad de personas, vehículos y equipos móviles en zonas de operación, mediante el uso de ropa, elementos reflectantes y sistemas luminosos, de modo que se prevenga la interacción no advertida y el riesgo de atropello.</t>
  </si>
  <si>
    <t>Procedimiento técnico vigente para control de alta visibilidad</t>
  </si>
  <si>
    <t>Solicitar documento corporativo o divisional que indique los criterios de uso, inspección y reemplazo de ropa de alta visibilidad, balizas, cintas reflectantes y pértiga</t>
  </si>
  <si>
    <t>Cumplimiento técnico de ropa de alta visibilidad para el persona</t>
  </si>
  <si>
    <t>Verificar que las prendas cumplan: color fluorescente
(naranjo o amarillo), bandas reflectantes clase 2 o 3,
contraste adecuado, visibilidad 360° y estado general
sin desgaste excesivo.</t>
  </si>
  <si>
    <t>Balizas y luces estroboscópicas activas en
vehículos y equipos</t>
  </si>
  <si>
    <t>Solicitar registros de inspección técnica y evidencia visual de funcionamiento de balizas instaladas con visibilidad 360°. Confirmar encendido continuo durante operación</t>
  </si>
  <si>
    <t>Pértiga instalada con luz intermitente funcional en equipos requeridos</t>
  </si>
  <si>
    <t>Verificar presencia de pértiga con banderín reflectante
y luz intermitente visible. Confirmar altura mínima (≥
4,60 m) y que se encuentra encendida en zonas mina</t>
  </si>
  <si>
    <t xml:space="preserve"> Señalización reflectante visible y conforme a norm</t>
  </si>
  <si>
    <t>Verificar presencia de cintas reflectantes reglamentarias en vehículos/equipos según altura. Confirmar visibilidad lateral y posterior. Validar cumplimiento de número visible.</t>
  </si>
  <si>
    <t>Inspección en terreno del estado operativo de elementos de visibilidad</t>
  </si>
  <si>
    <t>Solicitar checklist firmado por el supervisor. Confirmar
que se evalúa el estado de la ropa, luces, pértigas, y
elementos reflectantes.</t>
  </si>
  <si>
    <t>Stock mínimo de elementos de alta visibilidad para reemplazo</t>
  </si>
  <si>
    <t>Verificar que existan en bodega: ropa HV, balizas, cintas
reflectantes y pértigas, con trazabilidad y reposición
documentada ante daño o pérdida</t>
  </si>
  <si>
    <t>Instrucción vigente al personal</t>
  </si>
  <si>
    <t>Verificar registros de instrucción al personal respecto al
uso, inspección y reemplazo de ropa de alta visibilidad,
balizas, cintas reflectantes y pértigas</t>
  </si>
  <si>
    <t>COMUNICACIÓN BIDIRECCIONAL EFECTIVA ENTRE PERSONAL Y CONDUCTORES</t>
  </si>
  <si>
    <t>Garantizar una comunicación bidireccional efectiva, operativa y continua entre personas y
conductores durante maniobras o circulación en zonas de interacción, para evitar errores
de interpretación, omisiones o demoras en la entrega de instrucciones que puedan generar atropellos o colisiones.</t>
  </si>
  <si>
    <t>Sistema de comunicación definido y
respaldado</t>
  </si>
  <si>
    <t>Solicitar documento oficial del CC que contenga:
protocolo de uso, cobertura por zonas, frecuencia
asignada, listado de radios autorizados, y plan de acción
ante fallas.</t>
  </si>
  <si>
    <t>Equipos operativos y en condiciones adecuadas</t>
  </si>
  <si>
    <t>Confirmar que todos los radios estén operativos, con señal
funcional en las áreas de tránsito, con fichas técnicas
vigentes y checklist de inspección.</t>
  </si>
  <si>
    <t>Infraestructura de comunicación instalada</t>
  </si>
  <si>
    <t>Verificar existencia, ubicación y operatividad de
repetidores, estaciones base y antenas para asegurar
cobertura.</t>
  </si>
  <si>
    <t>Compatibilidad y frecuencia radial adecuada</t>
  </si>
  <si>
    <t>Revisar programación de radios, bandas de frecuencia
(VHF/UHF), configuración trunking si aplica, y compatibilidad entre equipos.</t>
  </si>
  <si>
    <t>Instrucción en comunicación radia</t>
  </si>
  <si>
    <t>Solicitar registro de instrucciones en uso del sistema,
incluyendo protocolos de silencio, mensajes clave, e
interpretación de respuestas</t>
  </si>
  <si>
    <t xml:space="preserve"> Evaluación y métricas de cobertura</t>
  </si>
  <si>
    <t>Solicitar reporte técnico con resultados de pruebas de
señal en terreno, brechas de conectividad y tiempos de
respuesta</t>
  </si>
  <si>
    <t xml:space="preserve"> Plan de mantenimiento de radios y sistema</t>
  </si>
  <si>
    <t>Verificar existencia de programa formal con inspecciones,
reparaciones, pruebas funcionales y rotación de baterías o
repuestos.</t>
  </si>
  <si>
    <t>Garantizar una respuesta de emergencia inmediata, coordinada y eficaz ante un atropello oaccidente por interacción persona-equipo, asegurando la rápida activación de los protocolos, la disponibilidad de brigadas entrenadas y la atención médica especializada
para minimizar las consecuencias y salvar vidas.</t>
  </si>
  <si>
    <t>Solicitar el plan de emergencias que incluya un protocolo
específico para atropellos. Verificar que define roles,
responsabilidades y un flujograma de comunicaciones
claro.</t>
  </si>
  <si>
    <t xml:space="preserve">Instrucción del personal </t>
  </si>
  <si>
    <t>Verificar la instrucción del personal en el procedimiento
local de emergencias.</t>
  </si>
  <si>
    <t>Brigada de Emergencia</t>
  </si>
  <si>
    <t>Verificar los registros de capacitación y entrenamiento de
la brigada. Deben demostrar conocimientos y habilidades
vigentes en rescate y atención prehospitalaria de trauma.</t>
  </si>
  <si>
    <t>Equipamiento de Emergencia y Médico
Operativo</t>
  </si>
  <si>
    <t>Inspeccionar en terreno el equipamiento del policlínico y
de los vehículos de rescate y ambulancia, verificando su
operatividad, certificación y stock de insumos críticos.</t>
  </si>
  <si>
    <t>Vehículos de Emergencia con Mantenimiento Vigente</t>
  </si>
  <si>
    <t>Solicitar el plan de mantenimiento de la ambulancia y
vehículos de rescate. Verificar su cumplimiento y la certificación de los vehículos para circular en la faena</t>
  </si>
  <si>
    <t xml:space="preserve"> Simulacros Periódicos y Medidos</t>
  </si>
  <si>
    <t>Solicitar el informe del último simulacro de atropello. El
reporte debe incluir los aprendizajes del proceso:
coordinación entre equipos de primera atención:
protección industrial, brigada y equipo de salud, tiempos
de respuesta, utilización, disponibilidad y capacidad de recursos, adherencia al procedimiento local por parte del
personal expuesto y planes de acción para la gestión de brechas.</t>
  </si>
  <si>
    <t>Protocolos de Comunicación y Rutas
de Evacuación</t>
  </si>
  <si>
    <t>Verificar que el protocolo de comunicación de emergencia está operativo y es conocido. Solicitar el mapa actualizado con las rutas de evacuación y los Puntos de Encuentro de Ambulancia (PEA).</t>
  </si>
  <si>
    <t>CÓDIGO DE BOCINAS</t>
  </si>
  <si>
    <t>Todos los vehículos que circulan en áreas operativas deben utilizar señales acústicas
(bocinas) para advertir su presencia o ejecutar maniobras de riesgo, según el código de
comunicación definido.</t>
  </si>
  <si>
    <t>a. El código de bocinazos debe estar estandarizado en el Reglamento de Tránsito del Centro de Trabajo y difundido a todo el personal.</t>
  </si>
  <si>
    <t>b. El sistema de bocina debe ser funcional,auditable en inspecciones preoperacionales y tener volumen adecuado para condiciones de faena</t>
  </si>
  <si>
    <t xml:space="preserve">c. Toda falla en la bocina debe reportarse y el vehículo debe ser retirado del servicio hasta su reparación </t>
  </si>
  <si>
    <t xml:space="preserve"> LUCES DE CIRCULACIÓN ENCENDIDAS</t>
  </si>
  <si>
    <t>Durante toda operación en rutas de faena, los vehículos deben circular con luces encendidas, independientemente de las condiciones de luminosidad.</t>
  </si>
  <si>
    <t>b. Se deben realiza inspecciones preoperacionales para confirmar operatividad de luces frontales, traseras y de posición.</t>
  </si>
  <si>
    <t>c. En caso de falla de iluminación, el vehículo debe ser reparado antes de su reincorporación al tránsito</t>
  </si>
  <si>
    <t xml:space="preserve"> ESCOLTA OPERACIONAL</t>
  </si>
  <si>
    <t>Cuando un vehículo transite por zonas de alto riesgo o condiciones especiales, debe contar con escolta operacional autorizada</t>
  </si>
  <si>
    <t>a. El tipo de escolta requerido debe estar definido en el Plan de Tránsito del área y asignado por el supervisor responsable.</t>
  </si>
  <si>
    <t>b. La escolta debe portar equipos de comunicación bidireccional y mantener contacto visual constante con el vehículo escoltado.</t>
  </si>
  <si>
    <t xml:space="preserve">c. Todo desplazamiento con escolta debe ser registrado y validado según los procedimientos del Centro de Trabajo </t>
  </si>
  <si>
    <t xml:space="preserve"> ALARMA DE RETROCESO</t>
  </si>
  <si>
    <t>Todo vehículo debe contar con alarma sonora de retroceso que advierta a peatones y otros vehículos cuando se realice esta maniobra.</t>
  </si>
  <si>
    <t>a. La alarma debe activarse automáticamente al engranar marcha atrás y ser audible por sobre el ruido ambiental.</t>
  </si>
  <si>
    <t>b. Su funcionalidad debe verificarse en el chequeo preoperacional diario.</t>
  </si>
  <si>
    <t>c. En caso de falla, la operación en retroceso queda prohibida hasta la reparación del sistema</t>
  </si>
  <si>
    <t xml:space="preserve"> SEÑALÉTICA VIAL OPERATIVA</t>
  </si>
  <si>
    <t>El área de operación debe contar con señalética vial operativa, clara y visible, cuya condición debe ser verificada regularmente.</t>
  </si>
  <si>
    <t>a. El supervisor(a) debe inspeccionar que toda señal esté en su lugar, legible y conforme al Reglamento de Tránsito.</t>
  </si>
  <si>
    <t>b. Se debe registrar cualquier desviación y generar orden de mantenimiento si aplica.</t>
  </si>
  <si>
    <t>c. El chequeo debe realizarse como parte de las rutinas de inspección del área y previo a tareas no rutinarias.</t>
  </si>
  <si>
    <t xml:space="preserve"> MAPAS DE RUTAS ACTUALIZADO</t>
  </si>
  <si>
    <t>Toda operación vehicular debe contar con un mapa actualizado de rutas, zonas críticas y puntos de control establecidos.</t>
  </si>
  <si>
    <t>a.  El mapa debe estar disponible en los puntos de ingreso, CIO, garaje o sala de control, y en versión digital o impresa.</t>
  </si>
  <si>
    <t>b. Debe incorporar rutas principales, desvíos autorizados, zonas de restricción y cambios temporales validados por gestión de camios.</t>
  </si>
  <si>
    <t>c. El conductor debe estar instruido sobre el mapa vigente y portar copia cuando sea requerido</t>
  </si>
  <si>
    <t xml:space="preserve"> BLOQUEO E INMOVILIZACION DE VEHICULOS/EQUIPOS (CUÑAS U OTROS)</t>
  </si>
  <si>
    <t>a. El supervisor(a) debe verificar que se realice el bloqueo e inmovilización efectiva de los equipos cuando estos no se encuentren en servicio, asegurando el cumplimiento de los protocolos de estacionamiento.</t>
  </si>
  <si>
    <t>LISTADO DE AUTODIAGNÓSTICO RIESGO DE FATALIDAD N°28: CAVING</t>
  </si>
  <si>
    <t>Aplica a la Pérdida del Control de Caving durante la explotación subterránea. En este escenario se puede producir la colgadura de un área determinada por falta de propagación de la cavidad. 
Posteriormente la pérdida de control puede generar un desprendimiento y/o colapso súbito de material, resultando en un efecto de compresión de aire generando lesiones graves o fatales a
personas y daños en la infraestructura y equipos mineros</t>
  </si>
  <si>
    <t xml:space="preserve">Se excluyen los siguientes escenarios:
• Pérdida de control estructural de macizo rocoso.
• Pérdida de control estabilidad de roca subterránea.
• Fallas inducidas por sísmica.
Pérdida instantánea de la estabilidad de excavaciones en labores subterráneas. </t>
  </si>
  <si>
    <t>SISTEMA DE MONITOREO
GEOMECÁNICO Y CONTROL DE LA PRODUCCIÓN</t>
  </si>
  <si>
    <t>Prevenir la formación de colgaduras y el crecimiento descontrolado del airgap, mediante el monitoreo continuo de la sismicidad y la subsidencia del macizo rocoso, y el control estricto de la secuencia y velocidad de extracción.</t>
  </si>
  <si>
    <t>Caracterización Geotécnica para Hundibilidad</t>
  </si>
  <si>
    <t>Solicitar el modelo geotécnico que define la hundibilidad
del macizo (RMR, Radio Hidráulico) y sus actualizaciones</t>
  </si>
  <si>
    <t xml:space="preserve"> Instrumentación de Monitoreo Operativa.</t>
  </si>
  <si>
    <t>Solicitar reportes de disponibilidad del sistema de
monitoreo (Red Microsísmica, TDR, Smart Markers, radares)</t>
  </si>
  <si>
    <t xml:space="preserve"> Control de la Tasa de Extracción.</t>
  </si>
  <si>
    <t>Solicitar reportes del sistema de control de producción que
verifiquen el cumplimiento de las velocidades de extracción
(ej. &lt;0.35 m/día)</t>
  </si>
  <si>
    <t>Monitoreo del Crecimiento de la Cavidad y Airgap.</t>
  </si>
  <si>
    <t>Solicitar informes geomecánicos que reporten la altura de
la cavidad y la dimensión del airgap, verificando que sea
&lt;10m.</t>
  </si>
  <si>
    <t>Sistema de Gestión de Datos Integrado</t>
  </si>
  <si>
    <t>Verificar que la data de monitoreo se integra y actualiza
diariamente en el modelo geomecánico para la toma de
decisiones</t>
  </si>
  <si>
    <t xml:space="preserve"> Umbrales de Alerta Definidos y Vigentes.</t>
  </si>
  <si>
    <t>Solicitar el documento que define los umbrales de alerta (ej. sismicidad, velocidad de deformación) y su protocolo de gestión.</t>
  </si>
  <si>
    <t xml:space="preserve"> Personal Especialista para Análisis de Datos.</t>
  </si>
  <si>
    <t>Solicitar las competencias y roles, según perfil o descriptor
de cargo, para el personal que interpreta los datos
geotécnicos y toma decisiones 24/7</t>
  </si>
  <si>
    <t>FRACTURAMIENTO DEL MACIZO E INCORPORACIÓN DE ÁREAS</t>
  </si>
  <si>
    <t>Prevenir la formación de colgaduras persistentes (hangups), asegurando que el macizo rocoso sea debilitado de forma controlada mediante fracturamiento hidráulico o destres blasting antes de su incorporación al proceso de hundimiento</t>
  </si>
  <si>
    <t>Diseño de Fracturamiento Validado</t>
  </si>
  <si>
    <t xml:space="preserve">Por Evento </t>
  </si>
  <si>
    <t>Solicitar el diseño de fracturamiento hidráulico o destress blasting, verificando la aprobación de Geotecnia.</t>
  </si>
  <si>
    <t>Ejecución Conforme al Diseño</t>
  </si>
  <si>
    <t>Solicitar los reportes de ejecución de fracturamiento, verificando el cumplimiento de parámetros (presiones, volúmenes, cargas).</t>
  </si>
  <si>
    <t>Control de Sismicidad Inducida.</t>
  </si>
  <si>
    <t>Solicitar los informes de monitoreo sísmico durante y después de las actividades de debilitamiento para evaluar la respuesta del macizo</t>
  </si>
  <si>
    <t xml:space="preserve"> Verificación de Efectividad Post-Fracturamiento.</t>
  </si>
  <si>
    <t>Solicitar el informe de verificación (ej. sismología, TDR) que confirma que se cumplieron los objetivos de debilitamiento.</t>
  </si>
  <si>
    <t>Protocolo de Incorporación de Áreas</t>
  </si>
  <si>
    <t>Solicitar el procedimiento que define la secuencia y el timing para la incorporación segura de áreas post-debilitamiento.</t>
  </si>
  <si>
    <t xml:space="preserve"> Competencias del personal para el fracturamiento</t>
  </si>
  <si>
    <t>Solicitar listado de competencias y roles, según perfil y descriptor de cargo, para que diseña, ejecuta y supervisa las tareas de fracturamiento.</t>
  </si>
  <si>
    <t>Diseño de P&amp;T con Criterio de Control de
Daño</t>
  </si>
  <si>
    <t>Solicitar el diseño de P&amp;T, verificando que incluye especificaciones para control de daño al crown pillar y
puntos de extracción.</t>
  </si>
  <si>
    <t xml:space="preserve">Solicitar reportes de topografía o de navegación que
verifiquen el cumplimiento de la perforación según diseño. </t>
  </si>
  <si>
    <t>Revisar registros de aislamiento del área (libro de tronadura) que confirman la evacuación del personal antes
de la tronadura.</t>
  </si>
  <si>
    <t>Evaluación Post Tronadura y Liberación de Área.</t>
  </si>
  <si>
    <t>Solicitar el registro de inspección post-tronadura (check de
TQ y estabilidad) que autoriza formalmente el reingreso</t>
  </si>
  <si>
    <t>Inspección de Daño a Infraestructura de
Producción.</t>
  </si>
  <si>
    <t>Solicitar el reporte post-tronadura que incluya la inspección
visual de la condición del crown pillar y puntos de extracción</t>
  </si>
  <si>
    <t xml:space="preserve"> Personal de P&amp;T Acreditado</t>
  </si>
  <si>
    <t>Solicitar registros de acreditación y licencias vigentes del
personal que ejecuta y supervisa las tareas de P&amp;T.</t>
  </si>
  <si>
    <t xml:space="preserve"> Gestión de Tiros Quedados (TQ).</t>
  </si>
  <si>
    <t>Solicitar el procedimiento de gestión de TQ y verificar los
registros de reporte y eliminación segura.</t>
  </si>
  <si>
    <t>Impedir el ingreso de personas y equipos a las inmediaciones de sectores colgados o con riesgo inminente de airblast, asegurando que estas áreas de exclusión estén claramente identificadas, físicamente bloqueadas y con un control de acceso riguroso</t>
  </si>
  <si>
    <t>Segregación por Riesgo de Airblast</t>
  </si>
  <si>
    <t>Solicitar el documento que define el tipo de barrera física
(dura) y el radio de exclusión para zonas con colgadura
activa</t>
  </si>
  <si>
    <t>Mapa de Riesgo de Colgaduras Actualizado.</t>
  </si>
  <si>
    <t>Solicitar el mapa de riesgo del turno y verificar su fecha de
actualización y la clara identificación de zonas de exclusión.</t>
  </si>
  <si>
    <t>Implementación de barreras Físicas (Duras).</t>
  </si>
  <si>
    <t>Verificar en terreno que las zonas de alto riesgo están
aisladas con barreras físicas efectivas según estándar.</t>
  </si>
  <si>
    <t xml:space="preserve"> Señalización Clara y Visible.</t>
  </si>
  <si>
    <t>Verificar en terreno la existencia y buen estado de letreros
de advertencia claros (Peligro: Riesgo de Airblast, No Pasar).</t>
  </si>
  <si>
    <t>Sistema de Comunicación Radial para Evacuación</t>
  </si>
  <si>
    <t>Solicitar registros de pruebas de cobertura y funcionamiento del sistema de comunicación radial (leaky
feeder) en toda la mina</t>
  </si>
  <si>
    <t>Protocolo de Control de Acceso a Zonas de
Exclusión</t>
  </si>
  <si>
    <t>Solicitar el procedimiento de autorización de ingreso (si
aplica bajo condiciones controladas) a zonas de exclusión</t>
  </si>
  <si>
    <t>CAPACIDAD DE RESPUESTA ANT 
EMERGENCIA</t>
  </si>
  <si>
    <t>Garantizar una respuesta sistémica, inmediata y eficaz tras un evento de airblast,integrando el protocolo de emergencia, la disponibilidad de refugios mineros y la acción de brigadas especializadas, para proteger, rescatar y atender a las personas afectadas.</t>
  </si>
  <si>
    <t>Plan de Emergencia Específico para Airblast.</t>
  </si>
  <si>
    <t>Solicitar el plan de emergencia y verificar su actualización, incluyendo protocolos de comunicación, evacuación y rescate.</t>
  </si>
  <si>
    <t xml:space="preserve">Refugios Mineros Operativos y
Mantenidos </t>
  </si>
  <si>
    <t>Solicitar los registros de inspección y mantenimiento mensual de los refugios mineros (presurización,
consumibles, comunicaciones).</t>
  </si>
  <si>
    <t xml:space="preserve"> Brigada de RescateEntrenada para Airblast.</t>
  </si>
  <si>
    <t>Solicitar los registros de entrenamiento y simulacros de
la brigada de rescate en escenarios específicos de
airblast</t>
  </si>
  <si>
    <t>Sistemas de Comunicación de Emergencia
Funcionales</t>
  </si>
  <si>
    <t>Solicitar registros de pruebas funcionales de los sistemas
de comunicación de emergencia (radios, alarmas, leaky
feeder).</t>
  </si>
  <si>
    <t>Simulacros de Respuesta a Airblast
Realizados.</t>
  </si>
  <si>
    <t>Solicitar el informe del último simulacro de airblast,
verificando tiempos de evacuación y planes de acción de
las brechas.</t>
  </si>
  <si>
    <t>Personal Capacitado en el Plan de Emergencia.</t>
  </si>
  <si>
    <t>Verificar que el personal ha recibido instrucción en el
protocolo de aviso y las rutas hacia los refugios.</t>
  </si>
  <si>
    <t xml:space="preserve"> PERFORACIONES DE HUNDIMIENTO EVALUADAS GEOTÉCNICAMENTE</t>
  </si>
  <si>
    <t>b. El supervisor de perforación debe verificar en terreno que la ejecución de los tiros (ubicación, inclinación y profundidad) se ajusta al diseño validado, utilizando para ello los planos de la malla y herramientas de medición topográfica</t>
  </si>
  <si>
    <t>c. Toda desviación de perforación que exceda las tolerancias de diseño debe ser informada por el supervisor al área de Geomecánica, la cual debe evaluar el impacto en el caving y definir si se requiere reperforar o modificar el carguío de explosivos.</t>
  </si>
  <si>
    <t xml:space="preserve"> MAPA DE RIESGOS (CAVING)</t>
  </si>
  <si>
    <t>Se debe mantener y utilizar un mapa de riesgos dinámico y actualizado del proceso de caving para la planificación, instrucción y control de las operaciones de extracción.</t>
  </si>
  <si>
    <t>a. El área de Geomecánica es responsable de generar y actualizar el mapa de riesgos del caving con una frecuencia semanal, o antes si la condición lo amerita, indicando visualmente el estado de cada sector (ej: colgado, propagación normal, detenido, airgap)</t>
  </si>
  <si>
    <t>b. El supervisor de operaciones debe utilizar este mapa en la planificación diaria y en la charla de inicio de turno para instruir al personal sobre las zonas de mayor riesgo, las velocidades de extracción requeridas y las prohibiciones de
acceso</t>
  </si>
  <si>
    <t>CHEQUEO DE CONDICIÓN DE LABOR</t>
  </si>
  <si>
    <t>c. El supervisor, al ser informado de una condición anómala, debe verificar la condición en terreno, aislar el área si es necesario y coordinar con el área de Geotecnia la evaluación y las medidas correctivas</t>
  </si>
  <si>
    <t>MONITOREO DE SECTORES DETENIDOS</t>
  </si>
  <si>
    <t>Todos los frentes de producción o labores de desarrollo que se encuentren con detención prolongada  deben  ser  monitoreados formalmente para controlar su estabilidad geotécnica antes de autorizar el reingreso de personal y equipos.</t>
  </si>
  <si>
    <t>a. El supervisor del área debe asegurar que todas las labores con detención prolongada sean incorporadas en los programas de inspección geotécnica, con una frecuencia definida por el área especialista.</t>
  </si>
  <si>
    <t>LISTADO DE AUTODIAGNÓSTICO RIESGO DE FATALIDAD N°29: CAÍDA A CUERPOS LÍQUIDOS</t>
  </si>
  <si>
    <t>• Plantas de procesamiento de mineral 
• Espesadores 
• Estanques y piscinas de almacenamiento de aguas industriales
• Canaletas de conducción y alimentación de relaves al interior de plantas concentradoras
• Tranques de relaves 
• Embalses de agua y de relave</t>
  </si>
  <si>
    <t>Este evento considera como exclusión los siguientes escenarios:
• Estanques y piscinas que almacenan SUSPEL, SX-EW.</t>
  </si>
  <si>
    <t>ZONAS DE CUERPOS LÍQUIDOS
AISLADAS Y SEÑALIZADAS</t>
  </si>
  <si>
    <t>Garantizar que todos los cuerpos de líquidos contenidos estén físicamente segregados mediante cierres perimetrales efectivos y señalización de advertencia visible, aplicando un estricto protocolo de control de acceso para prevenir el ingreso no autorizado de personas o equipos a zonas de riesgo de caída.</t>
  </si>
  <si>
    <t>Diseño de Cierre Perimetral y Control de Acceso</t>
  </si>
  <si>
    <t xml:space="preserve"> Delimitación Física Visible e Íntegra</t>
  </si>
  <si>
    <t>Verificar en terreno que el cierre perimetral físico (ej. barandas, rejas) está instalado, es continuo y se encuentra en buenas condiciones estructurales en toda el área expuesta.</t>
  </si>
  <si>
    <t xml:space="preserve"> Señalización de Advertencia y Emergencia</t>
  </si>
  <si>
    <t xml:space="preserve"> Aplicación de Protocolos de Exclusión y Acceso</t>
  </si>
  <si>
    <t xml:space="preserve"> Plan de Inspección y Mantenimiento de Cierres</t>
  </si>
  <si>
    <t xml:space="preserve"> Segregación en Puntos de Interacción Vehicular</t>
  </si>
  <si>
    <t>Verificar que los bordes de cuerpos líquidos donde transitan equipos cuenten con pretiles de contención dimensionados para prevenir su caída</t>
  </si>
  <si>
    <t>PERSONAL CAPACITADO PARA
TRABAJOS EN CUERPOS LÍQUIDOS</t>
  </si>
  <si>
    <t>Garantizar que todo el personal que realiza tareas en el perímetro o sobre cuerpos de líquidos contenidos posea las capacitaciones específicas, la aptitud física y psicológica, y la
autorización.</t>
  </si>
  <si>
    <t>Uso de Sistema de Protección Contra Caídas
(SPDC</t>
  </si>
  <si>
    <t xml:space="preserve">Cada vez </t>
  </si>
  <si>
    <t>Verificar en terreno que los trabajadores que vrealizan tareas en los perímetros (bordes) de cuerpos líquidos utilizan un SPDC (arnés y línea de vida) anclado a un punto certificado, cuando aplique su utilización.</t>
  </si>
  <si>
    <t>Uso de Elementos de Flotación Personal</t>
  </si>
  <si>
    <t>Verificar en terreno que toda persona que trabaje sobre un cuerpo líquido (balsa, bote) utilice permanentemente un chaleco salvavidas certificado y en buen estado.</t>
  </si>
  <si>
    <t>Evaluación de Condiciones Climáticas</t>
  </si>
  <si>
    <t>Verificar que se prohíben los trabajos sobre cuerpos líquidos con viento fuerte, oleaje o condiciones adversas.</t>
  </si>
  <si>
    <t xml:space="preserve"> Capacitación y Entrenamiento Específico</t>
  </si>
  <si>
    <t>Solicitar los registros de curso del riesgo de fatalidad que considere: el uso de SPDC, chalecos salva vidas, y activación de emergencia en el agua.</t>
  </si>
  <si>
    <t>Prohibición de trabajos solitarios</t>
  </si>
  <si>
    <t>Se prohíbe el trabajo con riesgo de caída al agua de forma solitaria</t>
  </si>
  <si>
    <t>NFRAESTRUCTURA SEGURA Y
COMUNICACIÓN OPERATIVA EN
CUERPOS LÍQUIDOS</t>
  </si>
  <si>
    <t>Garantizar que toda la infraestructura asociada a cuerpos de líquidos (plataformas, pasarelas, barandas, balsas, botes) cumpla con estándares de diseño, construcción y mantenimiento que
aseguren su integridad estructural, y que se disponga de un sistema de comunicación
bidireccional operativo en todo momento.</t>
  </si>
  <si>
    <t>Diseño y Estándar de Infraestructura Fija</t>
  </si>
  <si>
    <t xml:space="preserve"> Certificación de Infraestructura Flotante</t>
  </si>
  <si>
    <t xml:space="preserve"> Plan de Inspección y Mantenimiento</t>
  </si>
  <si>
    <t>Solicitar el plan de mantenimiento preventivo y los registros de inspección para toda la infraestructura, incluyendo verificación de corrosión, daños estructurales y estado de los anclajes</t>
  </si>
  <si>
    <t xml:space="preserve"> Vías de Salida de Emergencia</t>
  </si>
  <si>
    <t>Verificar en terreno que todo cuerpo líquido contenido
cuenta con al menos una estructura visible y accesible para la salida de emergencia desde su interior (ej. escalera, rampa)</t>
  </si>
  <si>
    <t>Sistema de Comunicación Bidirecciona</t>
  </si>
  <si>
    <t xml:space="preserve"> Señalética Informativa en Infraestructura</t>
  </si>
  <si>
    <t>CAPACIDAD DE RESPUESTA Y
RESCATE ANTE EMERGENCIA EN
CUERPOS LÍQUIDOS</t>
  </si>
  <si>
    <t>Garantizar una respuesta de emergencia inmediata y eficaz ante la caída de una persona a
un cuerpo líquido, asegurando la disponibilidad de equipamiento de rescate, la activación de un plan de emergencia y la intervención de personal entrenado para maximizar la
probabilidad de un rescate exitoso</t>
  </si>
  <si>
    <t>Equipamiento de Rescate Disponible y
Operativo</t>
  </si>
  <si>
    <t>Ubicación Estratégica del Equipamiento</t>
  </si>
  <si>
    <t xml:space="preserve"> Brigada Entrenada en Rescate en Agu</t>
  </si>
  <si>
    <t>Simulacros de Rescate Medidos</t>
  </si>
  <si>
    <t>Solicitar el registro y evaluación del último simulacro de rescate, verificando que se midieron y analizaron los tiempos de respuesta y la efectividad de las maniobras.</t>
  </si>
  <si>
    <t xml:space="preserve"> Protocolo de Atención Médic</t>
  </si>
  <si>
    <t xml:space="preserve"> AUTORIZACIÓN PARA TRABAJOS EN BORDE DE CUERPOS LÍQUIDOS</t>
  </si>
  <si>
    <t>b. El control de acceso debe estar documentado y estandarizado, definiendo los responsables de autorizar, la forma de registro (libro, QR, etc.) y los elementos que el personal de control debe verificar antes de permitir el ingreso (EPP y medio de comunicación).</t>
  </si>
  <si>
    <t>c. Está prohibido el ingreso de cualquier persona que no cuente con la autorización explícita y registrada para trabajar en el perímetro o dentro de un cuerpo líquido contenido, según el procedimiento del área.</t>
  </si>
  <si>
    <t xml:space="preserve"> COMUNICACIÓN RADIAL OPERATIVA</t>
  </si>
  <si>
    <t>a. Se debe contar con un procedimiento que establezca la obligatoriedad de la comunicación bidireccional, definiendo los equipos a utilizar, las frecuencias asignadas, los responsables y la autonomía de los equipos.</t>
  </si>
  <si>
    <t>b. Antes de iniciar cualquier trabajo, el personal debe realizar pruebas de comunicación para verificar la operatividad de los equipos y confirmar el conocimiento del canal o número de emergencia</t>
  </si>
  <si>
    <t xml:space="preserve"> USO OBLIGATORIO DE SPDC EN TRABAJOS CON RIESGO DE CAÍDA A CUERPOS LÍQUIDOS</t>
  </si>
  <si>
    <t>a. El supervisor debe asegurar que el personal expuesto a un riesgo de caída utilice en todo momento el SPDC, anclado a un punto o línea de vida certificada</t>
  </si>
  <si>
    <t>b. La capacitación en el uso correcto del SPDC es un requisito indispensable para la autorización del personal que realizará tareas en el perímetro de piscinas.</t>
  </si>
  <si>
    <t>c. Está estrictamente prohibido realizar trabajos en el borde de un cuerpo líquido sin el uso de SPDC, considerándose una falta grave que debe ser detenida de inmediato.</t>
  </si>
  <si>
    <t>b. La supervisión debe realizar inspecciones periódicas para verificar que la señalética se encuentra instalada, en buenas condiciones y no presenta obstrucciones.</t>
  </si>
  <si>
    <t>c. Es responsabilidad del personal reportar cualquier señalética dañada, ilegible o ausente para su pronta reposición</t>
  </si>
  <si>
    <t xml:space="preserve"> ACCESOS A TRANQUES Y PISCINAS DEMARCADOS CON BARRERAS FÍSICAS</t>
  </si>
  <si>
    <t>a. El diseño del cierre perimetral debe contemplar una altura mínima de 1,20 metros y sus características de construcción deben estar definidas en un documento de especificaciones técnicas.</t>
  </si>
  <si>
    <t>c. Está prohibido el ingreso a través de cualquier punto que no sea el control de acceso formalmente establecido, aun cuando existan fallas en el cierre perimetral.</t>
  </si>
  <si>
    <t xml:space="preserve"> CHALECOS SALVAVIDAS OBLIGATORIOS EN ACTIVIDADES CERCANAS AL AGUA</t>
  </si>
  <si>
    <t>a. Como parte de las competencias requeridas, el personal debe estar capacitado y evaluado en el uso correcto del chaleco salvavidas, de acuerdo al plan de emergencia del área.</t>
  </si>
  <si>
    <t>b. El chaleco salvavidas es un elemento definido como parte del equipamiento de rescate y debe ser inspeccionado periódicamente para asegurar su buen estado y funcionalidad.</t>
  </si>
  <si>
    <t>BALSAS Y ELEMENTOS DE FLOTACIÓN DISPONIBLES EN SECTORES CRÍTICOS</t>
  </si>
  <si>
    <t>a. El plan de emergencia específico del área debe definir el tipo, cantidad y ubicación de los  elementos de rescate, incluyendo flotadores, cuerdas de vida y botes para tranques y relaves.</t>
  </si>
  <si>
    <t>b. Toda estructura flotante, como balsas o botes, debe contar con su memoria de cálculo, tener señalizada su capacidad máxima y estar sometida a un plan de inspección y mantenimiento.</t>
  </si>
  <si>
    <t>c. Se deben realizar simulacros anuales que incluyan el uso de los elementos de rescate para verificar su operatividad y entrenar al personal en su correcta utilización</t>
  </si>
  <si>
    <t xml:space="preserve"> RUTAS DE EVACUACIÓN SEÑALIZADAS Y HABILITADAS EN ÁREAS CON RIESGO DE INUNDACIÓN</t>
  </si>
  <si>
    <t>LISTADO DE AUTODIAGNÓSTICO RIESGO DE FATALIDAD N°23: COLAPSO ESTRUCTURAL DEL MACIZO ROCOSO</t>
  </si>
  <si>
    <r>
      <t xml:space="preserve">Las exclusiones son:
</t>
    </r>
    <r>
      <rPr>
        <sz val="12"/>
        <color rgb="FF004E52"/>
        <rFont val="Calibri"/>
        <family val="2"/>
      </rPr>
      <t xml:space="preserve">• </t>
    </r>
    <r>
      <rPr>
        <sz val="12"/>
        <color rgb="FF004E52"/>
        <rFont val="Calibri"/>
        <family val="2"/>
        <scheme val="minor"/>
      </rPr>
      <t xml:space="preserve">Desprendimientos en rajo/superficie.
</t>
    </r>
    <r>
      <rPr>
        <sz val="12"/>
        <color rgb="FF004E52"/>
        <rFont val="Calibri"/>
        <family val="2"/>
      </rPr>
      <t>•</t>
    </r>
    <r>
      <rPr>
        <sz val="10.45"/>
        <color rgb="FF004E52"/>
        <rFont val="Calibri"/>
        <family val="2"/>
      </rPr>
      <t xml:space="preserve"> </t>
    </r>
    <r>
      <rPr>
        <sz val="12"/>
        <color rgb="FF004E52"/>
        <rFont val="Calibri"/>
        <family val="2"/>
        <scheme val="minor"/>
      </rPr>
      <t xml:space="preserve">Desprendimientos de rocas subterráneos inducidos por sísmicos (Estallidos de rocas).
</t>
    </r>
    <r>
      <rPr>
        <sz val="12"/>
        <color rgb="FF004E52"/>
        <rFont val="Calibri"/>
        <family val="2"/>
      </rPr>
      <t>•</t>
    </r>
    <r>
      <rPr>
        <sz val="10.45"/>
        <color rgb="FF004E52"/>
        <rFont val="Calibri"/>
        <family val="2"/>
      </rPr>
      <t xml:space="preserve"> </t>
    </r>
    <r>
      <rPr>
        <sz val="12"/>
        <color rgb="FF004E52"/>
        <rFont val="Calibri"/>
        <family val="2"/>
        <scheme val="minor"/>
      </rPr>
      <t>Desprendimientos de rocas individuales (PCERS).</t>
    </r>
  </si>
  <si>
    <t>Anticipar un colapso estructural del macizo rocoso, mediante el monitoreo continuo de la deformación y sismicidad del macizo rocoso y el control de la secuencia de extracción, para
generar alertas tempranas y tomar decisiones operacionales que eviten la inestabilidad.</t>
  </si>
  <si>
    <t>Plan de Monitoreo Geomecánico Vigente</t>
  </si>
  <si>
    <t xml:space="preserve"> Instrumentación Operativa y Calibrada.</t>
  </si>
  <si>
    <t xml:space="preserve"> Umbrales de Alerta Definidos y Vigentes</t>
  </si>
  <si>
    <t>Análisis e Interpretación por Especialistas</t>
  </si>
  <si>
    <t>Cumplimiento del Plan de Producción (Tiraje).</t>
  </si>
  <si>
    <t xml:space="preserve"> Protocolo de Alerta y Respuesta Probado</t>
  </si>
  <si>
    <t>Solicitar el informe del último simulacro del plan de emergencias por colapso, verificando tiempos de comunicación y respuesta.</t>
  </si>
  <si>
    <t>Personal Capacitado en Protocolos de Alerta.</t>
  </si>
  <si>
    <t>ESTABILIZACIÓN CONFORME A DISEÑO GEOTÉCNICO (SOPORTE Y FORTIFICACIÓN</t>
  </si>
  <si>
    <t>Prevenir el colapso estructural del macizo rocoso, asegurando que toda excavación subterránea sea soportada y fortificada oportunamente, cumpliendo rigurosamente con los diseños de ingeniería validados para las condiciones específicas del macizo rocoso</t>
  </si>
  <si>
    <t>Diseño de Fortificación Validado y Contextualizado.</t>
  </si>
  <si>
    <t>Solicitar plano de fortificación, verificando que la aprobación de Geotecnia considera las condiciones locales (humedad, fallas, tipo de roca).</t>
  </si>
  <si>
    <t>Materiales de Fortificación Certificados.</t>
  </si>
  <si>
    <t>Solicitar certificados de calidad de fábrica o especificaciones técnicas para todos los sistemas que conforman la fortificación (pernos, malla u hormigón proyectado)</t>
  </si>
  <si>
    <t>Aseguramiento de Calidad (QA/QC) en Terreno.</t>
  </si>
  <si>
    <t>Cumplimiento de Tiempos de Instalación.</t>
  </si>
  <si>
    <t>Protocolo de Acción Post Evento Sísmico.</t>
  </si>
  <si>
    <t>Solicitar el procedimiento de reevaluación de la estabilidad y la fortificación de las labores después de un evento sísmico significativo.</t>
  </si>
  <si>
    <t xml:space="preserve"> Personal Acreditado</t>
  </si>
  <si>
    <t>Solicitar registros de acreditación vigentes para operadores de equipos de fortificación.</t>
  </si>
  <si>
    <t>Verificar en libros de novedades o reportes que los hallazgos de fortificación dañada son reportados y gestionados.</t>
  </si>
  <si>
    <t>Garantizar que todas las actividades de perforación, tronadura y preacondicionamiento se ejecuten de manera controlada y en estricto cumplimiento de los diseños y secuencias de ingeniería validados geomecánicamente, para minimizar el daño al macizo rocoso, controlar la sismicidad inducida y mantener la estabilidad de las excavaciones.</t>
  </si>
  <si>
    <t>Diseños de P&amp;T y preacondicionamiento con validación geomecánica</t>
  </si>
  <si>
    <t>Procedimientos operacionales de P&amp;T
estandarizados, vigentes y difundidos.</t>
  </si>
  <si>
    <t>Solicitar los procedimientos vigentes para perforación, carguío de explosivos, amarre y tronadura. Verificar registros de capacitación del personal ejecutor</t>
  </si>
  <si>
    <t>Control de calidad (QA/QC) en la ejecución de la perforación</t>
  </si>
  <si>
    <t>Solicitar reportes de topografía o de sistemas de navegación de jumbos que verifiquen el cumplimiento de la posición, longitud y ángulo de los tiros perforados.</t>
  </si>
  <si>
    <t>Verificación de la ejecución de la tronadura conforme al diseño</t>
  </si>
  <si>
    <t>Protocolos de aislamiento y autorización para la tronadura.</t>
  </si>
  <si>
    <t>Revisar los registros de aislamiento de área (ej. libro de tronadura) y las autorizaciones firmadas que confirman la evacuación del personal y la entrega del área</t>
  </si>
  <si>
    <t xml:space="preserve"> Conciliación y análisis de resultados post-tronadura.</t>
  </si>
  <si>
    <t>Solicitar informes de conciliación que comparen el avance real vs. el planificado, el perfil de sobre excavación (escáner) y el análisis de la respuesta sísmica</t>
  </si>
  <si>
    <t>Capacitación del personal ejecutor (perforistas, tronadores)</t>
  </si>
  <si>
    <t>Gestión de tiros quedados (TQ) según procedimiento.</t>
  </si>
  <si>
    <t>SEGREGACIÓN FÍSICA Y
CONTENCIÓN ESTRUCTURAL</t>
  </si>
  <si>
    <t>Proteger a las personas de colapsos estructurales del macizo rocoso, ya sea conteniendo la
inestabilidad con obras de ingeniería o bloqueando físicamente el acceso a toda zona identificada con este riesgo.</t>
  </si>
  <si>
    <t>Diseño de Estructuras de Contención.</t>
  </si>
  <si>
    <t>Segregación y Bloqueo Físico.</t>
  </si>
  <si>
    <t>Mapa de Zonas Bloqueadas y Contenidas.</t>
  </si>
  <si>
    <t>Verificación de Barreras Físicas en Terreno.</t>
  </si>
  <si>
    <t>Solicitar informes de inspección que verifiquen la existencia, integridad y correcta señalización de las barreras y estructuras de contención</t>
  </si>
  <si>
    <t>Solicitar el procedimiento de autorización de ingreso a áreas restringidas y revisar los registros de permisos emitidos.</t>
  </si>
  <si>
    <t>OPERACIÓN REMOTA DE EQUIPOS EN ZONAS CRÍTICAS</t>
  </si>
  <si>
    <t>Eliminar la exposición de las personas al interactuar con zonas de alto riesgo de colapso estructural del macizo rocoso, asegurando que cualquier intervención en estas áreas se
realice exclusivamente mediante el uso de equipos de operación remota.</t>
  </si>
  <si>
    <t>Sistemas de  Comunicación y Video
Operativos.</t>
  </si>
  <si>
    <t>Protocolos de Operación e Ingreso Vigentes.</t>
  </si>
  <si>
    <t>Sistemas de detención de emergencia
operativos (Hardware y Software)</t>
  </si>
  <si>
    <t>Garantizar una respuesta sistémica, inmediata y eficaz tras un colapso estructural del
macizo rocoso, integrando la comunicación, la brigada de rescate y la atención médica,
para rescatar y atender a las personas afectadas en el menor tiempo posible, minimizando
la severidad de las lesiones.</t>
  </si>
  <si>
    <t>Simulacros Integrados Realizados y Evaluados</t>
  </si>
  <si>
    <t xml:space="preserve"> Personal Capacitado en Respuesta Inicial</t>
  </si>
  <si>
    <t>ASEGURAMIENTO DE AVANCE Y ADHERENCIA AL MODELO GEOLÓGICO</t>
  </si>
  <si>
    <t>Las condiciones geológicas y estructurales reales encontradas durante la excavación deben ser sistemáticamente mapeadas y comparadas contra las proyecciones del modelo geológico
predictivo para validar su fiabilidad.</t>
  </si>
  <si>
    <t>a. El geólogo de operaciones debe ejecutar el mapeo estructural sistemático de todos los frentes de desarrollo activos, documentando la orientación, tipo y características de fallas, diaclasas y otras estructuras geológicas relevantes.</t>
  </si>
  <si>
    <t>b. El geólogo debe comparar en terreno los datos del mapeo con las proyecciones del modelo geológico vigente, identificando e informando cualquier discrepancia significativa a la supervisión y al área de geomecánica.</t>
  </si>
  <si>
    <t>c. El supervisor del área, al ser notificado de una discrepancia, debe detener las actividades si ladesviación representa un potencial aumento del riesgo y solicitar una re-evaluación formal por parte del área especialista antes de continuar con el avance</t>
  </si>
  <si>
    <t xml:space="preserve">EVALUACIÓN GEOTÉCNICA DE PERFORACIONES </t>
  </si>
  <si>
    <t>Toda perforación de exploración o geotécnica debe ser registrada y evaluada sistemáticamente para caracterizar el macizo rocoso y actualizar el modelo geológico-geotécnico del área.</t>
  </si>
  <si>
    <t>b. La información obtenida del registro geotécnico debe ser ingresada a la base de datos y utilizada por el área especialista para refinar y actualizar  los modelos estructurales y geotécnicos del macizo rocoso.</t>
  </si>
  <si>
    <t>c. El supervisor del área debe asegurar que los desarrollos mineros no avancen hacia zonas sin caracterización previa de sondajes, o donde la información obtenida no haya sido formalmente procesada, validada e integrada al modelo.</t>
  </si>
  <si>
    <t xml:space="preserve"> MAPA DE RIESGOS GEOTÉCNICOS</t>
  </si>
  <si>
    <t>Se debe contar con mapas de riesgos
geotécnicos actualizados para todas las áreas operativas, los cuales deben ser el instrumento de referencia para la planificación, la instrucción y la autorización de trabajos</t>
  </si>
  <si>
    <t>b. El supervisor, previo al inicio de cada turno, debe consultar el mapa de riesgo vigente parainstruir a su equipo sobre el nivel de riesgo del sector a intervenir y los controles específicos que aplican.</t>
  </si>
  <si>
    <t>c. El área de Planificación Mina debe utilizar la información de los mapas de riesgo geotécnico como un dato de entrada obligatorio para el diseño de fases, la secuencia de extracción y laprogramación de perforación y tronadura</t>
  </si>
  <si>
    <t>MONITOREO SECTORES DETENIDOS</t>
  </si>
  <si>
    <t>Todos los frentes de producción o labores de desarrollo que se encuentren con detención prolongada deben  ser monitoreados formalmente para controlar su estabilidad geotécnica antes de autorizar el reingreso depersonal y equipos.</t>
  </si>
  <si>
    <t>a. El supervisor del área debe asegurar que todaslas labores con detención prolongada sean incorporadas en los programas de inspección geotécnica, con una frecuencia Definida por elárea especialista.</t>
  </si>
  <si>
    <t>c. Antes de reiniciar las actividades, un especialista del área de geomecánica debe realizar una evaluación documentada de la estabilidad de la labor, emitiendo recomendaciones de saneamiento o refuerzo que deben ser implementadas por el personal de operaciones.</t>
  </si>
  <si>
    <t>b. Está prohibido alterar, bloquear o anular cualquier dispositivo de alivio de presión. Cualquier falla detectada debe ser reparada de inmediato, manteniendo el equipo fuera de servicio hasta su corrección.</t>
  </si>
  <si>
    <t xml:space="preserve"> a. El supervisor del área debe asegurar que las zonas de fumadores estén claramente señalizadas, delimitadas y equipadas con recipientes seguros (colilleros) disposición de cenizas y colillas.</t>
  </si>
  <si>
    <t>b. Las zonas de fumadores deben ubicarse a una distancia y la segura de cualquier material combustible, inflamable o de áreas de almacenamiento de sustancias peligrosas, conforme al mapa de riesgos del área.</t>
  </si>
  <si>
    <t>a. El personal de mantenimiento debe ejecutar el programa de inspección y mantenimiento de los sistemas de refrigeración (radiadores,ventiladores, niveles de fluidos refrigerantes),dejando registro de cada intervención.</t>
  </si>
  <si>
    <t>c. Cualquier anomalía, fuga o sobrecalentamiento detectado en el sistema de refrigeración debe ser reportado de inmediato a la supervisión y el equipo debe ser detenido hasta que se realice la evaluación y reparación por parte de personal calificado.</t>
  </si>
  <si>
    <t>a. El personal de mantenimiento eléctrico e instrumentación debe verificar periódicamente la operatividad de este enclavamiento,realizando pruebas funcionales documentadas para asegurar que la señal del detector activa la detención del sistema HVAC.</t>
  </si>
  <si>
    <t>c. El supervisor de la sala eléctrica debe asegurar que este sistema de protección no sea neutralizado o puesto en modo manual sin una autorización formal y por un período de tiempo acotado y controlado.</t>
  </si>
  <si>
    <t>c. Las inspecciones programadas de seguridad del área deben incluir la verificación visual del estado de las zanjas cortafuego, dejando registro de su condición y gestionando las acciones correctivas que sean necesaria.</t>
  </si>
  <si>
    <t>a. El encargado de la bodega o área de almacenamiento debe consultar la HDS de los productos e identificar las posibles incompatibilidades, basada en las características de peligrosidad de las sustancias.</t>
  </si>
  <si>
    <t>b. Antes de almacenar cualquier sustancia nueva, el personal responsable debe asegurar que se cumplan los distanciamientos (ej 2,4 metros) y sistemas de contención de derrames independientes.</t>
  </si>
  <si>
    <t>c. El supervisor del área debe verificar periódicamente, mediante inspecciones documentadas, que el almacenamiento físico en la bodega es coherente con las segregaciones definidas en el análisis de compatibilidad.</t>
  </si>
  <si>
    <t>a. La etiqueta debe incluir, como mínimo, el nombre del producto, pictogramas de peligro y la información principal de la Hoja de Datos de Seguridad (HDS), conforme a los estándares de comunicación de peligros.</t>
  </si>
  <si>
    <t>c. El supervisor debe verificar durante sus inspecciones que todos los contenedores en su área se encuentren correctamente rotulados y que las etiquetas sean legibles, indelebles y estén en buen estado.</t>
  </si>
  <si>
    <t>a. El dueño del área es responsable de asegurar  que cualquier modificación, ampliación o cambio en los sistemas de tuberías sea registrado y actualizado en los planos  correspondientes calificado.</t>
  </si>
  <si>
    <t>b. Los planos "as built" deben estardisponibles para la planificación de trabajos de mantenimiento, operación y respuesta a emergencias, y deben ser la única fuente de información de ingeniería válida.</t>
  </si>
  <si>
    <t>PROCEDIMIENTO DE GESTIÓN DE CAMBIO EN EL MANEJO DE SUSTANCIAS QUÍMICAS PELIGROSAS.</t>
  </si>
  <si>
    <t>c. Todas las unidades de almacenamiento de polvorines, accesorios y sustancias fragmentadoras deben contar con una memoria de cálculo (diseño) aprobada por la autoridad competente.</t>
  </si>
  <si>
    <t>a. El supervisor del área es responsable de asegurar que se instale señalización explícita con pictogramas y texto de "Peligro: Riesgo de Atrapamiento" o "No Operar sin Guardas" directamente sobre los equipos o en sus inmediaciones.</t>
  </si>
  <si>
    <t>b. El personal de mantenimiento eléctrico e instrumentación debe verificar la operatividad de estas alarmas como parte del programa de mantenimiento preventivo del equipo,realizando pruebas funcionales documentadas.</t>
  </si>
  <si>
    <t>a. El supervisor del área debe asegurar que se instale y mantenga una demarcación con pintura de alta visibilidad (generalmente amarilla o roja) en el piso, definiendo un perímetro de seguridad alrededor de los puntos de atrapamiento.</t>
  </si>
  <si>
    <t>b. Todo el personal que transite por el área debe respetar la demarcación, prohibiéndose cruzar o permanecer dentro del área de riesgo mientras el equipo se encuentre en operación.</t>
  </si>
  <si>
    <t>c. Todo el personal debe ser instruido parareconocer estas alarmas y evacuar inmediatamente la zona de riesgo o alejarse auna distancia segura al momento de su Vactivación.</t>
  </si>
  <si>
    <t>a. El conductor debe mantener radio en canal signado, realizar llamados de posición en puntos críticos definidos y confirmar recepción de todas las instrucciones del centro de despacho.</t>
  </si>
  <si>
    <t>b. El centro de despacho debe monitorear activamente las comunicaciones, alertar sobre condiciones cambiantes de tránsito, presencia de equipos pesados y coordinar cruces en intersecciones.</t>
  </si>
  <si>
    <t>c. Está prohibido operar con sistemas de comunicación defectuosos o cambiar canal sin autorización, debiendo reportar inmediatamente cualquier falla y usar señales visuales de respaldo.</t>
  </si>
  <si>
    <t>a. El supervisor debe evaluar continuamente condiciones de visibilidad y adherencia, activando protocolos específicos cuando se detecte lluvia, neblina, hielo o viento sobre límites establecidos en el reglamento.</t>
  </si>
  <si>
    <t>b. Los conductores deben reducir velocidad al 50% ante lluvia o neblina, duplicar distancia de seguimiento, encender luces y detener operación si la visibilidad es menor a 50 metros.</t>
  </si>
  <si>
    <t>c. Está prohibido continuar operando durante alerta roja climática o cuando el supervisor declare suspensión, debiendo estacionar en zona segura señalizada hasta autorización de reinicio.</t>
  </si>
  <si>
    <t>a. El conductor debe verificar visualmente: indicadores de niveles y estado de neumáticos, funcionamiento de luces, frenos, dirección y bocina, documentando hallazgos en el check list pre-operacional.</t>
  </si>
  <si>
    <t>b. Ante detección de fallas en elementos claves de los sistemas críticos (dirección, frenos, neumáticos, sistema eléctrico) el conductor debe etiquetar el vehículo como "fuera de servicio", reportar a mantenimiento y solicitar vehículo de reemplazo.</t>
  </si>
  <si>
    <t>c. Está prohibido operar con fallas conocidas en sistemas críticos o sin completar el check list, incluso si el vehículo fue usado en turno anterior sin novedad.</t>
  </si>
  <si>
    <t>a. El conductor debe verificar en cada turno el funcionamiento de baliza estroboscópica, luces delanteras y traseras, cintas reflectantes perimetrales y banderola en pértiga.</t>
  </si>
  <si>
    <t>b. La baliza debe activarse al ingresar a áreas operacionales, las luces mantenerse encendidas permanentemente y portar conos reflectantes para demarcación en detenciones.</t>
  </si>
  <si>
    <t>c. Está prohibido operar con dispositivos de visibilidad defectuosos, debiendo reemplazar elementos dañados antes de iniciar operación o solicitar vehículo de respaldo.</t>
  </si>
  <si>
    <t>a. El parabrisas debe cumplir especificación de vidrio laminado con película intermedia que mantenga los fragmentos adheridos en caso de rotura, evitando lesiones a ocupantes.</t>
  </si>
  <si>
    <t>b. Cualquier fisura o daño en el parabrisas debe ser evaluado inmediatamente, reemplazando el vidrio si la grieta supera 10 cm o está en campo visual del conductor.</t>
  </si>
  <si>
    <t>c. Está prohibido operar con parabrisas que presente delaminación, opacidad o fisuras múltiples que comprometan la visibilidad o integridad estructural.</t>
  </si>
  <si>
    <t>a. El extintor debe ser tipo ABC de mínimo 1 kg, con carga vigente y manómetro en rango verde, ubicado al alcance del conductor y señalizado claramente.</t>
  </si>
  <si>
    <t>b. El botiquín debe contener elementos básicos según estándar divisional, verificando mensualmente fecha de vencimiento de insumos y reponiendo elementos utilizados.</t>
  </si>
  <si>
    <t>c. Está prohibido retirar o utilizar el extintor para fines distintos a emergencias, debiendo recargarlo inmediatamente después de cualquier uso parcial o total.</t>
  </si>
  <si>
    <t>a. La pértiga debe tener altura mínima de 3 metros con luz estroboscópica en extremo superior y banderola reflectante, manteniéndose vertical y asegurada durante toda la operación.</t>
  </si>
  <si>
    <t>b. El foco de visión posterior debe iluminar mínimo 10 metros hacia atrás al activar reversa, complementando la baliza giratoria ámbar que debe ser visible a 360 grados.</t>
  </si>
  <si>
    <t>c. Está prohibido operar como faenero sin estos dispositivos especiales funcionando correctamente, debiendo mantener distancia mínima de 50 metros de equipos pesados si alguno falla (de acuerdo a lo señalado al Reglamento de Operaciones Mina Rajo del Centro de Trabajo).</t>
  </si>
  <si>
    <t>a. El supervisor a cargo debe asegurar que el equipo de ventilación forzada (extractor o inyector) sea de la capacidad adecuada para el volumen del espacio y que se instale según las especificaciones técnicas para garantizar un barrido efectivo del aire.</t>
  </si>
  <si>
    <t>b. Antes del ingreso, el equipo de ventilación debe operarse por un tiempo suficiente para realizar múltiples renovaciones del volumen de aire del espacio, verificando su efectividad mediante mediciones de gases.</t>
  </si>
  <si>
    <t>c. El sistema de ventilación forzada debe mantenerse operativo durante todo el tiempo que el personal permanezca en el interior del espacio confinado.</t>
  </si>
  <si>
    <t>a. El supervisor debe asegurar que todas las luminarias, extensiones y equipos eléctricos introducidos en el espacio confinado sean intrínsecamente seguros o a prueba de explosión si existe potencial de atmósfera inflamable.</t>
  </si>
  <si>
    <t>b. El personal que ingresa debe verificar que la iluminación instalada sea suficiente para realizar la tarea de forma segura, permitiendo una clara visibilidad del área de trabajo, los equipos y las vías de evacuación.</t>
  </si>
  <si>
    <t>c. Cualquier equipo de iluminación que presente fallas o daños en sus cables o conexiones debe ser retirado de servicio de inmediato y reemplazado por uno en buen estado para evitar riesgos de electrocución o ignición.</t>
  </si>
  <si>
    <t>a. El supervisor del área debe verificar que todo el personal programado para ingresar a un espacio confinado posee su examen de salud compatible vigente, conforme a los protocolos médicos definidos por la organización.</t>
  </si>
  <si>
    <t>b. El trabajador tiene la obligación de informar a su supervisor cualquier condición de salud que pueda afectar su capacidad para trabajar de forma segura en un espacio confinado, antes de iniciar la tarea.</t>
  </si>
  <si>
    <t>c. No se autorizará el ingreso de ningún trabajador que no cuente con su certificación de salud compatible o que manifieste no encontrarse en condiciones óptimas para la tarea.</t>
  </si>
  <si>
    <t>Se debe mantener comunicación permanente entre conductores, centro de despacho y supervisión para coordinar movimientos seguros.</t>
  </si>
  <si>
    <t>La operación debe ajustarse o suspenderse según las condiciones climáticas adversas que afecten la seguridad.</t>
  </si>
  <si>
    <t>El conductor debe inspeccionar los sistemas críticos del vehículo antes de cada turno mediante lista de verificación estandarizada.</t>
  </si>
  <si>
    <t>Todo vehículo debe mantener operativos sus elementos de alta visibilidad para ser detectado por otros equipos, utilizando materiales reflectantes, conforme la normativa vigente.</t>
  </si>
  <si>
    <t>Los vehículos deben contar con parabrisas de seguridad laminado que evite proyección de fragmentos ante impacto.</t>
  </si>
  <si>
    <t>Todo vehículo debe mantener extintor y botiquín de primeros auxilios vigentes y accesibles en cabina.</t>
  </si>
  <si>
    <t>Los vehículos que operan como faeneros en apoyo a equipos pesados deben contar con dispositivos especiales de visibilidad.</t>
  </si>
  <si>
    <t>Cuando la ventilación natural de un espacio confinado sea insuficiente, se debe instalar y mantener un sistema de ventilación forzada para asegurar la renovación del aire y mantener la atmósfera dentro de los límites seguros.</t>
  </si>
  <si>
    <t>La iluminación artificial utilizada en el interior de un espacio confinado debe ser certificada para el tipo de ambiente presente y operar a un voltaje de seguridad que no exceda los 24 voltios.</t>
  </si>
  <si>
    <t>Todo trabajador que deba ingresar a un espacio confinado debe contar con una evaluación médica que certifique su aptitud física y psicológica para realizar trabajos en estas condiciones.</t>
  </si>
  <si>
    <t>Se debe mantener un control y regulación sistemática de los pernos tensores en la estructura de los hornos, como el Horno Flash, para asegurar la integridad estructural y prevenir la infiltración de líquido fundido.</t>
  </si>
  <si>
    <t>Todo operador de equipo móvil que transporte material fundido (ej. puente grúa, locomotora) debe accionar las señales audibles y visibles (bocina y baliza) antes y durante el desplazamiento del equipo.</t>
  </si>
  <si>
    <t>Todo el personal que trabaje expuesto a la línea de fuego de metales fundidos debe contar con una evaluación de salud vigente que certifique su aptitud física y psicológica para la tarea.</t>
  </si>
  <si>
    <t>a. El personal de mantenimiento mecánico debe ejecutar el programa de inspección y torque de los pernos tensores del piso y bóveda del horno, según la frecuencia y especificaciones técnicas definidas en el plan de mantenimiento.</t>
  </si>
  <si>
    <t>b. Durante la inspección, se debe verificar el estado de los pernos, tuercas y la estructura circundante, reportando cualquier signo de deformación, corrosión o daño para su evaluación y programación de recambio.</t>
  </si>
  <si>
    <t>c. El supervisor de mantenimiento es responsable de mantener los registros de cada campaña de regulación de pernos, asegurando la trazabilidad de las intervenciones y el cumplimiento del programa.</t>
  </si>
  <si>
    <t>a. El operador del equipo debe emitir una señal acústica estandarizada, según el protocolo de comunicación del área, para anunciar el inicio del movimiento de la carga.</t>
  </si>
  <si>
    <t>b. La baliza estroboscópica del equipo debe permanecer encendida durante todo el trayecto en que se transporte material fundido, para advertir visualmente de la presencia de un peligro en movimiento.</t>
  </si>
  <si>
    <t>c. El supervisor de turno debe verificar, mediante observaciones de tareas, que los operadores cumplan con el uso sistemático de las señales de advertencia, reforzando este comportamiento en las charlas operativas.</t>
  </si>
  <si>
    <t>a. El supervisor de turno es responsable de verificar, antes del inicio de las tareas, que cada trabajador asignado a la zona de riesgo cuenta con su certificado de aptitud vigente, el cual debe estar registrado en los sistemas de la compañía.</t>
  </si>
  <si>
    <t>b. Todo trabajador tiene la obligación de informar a su supervisión cualquier condición de salud que pueda mermar sus capacidades, como fatiga, somnolencia o malestar, antes de iniciar el trabajo.</t>
  </si>
  <si>
    <t>c. Está prohibido el ingreso a las áreas de manejo de metal fundido a cualquier persona que no posea su certificado de aptitud o que reporte no estar en condiciones óptimas para el trabajo, debiendo ser reasignado a otra tarea.</t>
  </si>
  <si>
    <t xml:space="preserve">a. El área de Geotecnia es responsable de mantener actualizado y distribuido el mapa de riesgo geotécnico con una frecuencia mínima trimestral, o antes si las condiciones operacionales  o del terreno cambian  significativamente.
</t>
  </si>
  <si>
    <t>a. El operador de un equipo de acuñadura mecanizada, o personal específicamente designado y entrenado para esta labor, debe inspeccionar y sanear la frente o talud después de cada tronadura y antes del ingreso de equipos de carguío o perforación.</t>
  </si>
  <si>
    <t>b. Ante la detección de cualquier condición de riesgo, el operador debe detener su actividad, no exponerse, informar  inmediatamente al supervisor directo y esperar instrucciones antes de continuar.</t>
  </si>
  <si>
    <t>c. El supervisor, al ser informado de una condición anómala, debe verificar la condición en terreno, aislar el área si es necesario y coordinar con el área de Geotecnia la evaluación y las medidas correctivas.</t>
  </si>
  <si>
    <t>a. El área de Higiene Ocupacional es responsable de asegurar que todo personal que ejecute mediciones de polvo respirable cuente con certificación vigente en técnicas de muestreo, uso de instrumentos de medición y aplicación de los criterios de priorización establecidos en el estándar técnico SIGO-ET-005</t>
  </si>
  <si>
    <t>b. Los evaluadores deben mantener registros actualizados de calibración de equipos de medición y aplicar consistentemente la metodología de evaluación del Índice de Ambiente Laboral (IAL) y el Índice de Priorización de Fuentes (IPF)</t>
  </si>
  <si>
    <t>c. Todo punto de transferencia debe mantener sus elementos de contención según las especificaciones técnicas del fabricante,reemplazándose cuando el desgaste supere los límites establecidos en el plan de mantenimiento.</t>
  </si>
  <si>
    <t>a. El área de Higiene Ocupacional es responsable de actualizar semestralmente el catastro de fuentes críticas, incorporando nuevos equipos o puntos productivos y eliminando aquellos fuera de servicio.</t>
  </si>
  <si>
    <t>b. El catastro debe estar disponible en formato digital y físico en las áreas operativas, incluyendo el layout con la ubicación geográfica de cada fuente y sus sistemas de control asociados</t>
  </si>
  <si>
    <t>c. Cualquier modificación en los procesos productivos que genere una nueva fuente de emisión debe ser comunicada al área de Higiene Ocupacional dentro de 48 horas para su evaluación e incorporación al catastro</t>
  </si>
  <si>
    <t>a. El operador de ventilación debe verificar en cada turno el estado y posición de las puertas de ventilación  críticas, registrando cualquier anomalía y corrigiendo desviaciones de inmediato</t>
  </si>
  <si>
    <t>a. El supervisor de mantenimiento debe verificar mensualmente el estado de saturación de los filtros mediante el diferencial de presión, programando el recambio antes de alcanzar el límite de saturación.</t>
  </si>
  <si>
    <t>Caídas de objetos en áreas de proyectos y/o operaciones mineras, esto incluye procesos, plantas y área mina que puede resultar en lesiones graves y/o fatales a personas.
Escenarios definidos son:
•Trabajos en la vertical sobre andamios y/o estructuras en etapa de construcción y mantención.
• Procesos productivos en plantas concentradoras, incluye molinos, cajones, correas, electroimán, etc.
• Procesos productivos exterior planta. Ejemplos: aglomeradores, chancadores, alimentador, harneros, correas, etc.
• Almacenamiento en bodega.
• Procesos productivos en fundiciones: almacenamiento y transporte de concentrado, área fusión, conversión, refino y moldeo, planta de gases, planta de ácidos y planta de oxígeno.
• Proceso de Inspección y mantención a equipos donde material pueda deprenderse desde equipos de carguío y transporte.</t>
  </si>
  <si>
    <t>Actividades que se realizan en áreas de desarrollo verticales e inclinadas en las que exista el potencial de caída de personas y/o equipos mineros e industriales, que pueden resultar en lesiones graves y/o fatales hacia las personas, estos incluyen:
• Uso de escalas verticales fijas.
• Operación de piques y chimeneas
• Caídas de equipos y personas.
• Construcción, operación y mantenimiento.</t>
  </si>
  <si>
    <t>Solicitar el documento de "Identificación de Peligros y Caracterización del Riesgo para Metales/Metaloides", que liste las fuentes de emisión de arsénico soluble en el área y tareas/procesos con exposición.</t>
  </si>
  <si>
    <r>
      <t xml:space="preserve">Mantener las fuentes de emisión de arsénico soluble con controles disponibles y eficientes para evitar concentraciones ambientales peligrosas y cumplir con el LPP y disponer de controles higiénico sanitarios, administrativos y de protección personal para prevenir que cuando el trabajador entre en contacto con el agente, este no ingrese a su organismo en una cantidad tal que su índice de tolerancia biológica supere el límite respectivo (LTB).
La implementación del RF 21 aplica en los procesos de Codelco y de empresas contratistas que presenten trabajadores expuestos a arsénico según lo establece el PNS de Metales y Metaloides.
Fuentes de emisión:
</t>
    </r>
    <r>
      <rPr>
        <sz val="12"/>
        <color rgb="FF004E52"/>
        <rFont val="Calibri"/>
        <family val="2"/>
      </rPr>
      <t xml:space="preserve">• </t>
    </r>
    <r>
      <rPr>
        <sz val="12"/>
        <color rgb="FF004E52"/>
        <rFont val="Calibri"/>
        <family val="2"/>
        <scheme val="minor"/>
      </rPr>
      <t xml:space="preserve">Equipo o unidades de proceso desde donde se emite arsénico soluble como polvo ensuspensión, material húmedo (borra) o como solución arsenical (líquida) donde el trabajador puede exponerse al agente por vía inhalatoria, digestiva o dérmica. (Ejemplos de fuentes de emisión: Hornos de fundición, Precipitador Electrostático de polvos metalúrgicos, sistema de carguío y filtros de plantas de tratamiento de efluentes, barros anódicos en celdas de refinación, sistema de carguío de polvos  metalúrgicos, acopios de residuos arsenicales en botaderos de disposición final, etc.).
</t>
    </r>
    <r>
      <rPr>
        <sz val="12"/>
        <color rgb="FF004E52"/>
        <rFont val="Calibri"/>
        <family val="2"/>
      </rPr>
      <t>•</t>
    </r>
    <r>
      <rPr>
        <sz val="12"/>
        <color rgb="FF004E52"/>
        <rFont val="Calibri"/>
        <family val="2"/>
        <scheme val="minor"/>
      </rPr>
      <t>Pérdida de Control de la Exposición a Arsénico Aquella que se produce en procesos, áreas o tareas en presencia de arsénico soluble y se superan los límites permisibles ambientales y/o se mantiene contacto directo con el agente</t>
    </r>
  </si>
  <si>
    <t>Se excluyen los procesos donde el arsénico se encuentre en compuestos insolubles (ejemplo: enargita, arsenopirita), por lo tanto, no se considera el arsénico presente en los procesos de extracción (Mina Rajo o subterránea), los procesos de concentración desulfuros (Molienda, Flotación, Espesamiento, Filtrado y Relaves) y los procesos minero metalúrgicos de obtención de cobre a partir de sus compuestos oxidados (Chancados, Apilamiento y regado, Electro obtención).
También se excluye la exposición a gas arsina (AsH3), el cual es una agente de generación accidental y potencialmente fatal a bajas concentraciones que debe ser abordado en el marco del RF11: Espacios Confinados.</t>
  </si>
  <si>
    <t>b. Mediante listas de verificación, la supervisión debe asegurar el cumplimiento del programa de aseo industrial, el buen estado de los EPP y la correcta operación de los equipos de control de polvo.</t>
  </si>
  <si>
    <t>Solicitar los informes o actas de reunión (ej. DdD) donde se presentan los resultados consolidados de la vigilancia ambiental y de salud a los dueños de proceso para la toma de acciones.</t>
  </si>
  <si>
    <t>Verificar que existe un procedimiento para la comunicación formal y confidencial de los resultados de la vigilancia de la salud a cada trabajador.</t>
  </si>
  <si>
    <t>a.  Está estrictamente prohibido fumar, comer y beber en áreas con riesgo de exposición a arsénico</t>
  </si>
  <si>
    <t>b.  Todo trabajador expuesto debe sacarse la ropa contaminada y realizarse un lavado de manos y cara antes de la colación o al hidratarse. Finalizada la jornada deberá ducharse previo a dirigirse a su domicilio.</t>
  </si>
  <si>
    <t>La línea de supervisión debe verificar en terreno que todos los controles para la exposición a arsénico, tanto ingenieriles, administrativos como de protección personal, se estén aplicando correctamente por parte de los trabajadores.</t>
  </si>
  <si>
    <t>b. La supervisión debe asegurar el cumplimiento del programa de mediciones para la priorización y seguimiento de las fuentes de emisión, utilizando instrumental calibrado y personal con las competencias requeridas para realizar monitoreo en tiempo real y/o convencional ambiental.</t>
  </si>
  <si>
    <t>b. El acceso a los sectores detenidos debe estar restringido mediante barreras físicas yseñalización de advertencia, prohibiendo el ingreso hasta que una inspección geotécnica formal autorice su reingreso.</t>
  </si>
  <si>
    <t>a. El área de Geotecnia es responsable de mantener actualizado y distribuido el mapa de riesgo geotécnico con una frecuencia mínima trimestral,  o antes si las condiciones operacionales o significativamente.</t>
  </si>
  <si>
    <t>El geotécnico o geomecánico responsable debe ejecutar un registro geotécnico detallado de todos los sondajes, documentando parámetros como RQD, frecuencia de fracturas, alteración y características estructurales, según el procedimiento establecido para el sitio.</t>
  </si>
  <si>
    <t>Este riesgo considera la pérdida del control de estabilidad y soporte subterráneo en forma lenta y progresiva, generando un desprendimiento y/o colapso mayor de rocas en labores mineras, resultando en lesiones graves/fatales por atrapamiento, impacto o aplastamiento. Daños en la infraestructura y continuidad operacional.
Algunos ejemplos son: Desprendimientos o deformaciones lo suficientemente grandes como para evitar el acceso físico a una excavación subterránea o una unidad.</t>
  </si>
  <si>
    <t>Solicitar reportes de QA/QC de la semana (pull-tests, espesores de shotcrete, checklists de instalación).</t>
  </si>
  <si>
    <t>Solicitar reportes de disponibilidad del sistema y los registros de las últimas calibraciones y mantenimientos</t>
  </si>
  <si>
    <t>Solicitar el documento formal que define los umbrales de alerta (velocidad de deformación, sismicidad) y su protocolo de gestión.</t>
  </si>
  <si>
    <t>Solicitar informes diarios/semanales de análisis de datos geomecánicos con recomendaciones para la operación.</t>
  </si>
  <si>
    <t>Solicitar los reportes de extracción y verificar la adherencia al plan de producción (cartir) en tonelaje y secuencia</t>
  </si>
  <si>
    <t>Verificar registros y en entrevistas en terreno, que el personal ha recibido instrucción respecto al significado y la acción a seguir ante las alertas del sistema.</t>
  </si>
  <si>
    <t>Revisar reportes de avance diarios y verificar que no se exceda el tiempo máximo de labor sin fortificar.</t>
  </si>
  <si>
    <t>Solicitar el plan de monitoreo que define tipo, ubicación y cobertura de la instrumentación para el sector.</t>
  </si>
  <si>
    <t>Solicitar los diseños de perforación y tronadura (cartas, diagramas) y verificar que cuentan con la firma o registro de validación geomecánica antes de su uso.</t>
  </si>
  <si>
    <t>Solicitar los reportes post-tronadura que incluyan la verificación del tipo y cantidad de explosivo utilizado, el cumplimiento de la secuencia y el reporte de tiros quedados (si aplica).</t>
  </si>
  <si>
    <t>Solicitar los registros que acrediten la capacitación y licencias vigentes del personal que ejecuta y supervisa las tareas de P&amp;T.</t>
  </si>
  <si>
    <t>Solicitar el procedimiento de gestión de TQ y verificar los registros de reporte y eliminación segura de cualquier tiro quedado detectado.</t>
  </si>
  <si>
    <t>Solicitar la memoria de cálculo y el diseño de ingeniería de la estructura de contención (muro, encastillado), validado por un especialista.</t>
  </si>
  <si>
    <t>Solicitar los registros de QA/QC de la construcción de las estructuras (ej. calidad del hormigón, armado de fierro, instalación).</t>
  </si>
  <si>
    <t>Solicitar el documento que define el tipo de barrera física (dura) a utilizar para bloquear labores según el nivel de riesgo.</t>
  </si>
  <si>
    <t>Solicitar el plano oficial y actualizado de la mina que identifica todas las labores bloqueadas y las que cuentan con estructuras de contención.</t>
  </si>
  <si>
    <t>Solicitar el plano vigente que delimita las zonas de exclusión. Verificar en terreno la señalización y barreras físicas.</t>
  </si>
  <si>
    <t>Solicitar los registros de mantenimiento preventivo del equipo y el checklist de pre-uso firmado por el operador.</t>
  </si>
  <si>
    <t>Solicitar reportes de disponibilidad de la red. Verificar en sala de control la calidad de la señal de video y datos.</t>
  </si>
  <si>
    <t>Solicitar los registros de acreditación para todos los operadores de equipos remotos.</t>
  </si>
  <si>
    <t>Solicitar el procedimiento de operación remota y el protocolo de control de ingreso a la zona de exclusión.</t>
  </si>
  <si>
    <t>Solicitar registros de pruebas funcionales de los sistemas de detención de emergencia del equipo y de la sala de control.</t>
  </si>
  <si>
    <t>Solicitar el plan de emergencia para colapso estructural del macizo rocoso, verificando su actualización y que integra todas las áreas de respuesta.</t>
  </si>
  <si>
    <t>Solicitar los registros de entrenamiento de los miembros de la brigada en rescate minero.</t>
  </si>
  <si>
    <t>Solicitar los registros de inspección mensual de los equipos de rescate, refugios mineros y estaciones de emergencia.</t>
  </si>
  <si>
    <t>Solicitar registros de pruebas funcionales de los sistemas de comunicación de emergencia (radios, alarmas)</t>
  </si>
  <si>
    <t>Solicitar el informe del último simulacro, verificando tiempos de respuesta y planes de acción de las brechas.</t>
  </si>
  <si>
    <t>Verificar en registros y en terreno que el personal ha recibido instrucción en el protocolo de aviso y las rutas de evacuación.</t>
  </si>
  <si>
    <t>Deslizamiento de material a nivel de talud interrampa y global en áreas operativas de minería a cielo abierto, que puede resultar en lesiones graves y/o fatales hacia las personas.
Escenarios definidos son:
• Inestabilidad a nivel de banco, interrampa y al nivel global
• Limpieza de taludes.
• Limpieza o saneamiento de bancos.
• Movimiento de tierra (rampa, pretiles, etc.).
• Traslado de camionetas y equipos interior mina.
• Actividades de marcación y/o supervisión en terreno.
• Actividades de tronadura.
• Actividades de perforación, operación y mantención que contemplen instalaciones y/o posturas prolongadas</t>
  </si>
  <si>
    <t>Toda la información geotécnica y topográfica capturada en terreno debe ser gestionada, validada e ingresada al sistema o plataforma oficial de forma oportuna y con su respaldo correspondiente.</t>
  </si>
  <si>
    <t>a. El geotécnico responsable de la toma de datosla base de datos centralizada antes de finalizarsu turno de trabajo, para garantizar sudisponibilidad para la planificación y análisis.</t>
  </si>
  <si>
    <t>El supervisor del área es responsable de asegurar que todo equipo bajo su cargo posea un certificado de calibración vigente y que secumpla con el plan de mantenimiento preventivo</t>
  </si>
  <si>
    <t>b. Cada equipo debe portar una etiqueta o sello visible que indique la fecha de la última calibración y la fecha de vencimiento de la misma, la cual debe ser verificada por el operador antes de cada uso.</t>
  </si>
  <si>
    <t>Equipos de acuñadura - Equipos de Fortificación - Cargador LHD (Carga, acarreo y descarga) Camión de extracción mina subterránea - Roboshot (Equipo shotcrete) - Camión articulado mina subterránea - Camión de extracción mina rajo (CAEX) - Camión aljibe mina - Pala electromecánica, diésel o hidráulica - Rotopala - Equipos de perforación (sobre orugas o neumáticos) - Camión de transporte de escoria - Camión mixer (minería subterránea) - Camión fábrica (explosivos) - Camión + tractor tapa pozos - Tractor sobre neumáticos (wheeldozer) - Tractor sobre orugas (bulldozer) - Equipos de sondaje (orugas o neumáticos) - Equipos cargador frontal carguío y/o de apoyo - Equipos excavadoras - Equipos retroexcavadoras - Equipos minicargador - Equipos minicargador tapa pozos- Equipos motoniveladora - Equipos manipulador de neumáticos - Equipos manipulador telescópico- Equipo rodillo compactador-aplanador - Pavimentadora - Grúa horquilla (montacarga) - Grúa telescópica - Camión barre nieve - Camión barredor - Camión aspirador (supersucker) - Otros cuya operación requiera licencia tipo D o casos especiales que determine cada Centro de Trabajo</t>
  </si>
  <si>
    <t>c. La señalización debe estar operativa y en condiciones de ser comprendida visualmente en terreno. El cumplimiento debe ser validado durante el control diario de operaciones en terreno y registrado ante desvíos</t>
  </si>
  <si>
    <t>Todo vehículo o equipo pesado que se encuentre estacionado o fuera de servicio debe contar con dispositivos de inmovilización mecánica para prevenir desplazamientos imprevistos que puedan causar accidentes por interacción.</t>
  </si>
  <si>
    <t>c. Ningún trabajador(a) podrá abandonar o intervenir un equipo sin haber verificado previamente que se encuentra totalmente inmovilizado y con sus sistemas de seguridad (frenos y cuñas) debidamente posicionados.</t>
  </si>
  <si>
    <t>b. Se debe implementar el uso de cuñas u otros dispositivos de inmovilización técnica que sean compatibles con el tipo de equipo, el diámetro de sus neumáticos y las condiciones del terreno.</t>
  </si>
  <si>
    <t>a. La obligatoriedad del uso de luces debe estar incluida en el Reglamento de Tránsito y reforzada durante las inducciones.</t>
  </si>
  <si>
    <t>Aplica a todas las operaciones, instalaciones y recintos industriales de Codelco, donde exista interacción directa entre personas con equipos/vehículos.
Ejemplos:
• Bodegas (Operación logística y gestión de insumos y materiales)
• Plantas de Molibdeno (Operación en traslado de maxi sacos)
• Patios de manejo de cátodos o ánodos.
Otros</t>
  </si>
  <si>
    <t>a. El área de Geomecánica debe revisar y aprobar formalmente cada diseño de tronadura de hundimiento, asegurando que es coherente con las recomendaciones del plan minero y la caracterización geotécnica del sector.</t>
  </si>
  <si>
    <t>c. La información del mapa de riesgos debe ser un insumo obligatorio para el área de Planificación Mina para ajustar las secuencias de extracción y las tasas de socavación, con el objetivo  de  gestionar  propagación del caving.</t>
  </si>
  <si>
    <t>b. El acceso a los sectores detenidos debe estar restringido mediante barreras físicas y señalización de advertencia, prohibiendo el ingreso hasta que una inspección geotécnica formal autorice su reingreso.</t>
  </si>
  <si>
    <t>Todos los diseños de perforación y tronadura asociados a la iniciación y propagación del caving deben ser evaluados y validados geotécnicamente para asegurar su efectividad en el debilitamiento y fracturamiento del macizo rocoso.</t>
  </si>
  <si>
    <t>Todos los cuerpos líquidos contenidos deben contar con señalética clara, visible y estandarizada, que advierta sobre el riesgo de inmersión y comunique las medidas de control y emergencia.</t>
  </si>
  <si>
    <t>Todo trabajador que realice tareas en el perímetro de un cuerpo líquido, como una piscina, donde exista riesgo de caída y no haya barandas de protección, debe utilizar de forma obligatoria un Sistema Personal de Detención de Caídas (SPDC).</t>
  </si>
  <si>
    <t>Se debe implementar un cierre perimetral en todos los cuerpos líquidos (excepto tranques de relave y embalses) para prevenir físicamente el ingreso de personal no autorizado.</t>
  </si>
  <si>
    <t>Es de carácter obligatorio el uso de chaleco salvavidas para todo trabajador que realice tareas dentro de cuerpos líquidos como embalses y tranques de relaves, a fin de mitigar las consecuencias de una posible caída.</t>
  </si>
  <si>
    <t>Se debe garantizar que todo ingreso a áreas con riesgo de caída a cuerpos líquidos sea gestionado a través de un sistema formal de autorización, para asegurar que solo personal capacitado y con conocimiento de los riesgos realice trabajos en la zona.</t>
  </si>
  <si>
    <t>Se debe asegurar la existencia y el uso de un sistema de comunicación bidireccional, operativo y con protocolos claros, para todo el personal que realice tareas en o cerca de cuerpos líquidos.</t>
  </si>
  <si>
    <t>En recintos cerrados o cámaras con riesgo de inundación, se deben definir, señalizar y mantener despejadas las vías de evacuación para garantizar una salida segura del personal en caso de emergencia.</t>
  </si>
  <si>
    <t>Se debe contar con equipamiento de rescate, como flotadores con cuerda y botes inflables, ubicados en puntos estratégicos para dar una primera respuesta inmediata y efectiva ante la caída de una persona a un cuerpo líquido.</t>
  </si>
  <si>
    <t>ZONAS CON RIESGO DE INMERSIÓN SEÑALIZADAS EN TERRENO</t>
  </si>
  <si>
    <t>c. Antes de reiniciar las actividades, un especialista del área de geomecánica debe realizar una evaluación documentada de la estabilidad de la labor, emitiendo recomendaciones de saneamiento o refuerzo que deben ser implementadas por el personal de operaciones</t>
  </si>
  <si>
    <t>b. El plan de emergencia del área debe incluir un protocolo de actuación específico para inundaciones, detallando las alarmas, los puntos de encuentro y las responsabilidades del personal.</t>
  </si>
  <si>
    <t>a. El plan de control de acceso del recinto debe incluir un layout o plano general donde se identifiquen claramente las vías de evacuación designadas.</t>
  </si>
  <si>
    <t>c. La supervisión es responsable de asegurar que las vías de evacuación se mantengan siempre libres de obstrucciones y que todo el personal las conozca</t>
  </si>
  <si>
    <t>c. El supervisor de la tarea es responsable de asegurar  que ningún trabajador inicie actividades dentro de tranques o embalses sin portar correctamente su chaleco salvavidas certificado.</t>
  </si>
  <si>
    <t>b. El plan de mantenimiento del área debe incluir la inspección trimestral del cierre perimetral, para verificar que se encuentre en buenas  condiciones, sin deformaciones, corrosión o aberturas que permitan un ingreso no autorizado</t>
  </si>
  <si>
    <t xml:space="preserve"> La señalética, visible de día y noche, debe incluir como mínimo: el riesgo de inmersión con su ícono, la restricción de "Sólo ingreso de personal  autorizado", la ubicación del equipamiento de rescate y los números de emergencia.</t>
  </si>
  <si>
    <t>c. La persona que controla el acceso al área es responsable de garantizar que cada trabajador que ingrese cuente con un medio de comunicación operativo para ser utilizado en caso de emergencia</t>
  </si>
  <si>
    <t>a. El supervisor a cargo debe verificar que todo trabajador cuenta con una autorización de ingreso vigente, la cual valida que posee las competencias mínimas requeridas, como cursos de primeros auxilios, y del riesgo de fatalidad, instrucción en el plan de emergencia y la habilidad de nadar.</t>
  </si>
  <si>
    <t>Verificar en terreno que el equipamiento de rescate(flotadores con cuerda, pértigas, chalecos salvavidas adicionales) esté disponible en los puntos definidos, visible y en buen estado.</t>
  </si>
  <si>
    <t>Verificar que el plan de emergencia incluya el protocolo de atención de primeros auxilios para víctimas de inmersión (RCP, manejo de hipotermia) y la coordinación con el policlínico.</t>
  </si>
  <si>
    <t>Solicitar los registros de capacitación de la brigada de emergencia, los cuales deben evidenciar entrenamiento práctico en técnicas de rescate en cuerpos líquidos.</t>
  </si>
  <si>
    <t>Verificar que el layout de emergencia defina la ubicación estratégica de los kits de rescate, asegurando que sean de fácil y rápido acceso desde cualquier punto del perímetro del cuerpo líquido.</t>
  </si>
  <si>
    <t>Solicitar el plan de emergencia que incluya un protocolo de acción específico para "hombre al agua”, definiendo el flujograma de actuación, roles y responsabilidades.</t>
  </si>
  <si>
    <t>Verificar que las balsas y plataformas cuenten con señalética visible que indique su capacidad máxima de carga (personas y equipos).</t>
  </si>
  <si>
    <t>Verificar que se cuenta con un sistema de comunicación bidireccional (ej. radio portátil) operativo y con cobertura en toda el área de trabajo. Solicitar el procedimiento que exige pruebas de comunicación.</t>
  </si>
  <si>
    <t>Solicitar la memoria de cálculo y/o certificación de balsas, botes y otras estructuras flotantes, que valide su estabilidad, capacidad máxima de carga y diseño de anclaje.</t>
  </si>
  <si>
    <t>Solicitar las memorias de cálculo o especificaciones de diseño para las estructuras fijas (pasarelas, plataformas), asegurando que cumplen con estándares de barandas y cargas máximas (RF22)</t>
  </si>
  <si>
    <t>Solicitar el layout y el documento de diseño que especifica las características del cierre perimetral (altura, materialidad) y el protocolo formal de control de acceso (quién autoriza, cómo se registra).</t>
  </si>
  <si>
    <t>Verificar en terreno la instalación y visibilidad (diurna/nocturna) de la señalética de "Riesgo de Inmersión","Sólo Personal Autorizado", y la ubicación de equipos de rescate y números de emergencia.</t>
  </si>
  <si>
    <t>Solicitar los registros (libro, QR, formato digital) que evidencien el control de todos los ingresos y salidas del área, verificando que cuenten con la autorización del responsable.</t>
  </si>
  <si>
    <t>Solicitar el plan de mantenimiento de la infraestructura de segregación y los registros de inspección que demuestren su cumplimiento y el cierre de las brechas detectadas.</t>
  </si>
  <si>
    <t>Este riesgo de fatalidad considera como exclusión los siguientes escenarios:
Movimientos ferroviarios fuera de instalaciones de la empresa (áreas de terceros, vías públicas).</t>
  </si>
  <si>
    <t>Este evento considera como exclusión los siguientes escenarios:
• Liberación descontrolada de vapor a alta presión en los procesos de fundición.
• Explosiones en Planta de oxígeno.
• Exposición de gases SO3 y SO2 en Planta de ácido.
• Exposición a ácido sulfúrico.
• Procesos de almacenamiento y secado de concentrado de cobre.</t>
  </si>
  <si>
    <t>Interacción de metal fundidos en tareas realizadas en procesos de fusión, conversión, refino moldeo y transporte, donde los trabajadores estén expuestos a derrames, proyección de material fundido, temperaturas elevadas:</t>
  </si>
  <si>
    <t>Espacio confinado es cualquier espacio con aberturas limitadas de entrada y salida, no diseñados para ocupación continua por uno o más trabajadores, donde se encuentran con una ventilación natural desfavorable en el que pueden acumularse contaminantes tóxicos, inflamables, explosivos o que tengan una atmósfera deficiente o enriquecida de oxígeno.
Aplica para:
• Espacios confinados abiertos: Son aquellos que son abiertos en su parte superior y de una profundidad tal que dificulta su ventilación natural, donde se incluyen depósitos abiertos, cubas o cubetas, cubas de desengrasado, pozos abiertos, fosos, bóvedas, cámaras, alcantarillas, zanjas, etc. de más de 1,2 m de profundidad.
• Espacios confinados cerrados: Es cualquier espacio, recinto o estructura donde exista un potencial de deficiencia o enriquecimiento de oxígeno generado por partículas, ambientes con atmósferas explosivas, inflamables o tóxicas, y que además tiene la particularidad de que su ingreso se debe hacer a través de un manhole.
Según clasificación:
• Clase A: Corresponde a aquellos donde existe un inminente peligro para la vida. Generalmente riesgos atmosféricos como gases inflamables y/o tóxicos, deficiencia o enriquecimiento de oxígeno y también riesgos de atrapamiento y/o de derrumbe.
• Clase B: En esta clase, los peligros potenciales dentro del espacio confinado pueden ser de lesiones y/o enfermedades que no comprometen la vida ni la salud y pueden controlarse a través de los elementos de protección personal.
• Clase C: Esta categoría corresponde a los espacios confinados donde las situaciones de peligro no exigen modificaciones especiales a los procedimientos normales de trabajo o el uso de EPP.
Escenarios definidos: Procesos productivos en: Planta ácido, planta oxígeno, planta de gases, fundición, tostación de minerales y plantas concentradoras (incluye molinos, celdas de flotación, chutes), plantas de chancado (primario, secundario, terciario), plantas SX-EW, incluir acidificación o aglomeración y, en general, aquellos procesos donde existan instalaciones o equipos que cumplan con la definición de espacios confinados. También se consideran las excavaciones de más de 1,2 metros de profundidad.</t>
  </si>
  <si>
    <t>Documento que regula los requisitos para la obtención de licencia interna.
-Para camionetas: Licencia municipal y curso de manejo a la defensiva.
-Para vehículos de transporte de personas y de cargas:
Licencia municipal, curso de manejo a la defensiva, evaluación teorico y práctico sobre operación y conocimiento de los sistemas del vehículo en marca y modelo, realizada por organismo certificador validado por Chile Valora o fabricante/representantes de la marca.</t>
  </si>
  <si>
    <t>Registros de observaciones de conducta realizadas, análisis de brechas y planes de acción para corregir conductas riesgosas.</t>
  </si>
  <si>
    <t>Procedimiento documentado que regula la gestión y control de alcohol y drogas.</t>
  </si>
  <si>
    <t>En zonas de alto riesgo se deberá realizar una capacitación teórica y práctica para conductores (curso 4x4, alta montaña e instrucción en operación invierno) que debe contener las medidas específicas de control para la formación segura de los conductores.</t>
  </si>
  <si>
    <t>Disponer del Manual del Fabricante con las especificaciones técnicas de los vehículos.</t>
  </si>
  <si>
    <t>Registros de cumplimiento del programa de mantenimiento (software, pautas) para sistemas críticos (frenos, neumáticos, dirección, luces).</t>
  </si>
  <si>
    <t>Proceso de Acreditación de Conductores</t>
  </si>
  <si>
    <t>Programa de Salud Compatible</t>
  </si>
  <si>
    <t>Sistema de Gestión de Conductas</t>
  </si>
  <si>
    <t>Programa Alcohol y Drogas</t>
  </si>
  <si>
    <t>Conducción en zonas de alto riesgo</t>
  </si>
  <si>
    <t>Especificaciones técnicas del Vehículo</t>
  </si>
  <si>
    <t>Programa de Mantenimiento Preventivo</t>
  </si>
  <si>
    <t>Certificación de Componentes Críticos</t>
  </si>
  <si>
    <t>Gestión de Fallas Reportadas</t>
  </si>
  <si>
    <t>Control de Velocidad (GPS)</t>
  </si>
  <si>
    <t>Gestión de Fatiga (Tecnología)</t>
  </si>
  <si>
    <t>Alerta de proximidad (Tecnología)</t>
  </si>
  <si>
    <t>Protocolos por Clima Adverso</t>
  </si>
  <si>
    <t>Diseño de Vías y Rutas</t>
  </si>
  <si>
    <t>Plan de Tránsito y Rutas</t>
  </si>
  <si>
    <t>Programa de Mantenimiento de Rutas</t>
  </si>
  <si>
    <t>Integridad de Pretiles y Bermas</t>
  </si>
  <si>
    <t>Operatividad de Lechos de Frenado</t>
  </si>
  <si>
    <t>Señalización y Segregación</t>
  </si>
  <si>
    <t>Plan de Respuesta a Emergencias</t>
  </si>
  <si>
    <t>Entrenamiento de Brigadistas</t>
  </si>
  <si>
    <t>Equipamiento de Rescate y Extricación</t>
  </si>
  <si>
    <t>Atención Ambulancias</t>
  </si>
  <si>
    <t>Ejecución de Simulacros</t>
  </si>
  <si>
    <t>Verificación en terreno y registros de listas de chequeo pre-operacionales completadas por los conductores.</t>
  </si>
  <si>
    <t>Certificados de mantenimiento y operatividad de los sistemas de seguridad, emitidos por personal o taller competente.</t>
  </si>
  <si>
    <t>Verificar la existencia de un sistema de reporte y seguimiento para las fallas detectadas en las inspecciones pre-uso (órdenes de trabajo).</t>
  </si>
  <si>
    <t>Reportes de la plataforma de control de conducción que evidencien el monitoreo de excesos de velocidad y su gestión.</t>
  </si>
  <si>
    <t>Registros de operatividad y mantenimiento de los dispositivos de detección de fatiga, según matriz de recomendación del estándar técnico (SIGO-ET-010).</t>
  </si>
  <si>
    <t>Registros de operatividad y mantenimiento de los dispositivos de proximidad en vehículos, de acuerdo a lo establecido en (SIGO-ET-012).</t>
  </si>
  <si>
    <t>Existencia de normas de conducción específicas para condiciones de lluvia, nieve, neblina, etc., y evidencia de su gestión.</t>
  </si>
  <si>
    <t>Verificar en terreno que los sistemas de apoyo a la conducción (GPS, proximidad, cámaras, sensores) están instalados, visibles y operativos.</t>
  </si>
  <si>
    <t>Documento que define los criterios técnicos (referenciado al Manual de Carreteras, Manual de Diseño Geométrico de Carreteras del MOP y el “Reglamento de Seguridad Minera) para el diseño de vías, pretiles y lechos de frenado.</t>
  </si>
  <si>
    <t>Documento que regula la gestión de tránsito y rutas, actualizado y difundido. Verificar comunicación de cambios diarios (layout, señalización, otros).</t>
  </si>
  <si>
    <t>Registros de cumplimiento del programa de mantenimiento de rutas, incluyendo señalización, carpeta de rodado y drenajes.</t>
  </si>
  <si>
    <t>Informes de inspección en terreno que verifiquen que la altura y construcción de los pretiles/bermas cumple con el diseño.</t>
  </si>
  <si>
    <t>Registros de mantenimiento que aseguren las condiciones de diseño de los lechos de frenado (señalización, rugosidad de la grava, inclinación, medición de profundidad (&gt;30 cm) y limpieza de material fino u otros elementos existentes en el lecho de frenado).</t>
  </si>
  <si>
    <t>Verificación en terreno de que la señalización y segregación de vías está instalada, visible y es coherente con el plan de tránsito.</t>
  </si>
  <si>
    <t>Documento del plan de emergencias que considere específicamente accidentes vehiculares, con roles, recursos y protocolos definidos.</t>
  </si>
  <si>
    <t>Registros del programa de entrenamiento y capacitación de la brigada de rescate (formación inicial, refuerzo, horas prácticas).</t>
  </si>
  <si>
    <t>Registros de cumplimiento del programa de mantenimiento e inspección del equipamiento de rescate (ej. herramientas de extricación, vehículos).</t>
  </si>
  <si>
    <t>Verificar que las ambulancias cumplen con el equipamiento y autorizaciones requeridas.</t>
  </si>
  <si>
    <t>Informes de simulacros de rescate vehicular realizados, que incluyan la evaluación de tiempos de respuesta, coordinación y cierre de brechas.</t>
  </si>
  <si>
    <t>Solicitar y verificar en terreno que todo el personal que manipula explosivos (incluyendo al conductor del vehículo del transporte de explosivos), porte su licencia de "Manipulador de Explosivos" vigente, emitida por la autoridad fiscalizadora.</t>
  </si>
  <si>
    <t>Solicitar la licencia vigente del "Programador Calculista" responsable del diseño de la tronadura, emitida por la autoridad competente (SERNAGEOMIN)</t>
  </si>
  <si>
    <t>Solicitar el programa de formación que define las competencias para cada rol: Operador, Mantenedor y supervisor.</t>
  </si>
  <si>
    <t>Para tecnologías específicas (ej. tronadura electrónica), solicitar los certificados de aprobación de capacitación emitidos por el fabricante del sistema al personal que lo opera.</t>
  </si>
  <si>
    <t>Verificar los registros de entrenamiento práctico en terreno, guiado por un instructor, para todo el personal que se inicia en funciones de manejo de explosivos.</t>
  </si>
  <si>
    <t>Solicitar el diseño de tronadura y verificar que sus parámetros (diseño conceptual, malla) se basan en información geológica, geotécnica y operacional actualizada.</t>
  </si>
  <si>
    <t>Verificar que el plan de tronadura esté documentado y aprobado. Debe establecer: malla de perforación, tipo de explosivo, secuencia de carga (fondo/columna), longitud del taco y secuencia de salida.</t>
  </si>
  <si>
    <t>Solicitar los registros del aseguramiento de calidad (QA/QC) de la perforación, que validen la posición,nprofundidad y diámetro de los pozos, asegurando su conformidad con el diseño.</t>
  </si>
  <si>
    <t>Garantizar que cada tronadura seejecutesiguiendoestrictamente los parámetros definidos en un diseño de ingeniería (conceptual, modelo de bloques), el cual debe estar basado en información geológica, geotécnica y operacional actualizada, y cuyo cumplimiento en terreno sea verificado mediante un riguroso proceso de aseguramiento
de calidad (QA/QC).</t>
  </si>
  <si>
    <t>Garantizar que cada tronadura se planifique mediante un diseño técnico basado en información geológica, geotécnica y operacional actualizada, que se ajuste a las condiciones reales del terreno del día, y se ejecute siguiendo estrictamente los parámetros de diseño aprobados: carga, amarre y secuencia para ejecutar una
fragmentación controlada y segura.</t>
  </si>
  <si>
    <t>Garantizar que todo vehículo utilizado para transportar o fabricar explosivos cumpla permanentemente con las acreditaciones legales, las especificaciones del fabricante (calibración, sistema mata chispas) y los planes de mantenimiento, para prevenir fallas que puedan causar una iniciación accidental.</t>
  </si>
  <si>
    <t>Garantizar una respuesta de emergencia inmediata, coordinada y eficaz ante un evento no deseado de tronadura (explosión no controlada, atropello, flyrock), asegurando la activación de planes, la disponibilidad de brigadas entrenadas y equipamiento especializado para rescatar, estabilizar y atender a los lesionados.</t>
  </si>
  <si>
    <t>Prevenir la exposición a sustancias químicas peligrosas, asegurando que toda tarea de manipulación se realice por personal autorizado y con las competencias necesarias, siguiendo un procedimiento específico, coordinaciones internas y utilizando las herramientas y EPP correctos definidos en la Hoja de Datos de Seguridad (HDS) o en estándares internos.</t>
  </si>
  <si>
    <t>Mantener un control permanente de las variables operacionales, sensores de fuga, sistemas de detección de incendios  y garantizar que, antes de intervenir un sistema con sustancias químicas peligrosas, se aísle la línea, se bloquee la energía, se drene el producto y se segregue el área para prevenir cualquier contacto o liberación inesperada.</t>
  </si>
  <si>
    <t>Prevenir la liberación (o descontrol) de sustancias químicas peligrosas, asegurando que toda infraestructura de almacenamiento (estanques, bodegas), líneas de transporte y puntos de muestreo / dosificación cumplan con un diseño técnico que contemple la contención/monitoreo preventivo de derrames/fugas, la ventilación de gases, probables generaciones de incendios, señalización de todos los elementos y la segregación según compatibilidad química.</t>
  </si>
  <si>
    <t>Las mangueras hidráulicas que transportan fluidos inflamables a alta temperatura deben estar protegidas contra el daño mecánico y el contacto con superficies calientes</t>
  </si>
  <si>
    <t>Queda estrictamente prohibido fumar en todas las áreas operativas, excepto en aquellas zonas explícitamente designadas, habilitadas para fumadores</t>
  </si>
  <si>
    <t>Todas las instalaciones, plantas y edificios deben contar con vías de evacuación y salidas de emergencia claramente identificadas,señalizadas y permanentemente despejadas.</t>
  </si>
  <si>
    <t>Solicitar registros de la capacitación. Estos cursos deben ser:
Curso del riesgo de fatalidad y Curso para ejecutor de trabajo en caliente y vigía</t>
  </si>
  <si>
    <t>Solicitar la matriz de incompatibilidad y verificar en terreno que los productos químicos están segregados según corresponda</t>
  </si>
  <si>
    <t>Solicitar el inventario de la bodega y verificar que no se exceden las cantidades máximas de almacenamiento permitidas.</t>
  </si>
  <si>
    <t>Verificar que el personal conoce las HDS de todos los productos almacenados están disponibles, actualizadas y son conocidas por el personal.</t>
  </si>
  <si>
    <t>Solicitar los procedimientos para el trasvasije seguro y para la respuesta a derrames. Verificar que los kits de derrame están completos.</t>
  </si>
  <si>
    <t>Hojas de Datos de Seguridad (HDS) Disponibles.</t>
  </si>
  <si>
    <t>Mapa de RiesgoGeotécnico Actualizado y Difundido</t>
  </si>
  <si>
    <t>b. Antes de reprogramar trabajos en el sector, un inspección en terreno, evaluar la estabilidad actual del macizo rocoso y emitir un informe con las recomendaciones de saneamiento,fortificación o monitoreo requeridas.</t>
  </si>
  <si>
    <t>Este evento considera como exclusión los siguientes escenarios.
• Deslizamiento de rocas en pilas.
• Excavaciones para construcción (proyectos).
• Tronaduras de producción y cierre. (Fly rock)
• Tronadura secundaria.(Fly rock)
• Tronaduras civiles (Fly rock) (proyectos)
• Inestabilidades a nivel de banco, inter-rampa y talud global.
• Caída de rocas desde CAEX durante el transporte de material.</t>
  </si>
  <si>
    <t>Caída de rocas individual o masiva en áreas operativas de minería a cielo abierto, que puede resultar en lesiones graves y/o fatales por aplastamiento o impacto a las personas.
Escenarios definidos son:
• Carguío de mineral en la frente.
• Descarga de mineral en stock.
• Carguío de estéril.
• Descarga de estéril en botaderos.
• Limpieza de taludes.
• Limpieza o saneamiento de bancos.</t>
  </si>
  <si>
    <t>ATROPELLO</t>
  </si>
  <si>
    <t>CAVING</t>
  </si>
  <si>
    <t>CAIDA A CUERPOS LIQUIDOS</t>
  </si>
  <si>
    <t>TIRO Y ARRASTRE</t>
  </si>
  <si>
    <t>MATERIAL HUMEDO</t>
  </si>
  <si>
    <t>ESTALLIDO DE ROCA</t>
  </si>
  <si>
    <t>COLAPSO ESTRUCTURAL DE PASILLOS, PISOS Y BARANDAS</t>
  </si>
  <si>
    <t>AVALANCHA Y ALUDES</t>
  </si>
  <si>
    <t>VACIADOS, CHIMENEAS Y PIQUES</t>
  </si>
  <si>
    <t>PLANCHONEO</t>
  </si>
  <si>
    <t>SÍLICE</t>
  </si>
  <si>
    <t>ARSÉNICO</t>
  </si>
  <si>
    <t>COLAPSO ESTRUCTURAL DEL MACIZO ROCOSO</t>
  </si>
  <si>
    <t>TALUDES</t>
  </si>
  <si>
    <t>EQUIPOS MINEROS E INDUSTRIALES</t>
  </si>
  <si>
    <t>EQUIPOS AUTÓNOMOS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</si>
</sst>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2"/>
      <color theme="1"/>
      <name val="Calibri"/>
      <family val="2"/>
      <scheme val="minor"/>
    </font>
    <font>
      <sz val="10"/>
      <color theme="1"/>
      <name val="Calibri"/>
      <family val="2"/>
      <scheme val="minor"/>
    </font>
    <font>
      <b/>
      <sz val="10"/>
      <color rgb="FF000000"/>
      <name val="Calibri"/>
      <family val="2"/>
      <scheme val="minor"/>
    </font>
    <font>
      <b/>
      <sz val="10"/>
      <color theme="0"/>
      <name val="Calibri"/>
      <family val="2"/>
      <scheme val="minor"/>
    </font>
    <font>
      <sz val="11"/>
      <color theme="1"/>
      <name val="Calibri"/>
      <family val="2"/>
      <scheme val="minor"/>
    </font>
    <font>
      <b/>
      <sz val="11"/>
      <color theme="0"/>
      <name val="Calibri"/>
      <family val="2"/>
      <scheme val="minor"/>
    </font>
    <font>
      <b/>
      <sz val="14"/>
      <color theme="0"/>
      <name val="Calibri"/>
      <family val="2"/>
      <scheme val="minor"/>
    </font>
    <font>
      <b/>
      <sz val="12"/>
      <color theme="0"/>
      <name val="Calibri"/>
      <family val="2"/>
      <scheme val="minor"/>
    </font>
    <font>
      <b/>
      <sz val="24"/>
      <color theme="0"/>
      <name val="Calibri"/>
      <family val="2"/>
      <scheme val="minor"/>
    </font>
    <font>
      <sz val="8"/>
      <name val="Calibri"/>
      <family val="2"/>
      <scheme val="minor"/>
    </font>
    <font>
      <b/>
      <sz val="26"/>
      <color theme="0"/>
      <name val="Calibri"/>
      <family val="2"/>
      <scheme val="minor"/>
    </font>
    <font>
      <b/>
      <sz val="22"/>
      <color theme="0"/>
      <name val="Calibri"/>
      <family val="2"/>
      <scheme val="minor"/>
    </font>
    <font>
      <sz val="10"/>
      <color rgb="FF006100"/>
      <name val="Calibri"/>
      <family val="2"/>
      <scheme val="minor"/>
    </font>
    <font>
      <sz val="10"/>
      <color rgb="FF000000"/>
      <name val="Calibri"/>
      <family val="2"/>
      <scheme val="minor"/>
    </font>
    <font>
      <b/>
      <sz val="16"/>
      <color theme="0"/>
      <name val="Calibri"/>
      <family val="2"/>
      <scheme val="minor"/>
    </font>
    <font>
      <b/>
      <sz val="14"/>
      <color rgb="FFFFFFFF"/>
      <name val="Calibri"/>
      <family val="2"/>
      <scheme val="minor"/>
    </font>
    <font>
      <sz val="11"/>
      <color theme="1" tint="4.9989318521683403E-2"/>
      <name val="Calibri"/>
      <family val="2"/>
      <scheme val="minor"/>
    </font>
    <font>
      <b/>
      <sz val="12"/>
      <color theme="2" tint="-0.749992370372631"/>
      <name val="Calibri"/>
      <family val="2"/>
      <scheme val="minor"/>
    </font>
    <font>
      <u/>
      <sz val="11"/>
      <color theme="10"/>
      <name val="Calibri"/>
      <family val="2"/>
      <scheme val="minor"/>
    </font>
    <font>
      <b/>
      <u/>
      <sz val="12"/>
      <color theme="10"/>
      <name val="Calibri"/>
      <family val="2"/>
      <scheme val="minor"/>
    </font>
    <font>
      <b/>
      <sz val="12"/>
      <color theme="1" tint="0.14999847407452621"/>
      <name val="Calibri"/>
      <family val="2"/>
      <scheme val="minor"/>
    </font>
    <font>
      <b/>
      <sz val="24"/>
      <color theme="1" tint="0.14999847407452621"/>
      <name val="Calibri"/>
      <family val="2"/>
      <scheme val="minor"/>
    </font>
    <font>
      <sz val="12"/>
      <color rgb="FF004E52"/>
      <name val="Calibri"/>
      <family val="2"/>
      <scheme val="minor"/>
    </font>
    <font>
      <sz val="12"/>
      <color rgb="FF004E52"/>
      <name val="Calibri"/>
      <family val="2"/>
    </font>
    <font>
      <b/>
      <sz val="16"/>
      <color theme="0"/>
      <name val="Calibri"/>
      <family val="2"/>
    </font>
    <font>
      <sz val="10.45"/>
      <color rgb="FF004E52"/>
      <name val="Calibri"/>
      <family val="2"/>
    </font>
  </fonts>
  <fills count="23">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bgColor indexed="64"/>
      </patternFill>
    </fill>
    <fill>
      <patternFill patternType="solid">
        <fgColor rgb="FF009EB0"/>
        <bgColor rgb="FF000000"/>
      </patternFill>
    </fill>
    <fill>
      <patternFill patternType="solid">
        <fgColor rgb="FF004E52"/>
        <bgColor indexed="64"/>
      </patternFill>
    </fill>
    <fill>
      <patternFill patternType="solid">
        <fgColor rgb="FF0098AA"/>
        <bgColor indexed="64"/>
      </patternFill>
    </fill>
    <fill>
      <patternFill patternType="solid">
        <fgColor rgb="FF0098AA"/>
        <bgColor rgb="FF000000"/>
      </patternFill>
    </fill>
    <fill>
      <patternFill patternType="solid">
        <fgColor rgb="FFC6EFCE"/>
        <bgColor rgb="FF000000"/>
      </patternFill>
    </fill>
    <fill>
      <patternFill patternType="solid">
        <fgColor rgb="FFDDEBF7"/>
        <bgColor rgb="FF000000"/>
      </patternFill>
    </fill>
    <fill>
      <patternFill patternType="solid">
        <fgColor theme="4" tint="0.59999389629810485"/>
        <bgColor rgb="FF000000"/>
      </patternFill>
    </fill>
    <fill>
      <patternFill patternType="solid">
        <fgColor theme="0" tint="-0.14999847407452621"/>
        <bgColor indexed="64"/>
      </patternFill>
    </fill>
    <fill>
      <patternFill patternType="solid">
        <fgColor theme="4" tint="0.79998168889431442"/>
        <bgColor indexed="64"/>
      </patternFill>
    </fill>
    <fill>
      <patternFill patternType="solid">
        <fgColor rgb="FFDCE9F5"/>
        <bgColor indexed="64"/>
      </patternFill>
    </fill>
    <fill>
      <patternFill patternType="solid">
        <fgColor rgb="FF009EB0"/>
        <bgColor indexed="64"/>
      </patternFill>
    </fill>
    <fill>
      <patternFill patternType="solid">
        <fgColor theme="4"/>
        <bgColor indexed="64"/>
      </patternFill>
    </fill>
    <fill>
      <patternFill patternType="solid">
        <fgColor theme="4" tint="-0.499984740745262"/>
        <bgColor indexed="64"/>
      </patternFill>
    </fill>
    <fill>
      <patternFill patternType="solid">
        <fgColor theme="9"/>
        <bgColor indexed="64"/>
      </patternFill>
    </fill>
    <fill>
      <patternFill patternType="solid">
        <fgColor rgb="FFB4C6E7"/>
        <bgColor rgb="FF000000"/>
      </patternFill>
    </fill>
    <fill>
      <patternFill patternType="solid">
        <fgColor rgb="FFDCE9F6"/>
        <bgColor indexed="64"/>
      </patternFill>
    </fill>
  </fills>
  <borders count="47">
    <border>
      <left/>
      <right/>
      <top/>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bottom style="thin">
        <color theme="0"/>
      </bottom>
      <diagonal/>
    </border>
    <border>
      <left/>
      <right/>
      <top style="thin">
        <color theme="0"/>
      </top>
      <bottom style="thin">
        <color theme="0"/>
      </bottom>
      <diagonal/>
    </border>
    <border>
      <left style="thin">
        <color rgb="FF009EB0"/>
      </left>
      <right style="thin">
        <color rgb="FF009EB0"/>
      </right>
      <top style="thin">
        <color rgb="FF009EB0"/>
      </top>
      <bottom style="thin">
        <color rgb="FF009EB0"/>
      </bottom>
      <diagonal/>
    </border>
    <border>
      <left/>
      <right/>
      <top style="thin">
        <color theme="0"/>
      </top>
      <bottom/>
      <diagonal/>
    </border>
    <border>
      <left/>
      <right/>
      <top/>
      <bottom style="thin">
        <color rgb="FF0098AA"/>
      </bottom>
      <diagonal/>
    </border>
    <border>
      <left style="thin">
        <color rgb="FF0098AA"/>
      </left>
      <right/>
      <top style="thin">
        <color rgb="FF0098AA"/>
      </top>
      <bottom style="thin">
        <color rgb="FF0098AA"/>
      </bottom>
      <diagonal/>
    </border>
    <border>
      <left/>
      <right/>
      <top style="thin">
        <color rgb="FF0098AA"/>
      </top>
      <bottom style="thin">
        <color rgb="FF0098AA"/>
      </bottom>
      <diagonal/>
    </border>
    <border>
      <left/>
      <right style="thin">
        <color rgb="FF0098AA"/>
      </right>
      <top style="thin">
        <color rgb="FF0098AA"/>
      </top>
      <bottom style="thin">
        <color rgb="FF0098AA"/>
      </bottom>
      <diagonal/>
    </border>
    <border>
      <left/>
      <right/>
      <top style="thin">
        <color rgb="FF0098AA"/>
      </top>
      <bottom/>
      <diagonal/>
    </border>
    <border>
      <left/>
      <right style="thin">
        <color rgb="FF0098AA"/>
      </right>
      <top style="thin">
        <color rgb="FF0098AA"/>
      </top>
      <bottom/>
      <diagonal/>
    </border>
    <border>
      <left/>
      <right style="thin">
        <color rgb="FF0098AA"/>
      </right>
      <top/>
      <bottom style="thin">
        <color rgb="FF0098AA"/>
      </bottom>
      <diagonal/>
    </border>
    <border>
      <left/>
      <right style="thin">
        <color rgb="FF0098AA"/>
      </right>
      <top/>
      <bottom/>
      <diagonal/>
    </border>
    <border>
      <left style="thin">
        <color theme="0"/>
      </left>
      <right/>
      <top/>
      <bottom style="thin">
        <color theme="0"/>
      </bottom>
      <diagonal/>
    </border>
    <border>
      <left style="thin">
        <color rgb="FFFFFFFF"/>
      </left>
      <right style="thin">
        <color rgb="FFFFFFFF"/>
      </right>
      <top style="thin">
        <color rgb="FFFFFFFF"/>
      </top>
      <bottom style="thin">
        <color rgb="FFFFFFFF"/>
      </bottom>
      <diagonal/>
    </border>
    <border>
      <left style="thin">
        <color rgb="FF009EB0"/>
      </left>
      <right style="thin">
        <color rgb="FF009EB0"/>
      </right>
      <top style="thin">
        <color rgb="FF009EB0"/>
      </top>
      <bottom style="thin">
        <color theme="0"/>
      </bottom>
      <diagonal/>
    </border>
    <border>
      <left style="thin">
        <color rgb="FF009EB0"/>
      </left>
      <right style="thin">
        <color rgb="FF009EB0"/>
      </right>
      <top/>
      <bottom style="thin">
        <color rgb="FF009EB0"/>
      </bottom>
      <diagonal/>
    </border>
    <border>
      <left style="thin">
        <color rgb="FF009EB0"/>
      </left>
      <right/>
      <top style="thin">
        <color rgb="FF009EB0"/>
      </top>
      <bottom/>
      <diagonal/>
    </border>
    <border>
      <left/>
      <right/>
      <top style="thin">
        <color rgb="FF009EB0"/>
      </top>
      <bottom/>
      <diagonal/>
    </border>
    <border>
      <left/>
      <right style="thin">
        <color rgb="FF009EB0"/>
      </right>
      <top style="thin">
        <color rgb="FF009EB0"/>
      </top>
      <bottom/>
      <diagonal/>
    </border>
    <border>
      <left style="thin">
        <color theme="0"/>
      </left>
      <right style="thin">
        <color theme="0"/>
      </right>
      <top/>
      <bottom style="thin">
        <color theme="0"/>
      </bottom>
      <diagonal/>
    </border>
    <border>
      <left/>
      <right style="thin">
        <color theme="0"/>
      </right>
      <top style="thin">
        <color rgb="FF0098AA"/>
      </top>
      <bottom style="thin">
        <color theme="0"/>
      </bottom>
      <diagonal/>
    </border>
    <border>
      <left/>
      <right/>
      <top style="thin">
        <color rgb="FF0098AA"/>
      </top>
      <bottom style="thin">
        <color theme="0"/>
      </bottom>
      <diagonal/>
    </border>
    <border>
      <left style="thin">
        <color theme="0"/>
      </left>
      <right/>
      <top style="thin">
        <color rgb="FF0098AA"/>
      </top>
      <bottom style="thin">
        <color theme="0"/>
      </bottom>
      <diagonal/>
    </border>
    <border>
      <left/>
      <right/>
      <top style="thin">
        <color theme="0"/>
      </top>
      <bottom style="thin">
        <color rgb="FF0098AA"/>
      </bottom>
      <diagonal/>
    </border>
    <border>
      <left/>
      <right style="thin">
        <color rgb="FF0098AA"/>
      </right>
      <top/>
      <bottom style="thin">
        <color rgb="FF004E52"/>
      </bottom>
      <diagonal/>
    </border>
    <border>
      <left style="thin">
        <color rgb="FF0098AA"/>
      </left>
      <right style="thin">
        <color rgb="FF0098AA"/>
      </right>
      <top style="thin">
        <color rgb="FF0098AA"/>
      </top>
      <bottom style="thin">
        <color rgb="FF004E52"/>
      </bottom>
      <diagonal/>
    </border>
    <border>
      <left style="thin">
        <color rgb="FF004E52"/>
      </left>
      <right/>
      <top/>
      <bottom/>
      <diagonal/>
    </border>
    <border>
      <left/>
      <right/>
      <top style="thin">
        <color rgb="FFFFC000"/>
      </top>
      <bottom/>
      <diagonal/>
    </border>
    <border>
      <left style="thin">
        <color rgb="FF0098AA"/>
      </left>
      <right style="thin">
        <color rgb="FFFFC000"/>
      </right>
      <top style="thin">
        <color theme="0"/>
      </top>
      <bottom style="thin">
        <color rgb="FFFFC000"/>
      </bottom>
      <diagonal/>
    </border>
    <border>
      <left style="thin">
        <color rgb="FF004E52"/>
      </left>
      <right style="thin">
        <color rgb="FF004E52"/>
      </right>
      <top style="thin">
        <color rgb="FF004E52"/>
      </top>
      <bottom/>
      <diagonal/>
    </border>
    <border>
      <left/>
      <right style="thin">
        <color rgb="FF0098AA"/>
      </right>
      <top style="thin">
        <color theme="0"/>
      </top>
      <bottom style="thin">
        <color rgb="FF0098AA"/>
      </bottom>
      <diagonal/>
    </border>
    <border>
      <left style="thin">
        <color theme="0"/>
      </left>
      <right/>
      <top/>
      <bottom/>
      <diagonal/>
    </border>
    <border>
      <left/>
      <right style="thin">
        <color rgb="FFFFFFFF"/>
      </right>
      <top style="thin">
        <color theme="0"/>
      </top>
      <bottom style="thin">
        <color theme="0"/>
      </bottom>
      <diagonal/>
    </border>
    <border>
      <left/>
      <right style="thin">
        <color theme="0"/>
      </right>
      <top/>
      <bottom/>
      <diagonal/>
    </border>
    <border>
      <left style="thin">
        <color theme="0"/>
      </left>
      <right style="thin">
        <color rgb="FFFFFFFF"/>
      </right>
      <top style="thin">
        <color theme="0"/>
      </top>
      <bottom/>
      <diagonal/>
    </border>
    <border>
      <left/>
      <right style="thin">
        <color rgb="FFFFFFFF"/>
      </right>
      <top style="thin">
        <color theme="0"/>
      </top>
      <bottom/>
      <diagonal/>
    </border>
    <border>
      <left style="thin">
        <color rgb="FFFFFFFF"/>
      </left>
      <right style="thin">
        <color rgb="FFFFFFFF"/>
      </right>
      <top style="thin">
        <color rgb="FFFFFFFF"/>
      </top>
      <bottom/>
      <diagonal/>
    </border>
    <border>
      <left/>
      <right style="thin">
        <color rgb="FFFFFFFF"/>
      </right>
      <top style="thin">
        <color rgb="FFFFFFFF"/>
      </top>
      <bottom style="thin">
        <color rgb="FFFFFFFF"/>
      </bottom>
      <diagonal/>
    </border>
  </borders>
  <cellStyleXfs count="4">
    <xf numFmtId="0" fontId="0" fillId="0" borderId="0"/>
    <xf numFmtId="9" fontId="5" fillId="0" borderId="0" applyFont="0" applyFill="0" applyBorder="0" applyAlignment="0" applyProtection="0"/>
    <xf numFmtId="0" fontId="5" fillId="0" borderId="0"/>
    <xf numFmtId="0" fontId="19" fillId="0" borderId="0" applyNumberFormat="0" applyFill="0" applyBorder="0" applyAlignment="0" applyProtection="0"/>
  </cellStyleXfs>
  <cellXfs count="202">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9" fontId="2" fillId="0" borderId="0" xfId="1" applyFont="1" applyAlignment="1">
      <alignment horizontal="center" vertical="center" wrapText="1"/>
    </xf>
    <xf numFmtId="0" fontId="4" fillId="0" borderId="0" xfId="0" applyFont="1" applyAlignment="1">
      <alignment vertical="top"/>
    </xf>
    <xf numFmtId="0" fontId="3" fillId="0" borderId="0" xfId="0" applyFont="1" applyAlignment="1">
      <alignment vertical="center"/>
    </xf>
    <xf numFmtId="0" fontId="0" fillId="2" borderId="0" xfId="0" applyFill="1"/>
    <xf numFmtId="3" fontId="0" fillId="2" borderId="0" xfId="0" applyNumberFormat="1" applyFill="1"/>
    <xf numFmtId="0" fontId="2" fillId="3" borderId="1" xfId="0" applyFont="1" applyFill="1" applyBorder="1" applyAlignment="1">
      <alignment vertical="center" wrapText="1"/>
    </xf>
    <xf numFmtId="0" fontId="8" fillId="9" borderId="1" xfId="0" applyFont="1" applyFill="1" applyBorder="1" applyAlignment="1">
      <alignment horizontal="center" vertical="center" wrapText="1"/>
    </xf>
    <xf numFmtId="0" fontId="2" fillId="2" borderId="0" xfId="0" applyFont="1" applyFill="1" applyAlignment="1">
      <alignment vertical="center" wrapText="1"/>
    </xf>
    <xf numFmtId="0" fontId="9" fillId="2" borderId="2" xfId="0" applyFont="1" applyFill="1" applyBorder="1" applyAlignment="1">
      <alignment vertical="center" wrapText="1"/>
    </xf>
    <xf numFmtId="0" fontId="8" fillId="2" borderId="12" xfId="0" applyFont="1" applyFill="1" applyBorder="1" applyAlignment="1">
      <alignment vertical="center" wrapText="1"/>
    </xf>
    <xf numFmtId="0" fontId="8" fillId="2" borderId="6" xfId="0" applyFont="1" applyFill="1" applyBorder="1" applyAlignment="1">
      <alignment vertical="center" wrapText="1"/>
    </xf>
    <xf numFmtId="0" fontId="0" fillId="9" borderId="4" xfId="0" applyFill="1" applyBorder="1"/>
    <xf numFmtId="0" fontId="0" fillId="2" borderId="0" xfId="0" applyFill="1" applyAlignment="1">
      <alignment vertical="center"/>
    </xf>
    <xf numFmtId="0" fontId="8" fillId="2" borderId="0" xfId="0" applyFont="1" applyFill="1" applyAlignment="1">
      <alignment vertical="center" wrapText="1"/>
    </xf>
    <xf numFmtId="0" fontId="7" fillId="2" borderId="0" xfId="0" applyFont="1" applyFill="1" applyAlignment="1">
      <alignment horizontal="left" vertical="center" wrapText="1"/>
    </xf>
    <xf numFmtId="0" fontId="6" fillId="2" borderId="0" xfId="0" applyFont="1" applyFill="1"/>
    <xf numFmtId="0" fontId="8" fillId="9" borderId="1" xfId="0" applyFont="1" applyFill="1" applyBorder="1" applyAlignment="1">
      <alignment vertical="center" wrapText="1"/>
    </xf>
    <xf numFmtId="0" fontId="8" fillId="8" borderId="1" xfId="0" applyFont="1" applyFill="1" applyBorder="1" applyAlignment="1">
      <alignment vertical="center" wrapText="1"/>
    </xf>
    <xf numFmtId="0" fontId="4" fillId="9" borderId="0" xfId="0" applyFont="1" applyFill="1" applyAlignment="1">
      <alignment horizontal="center" vertical="center"/>
    </xf>
    <xf numFmtId="0" fontId="6" fillId="9" borderId="1" xfId="0" applyFont="1" applyFill="1" applyBorder="1" applyAlignment="1">
      <alignment horizontal="center" vertical="center"/>
    </xf>
    <xf numFmtId="0" fontId="0" fillId="2" borderId="0" xfId="0" applyFill="1" applyAlignment="1">
      <alignment horizontal="center" vertical="center"/>
    </xf>
    <xf numFmtId="0" fontId="0" fillId="9" borderId="14" xfId="0" applyFill="1" applyBorder="1"/>
    <xf numFmtId="9" fontId="13" fillId="11" borderId="22" xfId="0" applyNumberFormat="1" applyFont="1" applyFill="1" applyBorder="1" applyAlignment="1">
      <alignment horizontal="center" vertical="center" wrapText="1"/>
    </xf>
    <xf numFmtId="0" fontId="14" fillId="12" borderId="22" xfId="0" applyFont="1" applyFill="1" applyBorder="1" applyAlignment="1">
      <alignment vertical="center" wrapText="1"/>
    </xf>
    <xf numFmtId="14" fontId="2" fillId="0" borderId="0" xfId="0" applyNumberFormat="1" applyFont="1" applyAlignment="1">
      <alignment vertical="center" wrapText="1"/>
    </xf>
    <xf numFmtId="14" fontId="2" fillId="2" borderId="0" xfId="0" applyNumberFormat="1" applyFont="1" applyFill="1" applyAlignment="1">
      <alignment vertical="center" wrapText="1"/>
    </xf>
    <xf numFmtId="14" fontId="2" fillId="0" borderId="0" xfId="0" applyNumberFormat="1" applyFont="1" applyAlignment="1">
      <alignment horizontal="center" vertical="center" wrapText="1"/>
    </xf>
    <xf numFmtId="14" fontId="14" fillId="12" borderId="22" xfId="0" applyNumberFormat="1" applyFont="1" applyFill="1" applyBorder="1" applyAlignment="1">
      <alignment vertical="center" wrapText="1"/>
    </xf>
    <xf numFmtId="0" fontId="8" fillId="9" borderId="1" xfId="0" applyFont="1" applyFill="1" applyBorder="1" applyAlignment="1">
      <alignment horizontal="justify" vertical="center" wrapText="1"/>
    </xf>
    <xf numFmtId="0" fontId="8" fillId="8" borderId="1" xfId="0" applyFont="1" applyFill="1" applyBorder="1" applyAlignment="1">
      <alignment horizontal="justify" vertical="center" wrapText="1"/>
    </xf>
    <xf numFmtId="0" fontId="2" fillId="5" borderId="1" xfId="0" applyFont="1" applyFill="1" applyBorder="1" applyAlignment="1">
      <alignment vertical="center" wrapText="1"/>
    </xf>
    <xf numFmtId="14" fontId="14" fillId="13" borderId="22" xfId="0" applyNumberFormat="1" applyFont="1" applyFill="1" applyBorder="1" applyAlignment="1">
      <alignment vertical="center" wrapText="1"/>
    </xf>
    <xf numFmtId="0" fontId="14" fillId="13" borderId="22" xfId="0" applyFont="1" applyFill="1" applyBorder="1" applyAlignment="1">
      <alignment vertical="center" wrapText="1"/>
    </xf>
    <xf numFmtId="0" fontId="16" fillId="7" borderId="24" xfId="0" applyFont="1" applyFill="1" applyBorder="1" applyAlignment="1">
      <alignment horizontal="left" vertical="center"/>
    </xf>
    <xf numFmtId="0" fontId="16" fillId="7" borderId="23" xfId="0" applyFont="1" applyFill="1" applyBorder="1" applyAlignment="1">
      <alignment horizontal="left" vertical="center"/>
    </xf>
    <xf numFmtId="0" fontId="8" fillId="8" borderId="1" xfId="0" applyFont="1" applyFill="1" applyBorder="1" applyAlignment="1">
      <alignment horizontal="center" vertical="center" wrapText="1"/>
    </xf>
    <xf numFmtId="9" fontId="0" fillId="2" borderId="0" xfId="0" applyNumberFormat="1" applyFill="1" applyAlignment="1">
      <alignment horizontal="center"/>
    </xf>
    <xf numFmtId="0" fontId="0" fillId="2" borderId="0" xfId="0" applyFill="1" applyAlignment="1">
      <alignment horizontal="center"/>
    </xf>
    <xf numFmtId="0" fontId="17" fillId="14" borderId="0" xfId="0" applyFont="1" applyFill="1" applyAlignment="1">
      <alignment horizontal="center" vertical="center"/>
    </xf>
    <xf numFmtId="0" fontId="9" fillId="2" borderId="2" xfId="0" applyFont="1" applyFill="1" applyBorder="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center" vertical="center"/>
    </xf>
    <xf numFmtId="9" fontId="0" fillId="2" borderId="0" xfId="1" applyFont="1" applyFill="1" applyAlignment="1">
      <alignment horizontal="center"/>
    </xf>
    <xf numFmtId="0" fontId="6" fillId="9" borderId="0" xfId="0" applyFont="1" applyFill="1" applyAlignment="1">
      <alignment horizontal="center" vertical="center"/>
    </xf>
    <xf numFmtId="0" fontId="0" fillId="9" borderId="3" xfId="0" applyFill="1" applyBorder="1"/>
    <xf numFmtId="0" fontId="0" fillId="9" borderId="21" xfId="0" applyFill="1" applyBorder="1"/>
    <xf numFmtId="0" fontId="6" fillId="9" borderId="5" xfId="0" applyFont="1" applyFill="1" applyBorder="1" applyAlignment="1">
      <alignment horizontal="center" vertical="center" wrapText="1"/>
    </xf>
    <xf numFmtId="0" fontId="6" fillId="9" borderId="6" xfId="0" applyFont="1" applyFill="1" applyBorder="1" applyAlignment="1">
      <alignment horizontal="center" vertical="center" wrapText="1"/>
    </xf>
    <xf numFmtId="0" fontId="0" fillId="2" borderId="2" xfId="0" applyFill="1" applyBorder="1"/>
    <xf numFmtId="0" fontId="6" fillId="9" borderId="29" xfId="0" applyFont="1" applyFill="1" applyBorder="1" applyAlignment="1">
      <alignment horizontal="center" vertical="center" wrapText="1"/>
    </xf>
    <xf numFmtId="0" fontId="0" fillId="9" borderId="31" xfId="0" applyFill="1" applyBorder="1"/>
    <xf numFmtId="0" fontId="8" fillId="2" borderId="15" xfId="0" applyFont="1" applyFill="1" applyBorder="1" applyAlignment="1">
      <alignment vertical="center" wrapText="1"/>
    </xf>
    <xf numFmtId="0" fontId="0" fillId="2" borderId="30" xfId="0" applyFill="1" applyBorder="1"/>
    <xf numFmtId="0" fontId="0" fillId="2" borderId="35" xfId="0" applyFill="1" applyBorder="1"/>
    <xf numFmtId="0" fontId="0" fillId="2" borderId="36" xfId="0" applyFill="1" applyBorder="1"/>
    <xf numFmtId="0" fontId="1" fillId="4" borderId="1" xfId="0" applyFont="1" applyFill="1" applyBorder="1" applyAlignment="1">
      <alignment horizontal="center" vertical="center"/>
    </xf>
    <xf numFmtId="9" fontId="18" fillId="15" borderId="1" xfId="0" applyNumberFormat="1" applyFont="1" applyFill="1" applyBorder="1" applyAlignment="1">
      <alignment horizontal="center" vertical="center"/>
    </xf>
    <xf numFmtId="0" fontId="1" fillId="16" borderId="4" xfId="0" applyFont="1" applyFill="1" applyBorder="1" applyAlignment="1">
      <alignment vertical="center"/>
    </xf>
    <xf numFmtId="0" fontId="20" fillId="16" borderId="4" xfId="3" applyFont="1" applyFill="1" applyBorder="1" applyAlignment="1">
      <alignment horizontal="center" vertical="center"/>
    </xf>
    <xf numFmtId="0" fontId="8" fillId="9" borderId="34" xfId="0" applyFont="1" applyFill="1" applyBorder="1" applyAlignment="1">
      <alignment horizontal="center" vertical="center" wrapText="1"/>
    </xf>
    <xf numFmtId="0" fontId="21" fillId="16" borderId="1" xfId="0" applyFont="1" applyFill="1" applyBorder="1" applyAlignment="1">
      <alignment horizontal="center" vertical="center"/>
    </xf>
    <xf numFmtId="0" fontId="8" fillId="8" borderId="38" xfId="0" applyFont="1" applyFill="1" applyBorder="1" applyAlignment="1">
      <alignment horizontal="center" vertical="center"/>
    </xf>
    <xf numFmtId="0" fontId="21" fillId="6" borderId="37"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9" borderId="7" xfId="0" applyFont="1" applyFill="1" applyBorder="1" applyAlignment="1">
      <alignment horizontal="center" vertical="center" wrapText="1"/>
    </xf>
    <xf numFmtId="9" fontId="6" fillId="9" borderId="1" xfId="1" applyFont="1" applyFill="1" applyBorder="1" applyAlignment="1">
      <alignment horizontal="center" vertical="center" wrapText="1"/>
    </xf>
    <xf numFmtId="14" fontId="6" fillId="9" borderId="1" xfId="0" applyNumberFormat="1" applyFont="1" applyFill="1" applyBorder="1" applyAlignment="1">
      <alignment horizontal="center" vertical="center" wrapText="1"/>
    </xf>
    <xf numFmtId="0" fontId="0" fillId="0" borderId="0" xfId="0" applyAlignment="1">
      <alignment vertical="center" wrapText="1"/>
    </xf>
    <xf numFmtId="0" fontId="8" fillId="8" borderId="5" xfId="0" applyFont="1" applyFill="1" applyBorder="1" applyAlignment="1">
      <alignment vertical="center" wrapText="1"/>
    </xf>
    <xf numFmtId="0" fontId="8" fillId="9" borderId="7" xfId="0" applyFont="1" applyFill="1" applyBorder="1" applyAlignment="1">
      <alignment horizontal="center" vertical="center" wrapText="1"/>
    </xf>
    <xf numFmtId="9" fontId="18" fillId="15" borderId="1" xfId="1" applyFont="1" applyFill="1" applyBorder="1" applyAlignment="1">
      <alignment horizontal="center" vertical="center"/>
    </xf>
    <xf numFmtId="0" fontId="8" fillId="9" borderId="1" xfId="0" quotePrefix="1" applyFont="1" applyFill="1" applyBorder="1" applyAlignment="1">
      <alignment horizontal="justify" vertical="center" wrapText="1"/>
    </xf>
    <xf numFmtId="0" fontId="8" fillId="9" borderId="1" xfId="0" applyFont="1" applyFill="1" applyBorder="1" applyAlignment="1">
      <alignment horizontal="left" vertical="center" wrapText="1"/>
    </xf>
    <xf numFmtId="0" fontId="4" fillId="18" borderId="0" xfId="0" applyFont="1" applyFill="1" applyAlignment="1">
      <alignment horizontal="center" vertical="center" wrapText="1"/>
    </xf>
    <xf numFmtId="9" fontId="2" fillId="5" borderId="4"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4" fillId="18" borderId="10" xfId="0" applyFont="1" applyFill="1" applyBorder="1" applyAlignment="1">
      <alignment horizontal="center" vertical="center" wrapText="1"/>
    </xf>
    <xf numFmtId="9" fontId="2" fillId="5" borderId="1" xfId="0" applyNumberFormat="1" applyFont="1" applyFill="1" applyBorder="1" applyAlignment="1">
      <alignment horizontal="center" vertical="center" wrapText="1"/>
    </xf>
    <xf numFmtId="0" fontId="4" fillId="19" borderId="12" xfId="0" applyFont="1" applyFill="1" applyBorder="1" applyAlignment="1">
      <alignment horizontal="center" vertical="center" wrapText="1"/>
    </xf>
    <xf numFmtId="0" fontId="4" fillId="20" borderId="10"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8" fillId="9" borderId="7" xfId="0" applyFont="1" applyFill="1" applyBorder="1" applyAlignment="1">
      <alignment horizontal="left" vertical="center" wrapText="1"/>
    </xf>
    <xf numFmtId="0" fontId="2" fillId="2" borderId="0" xfId="0" applyFont="1" applyFill="1" applyAlignment="1">
      <alignment horizontal="left" vertical="center" wrapText="1"/>
    </xf>
    <xf numFmtId="9" fontId="2" fillId="2" borderId="0" xfId="1" applyFont="1" applyFill="1" applyAlignment="1">
      <alignment horizontal="center" vertical="center" wrapText="1"/>
    </xf>
    <xf numFmtId="0" fontId="4" fillId="2" borderId="0" xfId="0" applyFont="1" applyFill="1" applyAlignment="1">
      <alignment horizontal="center" vertical="center" wrapText="1"/>
    </xf>
    <xf numFmtId="9" fontId="2" fillId="2" borderId="4"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2" borderId="10" xfId="0"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0" fontId="4" fillId="2" borderId="12" xfId="0" applyFont="1" applyFill="1" applyBorder="1" applyAlignment="1">
      <alignment horizontal="center" vertical="center" wrapText="1"/>
    </xf>
    <xf numFmtId="0" fontId="0" fillId="2" borderId="0" xfId="0" applyFill="1" applyAlignment="1">
      <alignment vertical="center" wrapText="1"/>
    </xf>
    <xf numFmtId="14" fontId="2" fillId="2" borderId="0" xfId="0" applyNumberFormat="1" applyFont="1" applyFill="1" applyAlignment="1">
      <alignment horizontal="center" vertical="center" wrapText="1"/>
    </xf>
    <xf numFmtId="0" fontId="3" fillId="2" borderId="0" xfId="0" applyFont="1" applyFill="1" applyAlignment="1">
      <alignment vertical="center"/>
    </xf>
    <xf numFmtId="0" fontId="8" fillId="8" borderId="7" xfId="0" applyFont="1" applyFill="1" applyBorder="1" applyAlignment="1">
      <alignment horizontal="center" vertical="center" wrapText="1"/>
    </xf>
    <xf numFmtId="0" fontId="8" fillId="8" borderId="7" xfId="0" applyFont="1" applyFill="1" applyBorder="1" applyAlignment="1">
      <alignment horizontal="left" vertical="center" wrapText="1"/>
    </xf>
    <xf numFmtId="0" fontId="8" fillId="8" borderId="8" xfId="0" applyFont="1" applyFill="1" applyBorder="1" applyAlignment="1">
      <alignment horizontal="left" vertical="center" wrapText="1"/>
    </xf>
    <xf numFmtId="14" fontId="14" fillId="13" borderId="45" xfId="0" applyNumberFormat="1" applyFont="1" applyFill="1" applyBorder="1" applyAlignment="1">
      <alignment horizontal="center" vertical="center" wrapText="1"/>
    </xf>
    <xf numFmtId="0" fontId="14" fillId="13" borderId="45" xfId="0" applyFont="1" applyFill="1" applyBorder="1" applyAlignment="1">
      <alignment horizontal="center" vertical="center" wrapText="1"/>
    </xf>
    <xf numFmtId="0" fontId="2" fillId="5" borderId="43" xfId="0" applyFont="1" applyFill="1" applyBorder="1" applyAlignment="1">
      <alignment horizontal="center" vertical="center" wrapText="1"/>
    </xf>
    <xf numFmtId="0" fontId="8" fillId="9" borderId="30" xfId="0" applyFont="1" applyFill="1" applyBorder="1" applyAlignment="1">
      <alignment horizontal="left" vertical="center" wrapText="1"/>
    </xf>
    <xf numFmtId="0" fontId="8" fillId="9" borderId="2" xfId="0" applyFont="1" applyFill="1" applyBorder="1" applyAlignment="1">
      <alignment horizontal="center" vertical="center"/>
    </xf>
    <xf numFmtId="0" fontId="1" fillId="2" borderId="15" xfId="0" applyFont="1"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2" fillId="9" borderId="15" xfId="0" applyFont="1" applyFill="1" applyBorder="1" applyAlignment="1">
      <alignment horizontal="left" vertical="center" wrapText="1"/>
    </xf>
    <xf numFmtId="0" fontId="12" fillId="9" borderId="16" xfId="0" applyFont="1" applyFill="1" applyBorder="1" applyAlignment="1">
      <alignment horizontal="left" vertical="center" wrapText="1"/>
    </xf>
    <xf numFmtId="0" fontId="8" fillId="9" borderId="10" xfId="0" applyFont="1" applyFill="1" applyBorder="1" applyAlignment="1">
      <alignment horizontal="left" vertical="center" wrapText="1"/>
    </xf>
    <xf numFmtId="0" fontId="8" fillId="9" borderId="32" xfId="0" applyFont="1" applyFill="1" applyBorder="1" applyAlignment="1">
      <alignment horizontal="left" vertical="center" wrapText="1"/>
    </xf>
    <xf numFmtId="9" fontId="11" fillId="8" borderId="20" xfId="0" applyNumberFormat="1" applyFont="1" applyFill="1" applyBorder="1" applyAlignment="1">
      <alignment horizontal="center" vertical="center" wrapText="1"/>
    </xf>
    <xf numFmtId="9" fontId="11" fillId="8" borderId="33" xfId="0" applyNumberFormat="1" applyFont="1" applyFill="1" applyBorder="1" applyAlignment="1">
      <alignment horizontal="center" vertical="center" wrapText="1"/>
    </xf>
    <xf numFmtId="0" fontId="8" fillId="9" borderId="32" xfId="0" applyFont="1" applyFill="1" applyBorder="1" applyAlignment="1">
      <alignment horizontal="center" vertical="center"/>
    </xf>
    <xf numFmtId="0" fontId="8" fillId="9" borderId="39" xfId="0" applyFont="1" applyFill="1" applyBorder="1" applyAlignment="1">
      <alignment horizontal="center" vertical="center"/>
    </xf>
    <xf numFmtId="0" fontId="8" fillId="9" borderId="0" xfId="0" applyFont="1" applyFill="1" applyAlignment="1">
      <alignment horizontal="center" vertical="center"/>
    </xf>
    <xf numFmtId="0" fontId="8" fillId="9" borderId="12" xfId="0" applyFont="1" applyFill="1" applyBorder="1" applyAlignment="1">
      <alignment horizontal="left" vertical="center" wrapText="1"/>
    </xf>
    <xf numFmtId="0" fontId="8" fillId="9" borderId="2" xfId="0" applyFont="1" applyFill="1" applyBorder="1" applyAlignment="1">
      <alignment horizontal="left" vertical="center" wrapText="1"/>
    </xf>
    <xf numFmtId="0" fontId="6" fillId="9" borderId="6"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8" fillId="9" borderId="4" xfId="0" applyFont="1" applyFill="1" applyBorder="1" applyAlignment="1">
      <alignment horizontal="left" vertical="center" wrapText="1"/>
    </xf>
    <xf numFmtId="0" fontId="8" fillId="9" borderId="41" xfId="0" applyFont="1" applyFill="1" applyBorder="1" applyAlignment="1">
      <alignment horizontal="left" vertical="center" wrapText="1"/>
    </xf>
    <xf numFmtId="0" fontId="8" fillId="9" borderId="3" xfId="0" applyFont="1" applyFill="1" applyBorder="1" applyAlignment="1">
      <alignment horizontal="center" vertical="center" wrapText="1"/>
    </xf>
    <xf numFmtId="0" fontId="8" fillId="9" borderId="6" xfId="0" applyFont="1" applyFill="1" applyBorder="1" applyAlignment="1">
      <alignment horizontal="center" vertical="center" wrapText="1"/>
    </xf>
    <xf numFmtId="0" fontId="8" fillId="9" borderId="40" xfId="0" applyFont="1" applyFill="1" applyBorder="1" applyAlignment="1">
      <alignment horizontal="center" vertical="center" wrapText="1"/>
    </xf>
    <xf numFmtId="0" fontId="8" fillId="9" borderId="42" xfId="0" applyFont="1" applyFill="1" applyBorder="1" applyAlignment="1">
      <alignment horizontal="center" vertical="center" wrapText="1"/>
    </xf>
    <xf numFmtId="0" fontId="8" fillId="9" borderId="21"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8" fillId="8" borderId="6" xfId="0" applyFont="1" applyFill="1" applyBorder="1" applyAlignment="1">
      <alignment horizontal="center" vertical="center" wrapText="1"/>
    </xf>
    <xf numFmtId="0" fontId="8" fillId="8" borderId="40" xfId="0" applyFont="1" applyFill="1" applyBorder="1" applyAlignment="1">
      <alignment horizontal="center" vertical="center" wrapText="1"/>
    </xf>
    <xf numFmtId="0" fontId="8" fillId="8" borderId="42" xfId="0" applyFont="1" applyFill="1" applyBorder="1" applyAlignment="1">
      <alignment horizontal="center" vertical="center" wrapText="1"/>
    </xf>
    <xf numFmtId="0" fontId="8" fillId="8" borderId="21"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4" xfId="0" applyFont="1" applyFill="1" applyBorder="1" applyAlignment="1">
      <alignment horizontal="left" vertical="center" wrapText="1"/>
    </xf>
    <xf numFmtId="0" fontId="8" fillId="8" borderId="41" xfId="0" applyFont="1" applyFill="1" applyBorder="1" applyAlignment="1">
      <alignment horizontal="left" vertical="center" wrapText="1"/>
    </xf>
    <xf numFmtId="0" fontId="8" fillId="8" borderId="7" xfId="0" applyFont="1" applyFill="1" applyBorder="1" applyAlignment="1">
      <alignment horizontal="center" vertical="center" wrapText="1"/>
    </xf>
    <xf numFmtId="0" fontId="8" fillId="8" borderId="8" xfId="0" applyFont="1" applyFill="1" applyBorder="1" applyAlignment="1">
      <alignment horizontal="center" vertical="center" wrapText="1"/>
    </xf>
    <xf numFmtId="0" fontId="8" fillId="8" borderId="7" xfId="0" applyFont="1" applyFill="1" applyBorder="1" applyAlignment="1">
      <alignment horizontal="justify" vertical="center" wrapText="1"/>
    </xf>
    <xf numFmtId="0" fontId="8" fillId="8" borderId="8" xfId="0" applyFont="1" applyFill="1" applyBorder="1" applyAlignment="1">
      <alignment horizontal="justify" vertical="center" wrapText="1"/>
    </xf>
    <xf numFmtId="0" fontId="23" fillId="2" borderId="25" xfId="0" applyFont="1" applyFill="1" applyBorder="1" applyAlignment="1">
      <alignment horizontal="justify" vertical="center" wrapText="1"/>
    </xf>
    <xf numFmtId="0" fontId="23" fillId="2" borderId="26" xfId="0" applyFont="1" applyFill="1" applyBorder="1" applyAlignment="1">
      <alignment horizontal="justify" vertical="center" wrapText="1"/>
    </xf>
    <xf numFmtId="0" fontId="23" fillId="2" borderId="27" xfId="0" applyFont="1" applyFill="1" applyBorder="1" applyAlignment="1">
      <alignment horizontal="justify" vertical="center" wrapText="1"/>
    </xf>
    <xf numFmtId="0" fontId="23" fillId="2" borderId="11" xfId="0" applyFont="1" applyFill="1" applyBorder="1" applyAlignment="1">
      <alignment horizontal="left" vertical="center" wrapText="1"/>
    </xf>
    <xf numFmtId="0" fontId="8" fillId="9" borderId="7" xfId="0" applyFont="1" applyFill="1" applyBorder="1" applyAlignment="1">
      <alignment horizontal="center" vertical="center" wrapText="1"/>
    </xf>
    <xf numFmtId="0" fontId="8" fillId="9" borderId="8" xfId="0" applyFont="1" applyFill="1" applyBorder="1" applyAlignment="1">
      <alignment horizontal="center" vertical="center" wrapText="1"/>
    </xf>
    <xf numFmtId="0" fontId="8" fillId="9" borderId="7" xfId="0" applyFont="1" applyFill="1" applyBorder="1" applyAlignment="1">
      <alignment horizontal="justify" vertical="center" wrapText="1"/>
    </xf>
    <xf numFmtId="0" fontId="8" fillId="9" borderId="8" xfId="0" applyFont="1" applyFill="1" applyBorder="1" applyAlignment="1">
      <alignment horizontal="justify" vertical="center" wrapText="1"/>
    </xf>
    <xf numFmtId="0" fontId="9" fillId="9" borderId="12" xfId="0" applyFont="1" applyFill="1" applyBorder="1" applyAlignment="1">
      <alignment horizontal="center" vertical="center" wrapText="1"/>
    </xf>
    <xf numFmtId="0" fontId="9" fillId="9" borderId="6" xfId="0" applyFont="1" applyFill="1" applyBorder="1" applyAlignment="1">
      <alignment horizontal="center" vertical="center" wrapText="1"/>
    </xf>
    <xf numFmtId="0" fontId="12" fillId="10" borderId="4" xfId="0" applyFont="1" applyFill="1" applyBorder="1" applyAlignment="1">
      <alignment horizontal="left" vertical="center"/>
    </xf>
    <xf numFmtId="0" fontId="12" fillId="10" borderId="10" xfId="0" applyFont="1" applyFill="1" applyBorder="1" applyAlignment="1">
      <alignment horizontal="left" vertical="center"/>
    </xf>
    <xf numFmtId="0" fontId="12" fillId="10" borderId="5" xfId="0" applyFont="1" applyFill="1" applyBorder="1" applyAlignment="1">
      <alignment horizontal="left" vertical="center"/>
    </xf>
    <xf numFmtId="0" fontId="15" fillId="10" borderId="0" xfId="0" applyFont="1" applyFill="1" applyAlignment="1">
      <alignment horizontal="center" vertical="center"/>
    </xf>
    <xf numFmtId="0" fontId="15" fillId="10" borderId="2" xfId="0" applyFont="1" applyFill="1" applyBorder="1" applyAlignment="1">
      <alignment horizontal="center" vertical="center"/>
    </xf>
    <xf numFmtId="0" fontId="8" fillId="9" borderId="21" xfId="0" applyFont="1" applyFill="1" applyBorder="1" applyAlignment="1">
      <alignment horizontal="center" vertical="center"/>
    </xf>
    <xf numFmtId="9" fontId="22" fillId="6" borderId="4" xfId="0" applyNumberFormat="1" applyFont="1" applyFill="1" applyBorder="1" applyAlignment="1">
      <alignment horizontal="center" vertical="center"/>
    </xf>
    <xf numFmtId="9" fontId="22" fillId="6" borderId="10" xfId="0" applyNumberFormat="1" applyFont="1" applyFill="1" applyBorder="1" applyAlignment="1">
      <alignment horizontal="center" vertical="center"/>
    </xf>
    <xf numFmtId="0" fontId="8" fillId="8" borderId="1" xfId="0" applyFont="1" applyFill="1" applyBorder="1" applyAlignment="1">
      <alignment horizontal="center" vertical="center" wrapText="1"/>
    </xf>
    <xf numFmtId="0" fontId="8" fillId="8" borderId="1" xfId="0" applyFont="1" applyFill="1" applyBorder="1" applyAlignment="1">
      <alignment horizontal="justify" vertical="center" wrapText="1"/>
    </xf>
    <xf numFmtId="0" fontId="8" fillId="17" borderId="7" xfId="0" applyFont="1" applyFill="1" applyBorder="1" applyAlignment="1">
      <alignment horizontal="justify" vertical="center" wrapText="1"/>
    </xf>
    <xf numFmtId="0" fontId="8" fillId="17" borderId="8" xfId="0" applyFont="1" applyFill="1" applyBorder="1" applyAlignment="1">
      <alignment horizontal="justify" vertical="center" wrapText="1"/>
    </xf>
    <xf numFmtId="0" fontId="6" fillId="9" borderId="4"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8" fillId="9" borderId="7" xfId="0" quotePrefix="1" applyFont="1" applyFill="1" applyBorder="1" applyAlignment="1">
      <alignment horizontal="justify" vertical="center" wrapText="1"/>
    </xf>
    <xf numFmtId="0" fontId="8" fillId="9" borderId="8" xfId="0" quotePrefix="1" applyFont="1" applyFill="1" applyBorder="1" applyAlignment="1">
      <alignment horizontal="justify" vertical="center" wrapText="1"/>
    </xf>
    <xf numFmtId="0" fontId="8" fillId="9" borderId="28" xfId="0" applyFont="1" applyFill="1" applyBorder="1" applyAlignment="1">
      <alignment horizontal="center" vertical="center" wrapText="1"/>
    </xf>
    <xf numFmtId="0" fontId="8" fillId="9" borderId="6" xfId="0" applyFont="1" applyFill="1" applyBorder="1" applyAlignment="1">
      <alignment horizontal="justify" vertical="center" wrapText="1"/>
    </xf>
    <xf numFmtId="0" fontId="8" fillId="9" borderId="42" xfId="0" applyFont="1" applyFill="1" applyBorder="1" applyAlignment="1">
      <alignment horizontal="justify" vertical="center" wrapText="1"/>
    </xf>
    <xf numFmtId="0" fontId="8" fillId="9" borderId="9" xfId="0" applyFont="1" applyFill="1" applyBorder="1" applyAlignment="1">
      <alignment horizontal="justify" vertical="center" wrapText="1"/>
    </xf>
    <xf numFmtId="0" fontId="8" fillId="9" borderId="7" xfId="0" applyFont="1" applyFill="1" applyBorder="1" applyAlignment="1">
      <alignment horizontal="left" vertical="center" wrapText="1"/>
    </xf>
    <xf numFmtId="0" fontId="8" fillId="9" borderId="8" xfId="0" applyFont="1" applyFill="1" applyBorder="1" applyAlignment="1">
      <alignment horizontal="left" vertical="center" wrapText="1"/>
    </xf>
    <xf numFmtId="0" fontId="8" fillId="9" borderId="28" xfId="0" applyFont="1" applyFill="1" applyBorder="1" applyAlignment="1">
      <alignment horizontal="left" vertical="center" wrapText="1"/>
    </xf>
    <xf numFmtId="0" fontId="8" fillId="8" borderId="28" xfId="0" applyFont="1" applyFill="1" applyBorder="1" applyAlignment="1">
      <alignment horizontal="center" vertical="center" wrapText="1"/>
    </xf>
    <xf numFmtId="0" fontId="8" fillId="8" borderId="7" xfId="0" applyFont="1" applyFill="1" applyBorder="1" applyAlignment="1">
      <alignment horizontal="left" vertical="center" wrapText="1"/>
    </xf>
    <xf numFmtId="0" fontId="8" fillId="8" borderId="8" xfId="0" applyFont="1" applyFill="1" applyBorder="1" applyAlignment="1">
      <alignment horizontal="left" vertical="center" wrapText="1"/>
    </xf>
    <xf numFmtId="0" fontId="8" fillId="8" borderId="28" xfId="0" applyFont="1" applyFill="1" applyBorder="1" applyAlignment="1">
      <alignment horizontal="left" vertical="center" wrapText="1"/>
    </xf>
    <xf numFmtId="0" fontId="8" fillId="9" borderId="28" xfId="0" applyFont="1" applyFill="1" applyBorder="1" applyAlignment="1">
      <alignment horizontal="justify" vertical="center" wrapText="1"/>
    </xf>
    <xf numFmtId="0" fontId="8" fillId="17" borderId="7" xfId="0" applyFont="1" applyFill="1" applyBorder="1" applyAlignment="1">
      <alignment horizontal="left" vertical="center" wrapText="1"/>
    </xf>
    <xf numFmtId="0" fontId="8" fillId="17" borderId="8" xfId="0" applyFont="1" applyFill="1" applyBorder="1" applyAlignment="1">
      <alignment horizontal="left" vertical="center" wrapText="1"/>
    </xf>
    <xf numFmtId="0" fontId="8" fillId="9" borderId="4" xfId="0" applyFont="1" applyFill="1" applyBorder="1" applyAlignment="1">
      <alignment horizontal="center" vertical="center" wrapText="1"/>
    </xf>
    <xf numFmtId="0" fontId="8" fillId="8" borderId="3" xfId="0" applyFont="1" applyFill="1" applyBorder="1" applyAlignment="1">
      <alignment horizontal="left" vertical="center" wrapText="1"/>
    </xf>
    <xf numFmtId="0" fontId="8" fillId="8" borderId="12" xfId="0" applyFont="1" applyFill="1" applyBorder="1" applyAlignment="1">
      <alignment horizontal="left" vertical="center" wrapText="1"/>
    </xf>
    <xf numFmtId="0" fontId="8" fillId="8" borderId="44" xfId="0" applyFont="1" applyFill="1" applyBorder="1" applyAlignment="1">
      <alignment horizontal="left" vertical="center" wrapText="1"/>
    </xf>
    <xf numFmtId="0" fontId="8" fillId="8" borderId="7" xfId="0" applyFont="1" applyFill="1" applyBorder="1" applyAlignment="1">
      <alignment vertical="center" wrapText="1"/>
    </xf>
    <xf numFmtId="0" fontId="8" fillId="8" borderId="8" xfId="0" applyFont="1" applyFill="1" applyBorder="1" applyAlignment="1">
      <alignment vertical="center" wrapText="1"/>
    </xf>
    <xf numFmtId="0" fontId="8" fillId="9" borderId="5" xfId="0" applyFont="1" applyFill="1" applyBorder="1" applyAlignment="1">
      <alignment horizontal="center" vertical="center" wrapText="1"/>
    </xf>
    <xf numFmtId="0" fontId="12" fillId="10" borderId="4" xfId="0" applyFont="1" applyFill="1" applyBorder="1" applyAlignment="1">
      <alignment horizontal="left" vertical="center" wrapText="1"/>
    </xf>
    <xf numFmtId="0" fontId="14" fillId="21" borderId="22" xfId="0" applyFont="1" applyFill="1" applyBorder="1" applyAlignment="1">
      <alignment vertical="center" wrapText="1"/>
    </xf>
    <xf numFmtId="14" fontId="14" fillId="21" borderId="46" xfId="0" applyNumberFormat="1" applyFont="1" applyFill="1" applyBorder="1" applyAlignment="1">
      <alignment vertical="center" wrapText="1"/>
    </xf>
    <xf numFmtId="0" fontId="14" fillId="21" borderId="46" xfId="0" applyFont="1" applyFill="1" applyBorder="1" applyAlignment="1">
      <alignment vertical="center" wrapText="1"/>
    </xf>
    <xf numFmtId="0" fontId="21" fillId="16" borderId="4" xfId="0" applyFont="1" applyFill="1" applyBorder="1" applyAlignment="1">
      <alignment vertical="center"/>
    </xf>
    <xf numFmtId="0" fontId="21" fillId="16" borderId="10" xfId="0" applyFont="1" applyFill="1" applyBorder="1" applyAlignment="1">
      <alignment vertical="center"/>
    </xf>
    <xf numFmtId="0" fontId="21" fillId="16" borderId="5" xfId="0" applyFont="1" applyFill="1" applyBorder="1" applyAlignment="1">
      <alignment vertical="center"/>
    </xf>
    <xf numFmtId="9" fontId="18" fillId="22" borderId="1" xfId="0" applyNumberFormat="1" applyFont="1" applyFill="1" applyBorder="1" applyAlignment="1">
      <alignment horizontal="center" vertical="center"/>
    </xf>
  </cellXfs>
  <cellStyles count="4">
    <cellStyle name="Hipervínculo" xfId="3" builtinId="8"/>
    <cellStyle name="Normal" xfId="0" builtinId="0"/>
    <cellStyle name="Normal 2" xfId="2" xr:uid="{73E03732-C5DC-A641-A40D-A6A7E6BA7402}"/>
    <cellStyle name="Porcentaje" xfId="1" builtinId="5"/>
  </cellStyles>
  <dxfs count="412">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color rgb="FF006100"/>
      </font>
      <fill>
        <patternFill>
          <bgColor rgb="FFC6EFCE"/>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rgb="FFC00000"/>
      </font>
      <fill>
        <patternFill>
          <bgColor rgb="FFF3CDDA"/>
        </patternFill>
      </fill>
    </dxf>
    <dxf>
      <font>
        <b/>
        <i val="0"/>
        <color theme="7" tint="-0.499984740745262"/>
      </font>
      <fill>
        <patternFill>
          <bgColor theme="7" tint="0.79998168889431442"/>
        </patternFill>
      </fill>
    </dxf>
    <dxf>
      <font>
        <b/>
        <i val="0"/>
        <color theme="9" tint="-0.499984740745262"/>
      </font>
      <fill>
        <patternFill>
          <bgColor theme="9" tint="0.59996337778862885"/>
        </patternFill>
      </fill>
    </dxf>
    <dxf>
      <font>
        <b/>
        <i val="0"/>
        <color theme="5" tint="-0.499984740745262"/>
      </font>
      <fill>
        <patternFill>
          <bgColor theme="5" tint="0.59996337778862885"/>
        </patternFill>
      </fill>
    </dxf>
    <dxf>
      <font>
        <b/>
        <i val="0"/>
        <color theme="0"/>
      </font>
      <fill>
        <patternFill>
          <bgColor rgb="FF004E52"/>
        </patternFill>
      </fill>
    </dxf>
    <dxf>
      <font>
        <color rgb="FF006100"/>
      </font>
      <fill>
        <patternFill>
          <bgColor rgb="FFC6EFCE"/>
        </patternFill>
      </fill>
    </dxf>
    <dxf>
      <font>
        <b/>
        <i val="0"/>
        <color theme="1"/>
      </font>
      <fill>
        <patternFill>
          <bgColor theme="7"/>
        </patternFill>
      </fill>
    </dxf>
    <dxf>
      <font>
        <b/>
        <i val="0"/>
        <color theme="0"/>
      </font>
      <fill>
        <patternFill>
          <bgColor rgb="FF004E52"/>
        </patternFill>
      </fill>
    </dxf>
    <dxf>
      <font>
        <b/>
        <i val="0"/>
        <color theme="1" tint="0.14996795556505021"/>
      </font>
      <fill>
        <patternFill>
          <bgColor rgb="FFDCE9F5"/>
        </patternFill>
      </fill>
    </dxf>
    <dxf>
      <font>
        <b/>
        <i val="0"/>
        <color theme="1" tint="0.14996795556505021"/>
      </font>
      <fill>
        <patternFill>
          <bgColor theme="7"/>
        </patternFill>
      </fill>
    </dxf>
    <dxf>
      <font>
        <b/>
        <i val="0"/>
        <color theme="0"/>
      </font>
      <fill>
        <patternFill>
          <bgColor rgb="FF004E52"/>
        </patternFill>
      </fill>
    </dxf>
    <dxf>
      <font>
        <b/>
        <i val="0"/>
        <color theme="1" tint="0.14996795556505021"/>
      </font>
      <fill>
        <patternFill>
          <bgColor theme="7"/>
        </patternFill>
      </fill>
    </dxf>
    <dxf>
      <numFmt numFmtId="13" formatCode="0%"/>
      <fill>
        <patternFill patternType="solid">
          <fgColor indexed="64"/>
          <bgColor theme="0"/>
        </patternFill>
      </fill>
      <alignment horizontal="center" vertical="bottom" textRotation="0" wrapText="0" indent="0" justifyLastLine="0" shrinkToFit="0" readingOrder="0"/>
    </dxf>
    <dxf>
      <numFmt numFmtId="13" formatCode="0%"/>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color theme="1" tint="4.9989318521683403E-2"/>
        <name val="Calibri"/>
        <family val="2"/>
        <scheme val="minor"/>
      </font>
      <fill>
        <patternFill patternType="solid">
          <fgColor indexed="64"/>
          <bgColor theme="0"/>
        </patternFill>
      </fill>
      <alignment horizontal="center" vertical="center" textRotation="0" wrapText="0" indent="0" justifyLastLine="0" shrinkToFit="0" readingOrder="0"/>
    </dxf>
    <dxf>
      <numFmt numFmtId="13" formatCode="0%"/>
      <fill>
        <patternFill patternType="solid">
          <fgColor indexed="64"/>
          <bgColor theme="0"/>
        </patternFill>
      </fill>
      <alignment horizontal="center" vertical="bottom" textRotation="0" wrapText="0" indent="0" justifyLastLine="0" shrinkToFit="0" readingOrder="0"/>
    </dxf>
    <dxf>
      <numFmt numFmtId="13" formatCode="0%"/>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color theme="1" tint="4.9989318521683403E-2"/>
        <name val="Calibri"/>
        <family val="2"/>
        <scheme val="minor"/>
      </font>
      <fill>
        <patternFill patternType="solid">
          <fgColor indexed="64"/>
          <bgColor theme="0"/>
        </patternFill>
      </fill>
      <alignment horizontal="center" vertical="center" textRotation="0" wrapText="0" indent="0" justifyLastLine="0" shrinkToFit="0" readingOrder="0"/>
    </dxf>
    <dxf>
      <numFmt numFmtId="13" formatCode="0%"/>
      <fill>
        <patternFill patternType="solid">
          <fgColor indexed="64"/>
          <bgColor theme="0"/>
        </patternFill>
      </fill>
      <alignment horizontal="center" vertical="bottom" textRotation="0" wrapText="0" indent="0" justifyLastLine="0" shrinkToFit="0" readingOrder="0"/>
    </dxf>
    <dxf>
      <numFmt numFmtId="13" formatCode="0%"/>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color theme="1" tint="4.9989318521683403E-2"/>
        <name val="Calibri"/>
        <family val="2"/>
        <scheme val="minor"/>
      </font>
      <fill>
        <patternFill patternType="solid">
          <fgColor indexed="64"/>
          <bgColor theme="0"/>
        </patternFill>
      </fill>
      <alignment horizontal="center" vertical="center" textRotation="0" wrapText="0" indent="0" justifyLastLine="0" shrinkToFit="0" readingOrder="0"/>
    </dxf>
    <dxf>
      <numFmt numFmtId="13" formatCode="0%"/>
      <fill>
        <patternFill patternType="solid">
          <fgColor indexed="64"/>
          <bgColor theme="0"/>
        </patternFill>
      </fill>
      <alignment horizontal="center" vertical="bottom" textRotation="0" wrapText="0" indent="0" justifyLastLine="0" shrinkToFit="0" readingOrder="0"/>
    </dxf>
    <dxf>
      <numFmt numFmtId="13" formatCode="0%"/>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color theme="1" tint="4.9989318521683403E-2"/>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color theme="1" tint="4.9989318521683403E-2"/>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numFmt numFmtId="13" formatCode="0%"/>
      <fill>
        <patternFill patternType="solid">
          <fgColor indexed="64"/>
          <bgColor theme="0"/>
        </patternFill>
      </fill>
      <alignment horizontal="center" vertical="bottom" textRotation="0" wrapText="0" indent="0" justifyLastLine="0" shrinkToFit="0" readingOrder="0"/>
    </dxf>
    <dxf>
      <numFmt numFmtId="13" formatCode="0%"/>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color theme="1" tint="4.9989318521683403E-2"/>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s>
  <tableStyles count="0" defaultTableStyle="TableStyleMedium2" defaultPivotStyle="PivotStyleLight16"/>
  <colors>
    <mruColors>
      <color rgb="FFDCE9F6"/>
      <color rgb="FF0098AA"/>
      <color rgb="FF004E52"/>
      <color rgb="FFEB9BAF"/>
      <color rgb="FFDCE9F5"/>
      <color rgb="FFF3CDDA"/>
      <color rgb="FFFF0000"/>
      <color rgb="FFB9F8FF"/>
      <color rgb="FFC7B299"/>
      <color rgb="FFC4C1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1387475</xdr:colOff>
      <xdr:row>1</xdr:row>
      <xdr:rowOff>38100</xdr:rowOff>
    </xdr:from>
    <xdr:to>
      <xdr:col>9</xdr:col>
      <xdr:colOff>2426601</xdr:colOff>
      <xdr:row>1</xdr:row>
      <xdr:rowOff>682290</xdr:rowOff>
    </xdr:to>
    <xdr:pic>
      <xdr:nvPicPr>
        <xdr:cNvPr id="3" name="Imagen 2">
          <a:extLst>
            <a:ext uri="{FF2B5EF4-FFF2-40B4-BE49-F238E27FC236}">
              <a16:creationId xmlns:a16="http://schemas.microsoft.com/office/drawing/2014/main" id="{BEB17C7B-A011-418A-A64F-A431378771E3}"/>
            </a:ext>
          </a:extLst>
        </xdr:cNvPr>
        <xdr:cNvPicPr>
          <a:picLocks noChangeAspect="1"/>
        </xdr:cNvPicPr>
      </xdr:nvPicPr>
      <xdr:blipFill rotWithShape="1">
        <a:blip xmlns:r="http://schemas.openxmlformats.org/officeDocument/2006/relationships" r:embed="rId1"/>
        <a:srcRect l="6465" t="51770" r="8873" b="6813"/>
        <a:stretch/>
      </xdr:blipFill>
      <xdr:spPr>
        <a:xfrm>
          <a:off x="9172575" y="101600"/>
          <a:ext cx="1039126" cy="6441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371474</xdr:colOff>
      <xdr:row>1</xdr:row>
      <xdr:rowOff>57149</xdr:rowOff>
    </xdr:from>
    <xdr:to>
      <xdr:col>9</xdr:col>
      <xdr:colOff>1410600</xdr:colOff>
      <xdr:row>1</xdr:row>
      <xdr:rowOff>701339</xdr:rowOff>
    </xdr:to>
    <xdr:pic>
      <xdr:nvPicPr>
        <xdr:cNvPr id="2" name="Imagen 1">
          <a:extLst>
            <a:ext uri="{FF2B5EF4-FFF2-40B4-BE49-F238E27FC236}">
              <a16:creationId xmlns:a16="http://schemas.microsoft.com/office/drawing/2014/main" id="{6A406AAB-0DAA-2040-9A2A-3A5F32417684}"/>
            </a:ext>
          </a:extLst>
        </xdr:cNvPr>
        <xdr:cNvPicPr>
          <a:picLocks noChangeAspect="1"/>
        </xdr:cNvPicPr>
      </xdr:nvPicPr>
      <xdr:blipFill rotWithShape="1">
        <a:blip xmlns:r="http://schemas.openxmlformats.org/officeDocument/2006/relationships" r:embed="rId1"/>
        <a:srcRect l="6465" t="51770" r="8873" b="6813"/>
        <a:stretch/>
      </xdr:blipFill>
      <xdr:spPr>
        <a:xfrm>
          <a:off x="17770474" y="120649"/>
          <a:ext cx="1039126" cy="648000"/>
        </a:xfrm>
        <a:prstGeom prst="rect">
          <a:avLst/>
        </a:prstGeom>
      </xdr:spPr>
    </xdr:pic>
    <xdr:clientData/>
  </xdr:twoCellAnchor>
  <xdr:twoCellAnchor editAs="oneCell">
    <xdr:from>
      <xdr:col>9</xdr:col>
      <xdr:colOff>371474</xdr:colOff>
      <xdr:row>1</xdr:row>
      <xdr:rowOff>57149</xdr:rowOff>
    </xdr:from>
    <xdr:to>
      <xdr:col>9</xdr:col>
      <xdr:colOff>1410600</xdr:colOff>
      <xdr:row>1</xdr:row>
      <xdr:rowOff>702609</xdr:rowOff>
    </xdr:to>
    <xdr:pic>
      <xdr:nvPicPr>
        <xdr:cNvPr id="3" name="Imagen 2">
          <a:extLst>
            <a:ext uri="{FF2B5EF4-FFF2-40B4-BE49-F238E27FC236}">
              <a16:creationId xmlns:a16="http://schemas.microsoft.com/office/drawing/2014/main" id="{3805BFAF-F436-8C4A-9483-521854538B8D}"/>
            </a:ext>
          </a:extLst>
        </xdr:cNvPr>
        <xdr:cNvPicPr>
          <a:picLocks noChangeAspect="1"/>
        </xdr:cNvPicPr>
      </xdr:nvPicPr>
      <xdr:blipFill rotWithShape="1">
        <a:blip xmlns:r="http://schemas.openxmlformats.org/officeDocument/2006/relationships" r:embed="rId1"/>
        <a:srcRect l="6465" t="51770" r="8873" b="6813"/>
        <a:stretch/>
      </xdr:blipFill>
      <xdr:spPr>
        <a:xfrm>
          <a:off x="17770474" y="120649"/>
          <a:ext cx="1039126" cy="6378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371474</xdr:colOff>
      <xdr:row>1</xdr:row>
      <xdr:rowOff>57149</xdr:rowOff>
    </xdr:from>
    <xdr:to>
      <xdr:col>9</xdr:col>
      <xdr:colOff>1410600</xdr:colOff>
      <xdr:row>1</xdr:row>
      <xdr:rowOff>705149</xdr:rowOff>
    </xdr:to>
    <xdr:pic>
      <xdr:nvPicPr>
        <xdr:cNvPr id="2" name="Imagen 1">
          <a:extLst>
            <a:ext uri="{FF2B5EF4-FFF2-40B4-BE49-F238E27FC236}">
              <a16:creationId xmlns:a16="http://schemas.microsoft.com/office/drawing/2014/main" id="{2A8A5E4F-7CD0-A243-B541-2C018EAA89F8}"/>
            </a:ext>
          </a:extLst>
        </xdr:cNvPr>
        <xdr:cNvPicPr>
          <a:picLocks noChangeAspect="1"/>
        </xdr:cNvPicPr>
      </xdr:nvPicPr>
      <xdr:blipFill rotWithShape="1">
        <a:blip xmlns:r="http://schemas.openxmlformats.org/officeDocument/2006/relationships" r:embed="rId1"/>
        <a:srcRect l="6465" t="51770" r="8873" b="6813"/>
        <a:stretch/>
      </xdr:blipFill>
      <xdr:spPr>
        <a:xfrm>
          <a:off x="17770474" y="120649"/>
          <a:ext cx="1039126" cy="648000"/>
        </a:xfrm>
        <a:prstGeom prst="rect">
          <a:avLst/>
        </a:prstGeom>
      </xdr:spPr>
    </xdr:pic>
    <xdr:clientData/>
  </xdr:twoCellAnchor>
  <xdr:twoCellAnchor editAs="oneCell">
    <xdr:from>
      <xdr:col>9</xdr:col>
      <xdr:colOff>371474</xdr:colOff>
      <xdr:row>1</xdr:row>
      <xdr:rowOff>57149</xdr:rowOff>
    </xdr:from>
    <xdr:to>
      <xdr:col>9</xdr:col>
      <xdr:colOff>1410600</xdr:colOff>
      <xdr:row>1</xdr:row>
      <xdr:rowOff>694989</xdr:rowOff>
    </xdr:to>
    <xdr:pic>
      <xdr:nvPicPr>
        <xdr:cNvPr id="3" name="Imagen 2">
          <a:extLst>
            <a:ext uri="{FF2B5EF4-FFF2-40B4-BE49-F238E27FC236}">
              <a16:creationId xmlns:a16="http://schemas.microsoft.com/office/drawing/2014/main" id="{5B9232B0-45EE-0145-B12C-F90645FD3F1A}"/>
            </a:ext>
          </a:extLst>
        </xdr:cNvPr>
        <xdr:cNvPicPr>
          <a:picLocks noChangeAspect="1"/>
        </xdr:cNvPicPr>
      </xdr:nvPicPr>
      <xdr:blipFill rotWithShape="1">
        <a:blip xmlns:r="http://schemas.openxmlformats.org/officeDocument/2006/relationships" r:embed="rId1"/>
        <a:srcRect l="6465" t="51770" r="8873" b="6813"/>
        <a:stretch/>
      </xdr:blipFill>
      <xdr:spPr>
        <a:xfrm>
          <a:off x="17770474" y="120649"/>
          <a:ext cx="1039126" cy="6378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371474</xdr:colOff>
      <xdr:row>1</xdr:row>
      <xdr:rowOff>57149</xdr:rowOff>
    </xdr:from>
    <xdr:to>
      <xdr:col>9</xdr:col>
      <xdr:colOff>1410600</xdr:colOff>
      <xdr:row>1</xdr:row>
      <xdr:rowOff>705149</xdr:rowOff>
    </xdr:to>
    <xdr:pic>
      <xdr:nvPicPr>
        <xdr:cNvPr id="2" name="Imagen 1">
          <a:extLst>
            <a:ext uri="{FF2B5EF4-FFF2-40B4-BE49-F238E27FC236}">
              <a16:creationId xmlns:a16="http://schemas.microsoft.com/office/drawing/2014/main" id="{36F625F9-E77B-084A-8C16-234E30D3D6A7}"/>
            </a:ext>
          </a:extLst>
        </xdr:cNvPr>
        <xdr:cNvPicPr>
          <a:picLocks noChangeAspect="1"/>
        </xdr:cNvPicPr>
      </xdr:nvPicPr>
      <xdr:blipFill rotWithShape="1">
        <a:blip xmlns:r="http://schemas.openxmlformats.org/officeDocument/2006/relationships" r:embed="rId1"/>
        <a:srcRect l="6465" t="51770" r="8873" b="6813"/>
        <a:stretch/>
      </xdr:blipFill>
      <xdr:spPr>
        <a:xfrm>
          <a:off x="17770474" y="120649"/>
          <a:ext cx="1039126" cy="648000"/>
        </a:xfrm>
        <a:prstGeom prst="rect">
          <a:avLst/>
        </a:prstGeom>
      </xdr:spPr>
    </xdr:pic>
    <xdr:clientData/>
  </xdr:twoCellAnchor>
  <xdr:twoCellAnchor editAs="oneCell">
    <xdr:from>
      <xdr:col>9</xdr:col>
      <xdr:colOff>371474</xdr:colOff>
      <xdr:row>1</xdr:row>
      <xdr:rowOff>57149</xdr:rowOff>
    </xdr:from>
    <xdr:to>
      <xdr:col>9</xdr:col>
      <xdr:colOff>1410600</xdr:colOff>
      <xdr:row>1</xdr:row>
      <xdr:rowOff>694989</xdr:rowOff>
    </xdr:to>
    <xdr:pic>
      <xdr:nvPicPr>
        <xdr:cNvPr id="3" name="Imagen 2">
          <a:extLst>
            <a:ext uri="{FF2B5EF4-FFF2-40B4-BE49-F238E27FC236}">
              <a16:creationId xmlns:a16="http://schemas.microsoft.com/office/drawing/2014/main" id="{F4D8CC64-2A83-E043-A745-A62574193D66}"/>
            </a:ext>
          </a:extLst>
        </xdr:cNvPr>
        <xdr:cNvPicPr>
          <a:picLocks noChangeAspect="1"/>
        </xdr:cNvPicPr>
      </xdr:nvPicPr>
      <xdr:blipFill rotWithShape="1">
        <a:blip xmlns:r="http://schemas.openxmlformats.org/officeDocument/2006/relationships" r:embed="rId1"/>
        <a:srcRect l="6465" t="51770" r="8873" b="6813"/>
        <a:stretch/>
      </xdr:blipFill>
      <xdr:spPr>
        <a:xfrm>
          <a:off x="17770474" y="120649"/>
          <a:ext cx="1039126" cy="6378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371474</xdr:colOff>
      <xdr:row>1</xdr:row>
      <xdr:rowOff>57149</xdr:rowOff>
    </xdr:from>
    <xdr:to>
      <xdr:col>9</xdr:col>
      <xdr:colOff>1410600</xdr:colOff>
      <xdr:row>1</xdr:row>
      <xdr:rowOff>705149</xdr:rowOff>
    </xdr:to>
    <xdr:pic>
      <xdr:nvPicPr>
        <xdr:cNvPr id="2" name="Imagen 1">
          <a:extLst>
            <a:ext uri="{FF2B5EF4-FFF2-40B4-BE49-F238E27FC236}">
              <a16:creationId xmlns:a16="http://schemas.microsoft.com/office/drawing/2014/main" id="{EF92A10D-57DF-204D-9CBA-6D558FD24EA2}"/>
            </a:ext>
          </a:extLst>
        </xdr:cNvPr>
        <xdr:cNvPicPr>
          <a:picLocks noChangeAspect="1"/>
        </xdr:cNvPicPr>
      </xdr:nvPicPr>
      <xdr:blipFill rotWithShape="1">
        <a:blip xmlns:r="http://schemas.openxmlformats.org/officeDocument/2006/relationships" r:embed="rId1"/>
        <a:srcRect l="6465" t="51770" r="8873" b="6813"/>
        <a:stretch/>
      </xdr:blipFill>
      <xdr:spPr>
        <a:xfrm>
          <a:off x="17770474" y="120649"/>
          <a:ext cx="1039126" cy="648000"/>
        </a:xfrm>
        <a:prstGeom prst="rect">
          <a:avLst/>
        </a:prstGeom>
      </xdr:spPr>
    </xdr:pic>
    <xdr:clientData/>
  </xdr:twoCellAnchor>
  <xdr:twoCellAnchor editAs="oneCell">
    <xdr:from>
      <xdr:col>9</xdr:col>
      <xdr:colOff>371474</xdr:colOff>
      <xdr:row>1</xdr:row>
      <xdr:rowOff>57149</xdr:rowOff>
    </xdr:from>
    <xdr:to>
      <xdr:col>9</xdr:col>
      <xdr:colOff>1410600</xdr:colOff>
      <xdr:row>1</xdr:row>
      <xdr:rowOff>694989</xdr:rowOff>
    </xdr:to>
    <xdr:pic>
      <xdr:nvPicPr>
        <xdr:cNvPr id="3" name="Imagen 2">
          <a:extLst>
            <a:ext uri="{FF2B5EF4-FFF2-40B4-BE49-F238E27FC236}">
              <a16:creationId xmlns:a16="http://schemas.microsoft.com/office/drawing/2014/main" id="{57EBF19B-C18C-E54F-95DF-751F5D87AA62}"/>
            </a:ext>
          </a:extLst>
        </xdr:cNvPr>
        <xdr:cNvPicPr>
          <a:picLocks noChangeAspect="1"/>
        </xdr:cNvPicPr>
      </xdr:nvPicPr>
      <xdr:blipFill rotWithShape="1">
        <a:blip xmlns:r="http://schemas.openxmlformats.org/officeDocument/2006/relationships" r:embed="rId1"/>
        <a:srcRect l="6465" t="51770" r="8873" b="6813"/>
        <a:stretch/>
      </xdr:blipFill>
      <xdr:spPr>
        <a:xfrm>
          <a:off x="17770474" y="120649"/>
          <a:ext cx="1039126" cy="6378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uario/Desktop/GSSO_2025/Auditoria%20RF_2026/Planillas%20RF/PLANILLA%20RF%2005,%2006,07,%2008,%2009,11.xlsx" TargetMode="External"/><Relationship Id="rId1" Type="http://schemas.openxmlformats.org/officeDocument/2006/relationships/externalLinkPath" Target="file:///C:/Users/Usuario/Desktop/GSSO_2025/Auditoria%20RF_2026/Planillas%20RF/PLANILLA%20RF%2005,%2006,07,%2008,%2009,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fkassra/Library/Containers/com.microsoft.Outlook/Data/tmp/Outlook%20Temp/PLANILLA%20RF%2016.18.20,21%5b91%5d.xlsx" TargetMode="External"/><Relationship Id="rId1" Type="http://schemas.openxmlformats.org/officeDocument/2006/relationships/externalLinkPath" Target="/Users/fkassra/Library/Containers/com.microsoft.Outlook/Data/tmp/Outlook%20Temp/PLANILLA%20RF%2016.18.20,21%5b91%5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uario/Desktop/GSSO_2025/Auditoria%20RF_2026/RF01,%20CARTILLAS.xlsx" TargetMode="External"/><Relationship Id="rId1" Type="http://schemas.openxmlformats.org/officeDocument/2006/relationships/externalLinkPath" Target="file:///C:/Users/Usuario/Desktop/GSSO_2025/Auditoria%20RF_2026/RF01,%20CARTILL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as desplegables"/>
      <sheetName val="RF 05"/>
      <sheetName val="RF06"/>
      <sheetName val="RF 07"/>
      <sheetName val="RF 08"/>
      <sheetName val="RF 09"/>
      <sheetName val="RF14"/>
      <sheetName val="PLANILLA RF 05, 06,07, 08, 09,1"/>
    </sheetNames>
    <sheetDataSet>
      <sheetData sheetId="0"/>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xlsx]Listas desplegables"/>
      <sheetName val=".xlsx]RF 05"/>
      <sheetName val=".xlsx]RF06"/>
      <sheetName val=".xlsx]RF 07"/>
      <sheetName val=".xlsx]RF 08"/>
      <sheetName val=".xlsx]RF 09"/>
      <sheetName val=".xlsx]RF14"/>
      <sheetName val=".xlsx]RF 16"/>
      <sheetName val=".xlsx]RF18"/>
      <sheetName val=".xlsx]RF20"/>
      <sheetName val=".xlsx]RF21"/>
      <sheetName val=".xlsx]RF23"/>
      <sheetName val=".xlsx]RF 24"/>
      <sheetName val=".xlsx]RF 25"/>
      <sheetName val=".xlsx]RF 27"/>
      <sheetName val=".xlsx]RF28"/>
      <sheetName val=".xlsx]RF29"/>
      <sheetName val=".xlsx]Hoja5"/>
      <sheetName val=".xlsx]PLANILLA_RF_16_18_20_21_2"/>
      <sheetName val=".xlsx]PLANILLA_RF_16_18_20_21_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as desplegables"/>
      <sheetName val="RF01"/>
      <sheetName val="EJECUTIVO"/>
      <sheetName val="SUPERVISOR"/>
      <sheetName val="TRABAJADOR"/>
      <sheetName val="RF01, CARTILLAS"/>
    </sheetNames>
    <sheetDataSet>
      <sheetData sheetId="0"/>
      <sheetData sheetId="1"/>
      <sheetData sheetId="2"/>
      <sheetData sheetId="3"/>
      <sheetData sheetId="4"/>
      <sheetData sheetId="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AA8AE7-FEF3-4D5F-9419-60FD627E9C68}" name="Tabla1" displayName="Tabla1" ref="C3:C15" totalsRowShown="0" headerRowDxfId="411" dataDxfId="410" dataCellStyle="Porcentaje">
  <autoFilter ref="C3:C15" xr:uid="{DFAA8AE7-FEF3-4D5F-9419-60FD627E9C68}"/>
  <tableColumns count="1">
    <tableColumn id="1" xr3:uid="{ECDD9007-9027-4990-A48C-B51F528162B3}" name="CUMPLIMIENTO" dataDxfId="409" dataCellStyle="Porcentaje"/>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7FD3A7-200A-4A11-8996-84D69F89412A}" name="Tabla3" displayName="Tabla3" ref="E3:E5" totalsRowShown="0" headerRowDxfId="408" dataDxfId="407">
  <autoFilter ref="E3:E5" xr:uid="{567FD3A7-200A-4A11-8996-84D69F89412A}"/>
  <tableColumns count="1">
    <tableColumn id="1" xr3:uid="{6609F4F8-B77F-4920-AB38-8F4D1477FED8}" name="APLICA" dataDxfId="406"/>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1094AF-9876-4B38-9932-C302F790D10B}" name="Tabla13" displayName="Tabla13" ref="C65:C77" totalsRowShown="0" headerRowDxfId="405" dataDxfId="404" dataCellStyle="Porcentaje">
  <autoFilter ref="C65:C77" xr:uid="{B4BEF42A-54E2-1041-828B-9D5BBB2A2E89}"/>
  <tableColumns count="1">
    <tableColumn id="1" xr3:uid="{5EC50486-0F4C-4A5E-8EBE-335198AE757D}" name="Columna1" dataDxfId="403" dataCellStyle="Porcentaje"/>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35EE1F-49BB-4EA2-9298-A2028E46E657}" name="Tabla135" displayName="Tabla135" ref="C50:C62" totalsRowShown="0" headerRowDxfId="402" dataDxfId="401" dataCellStyle="Porcentaje">
  <autoFilter ref="C50:C62" xr:uid="{D320233A-C495-4201-80E6-ADE7C543FE75}"/>
  <tableColumns count="1">
    <tableColumn id="1" xr3:uid="{E09E66B9-3B20-4CE5-BDB1-2CDB7FAA52D0}" name="Columna1" dataDxfId="400" dataCellStyle="Porcentaje"/>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D56FB2-F2B8-4804-ACE0-C35B07D13E9E}" name="Tabla14" displayName="Tabla14" ref="C60:C72" totalsRowShown="0" headerRowDxfId="399" dataDxfId="398" dataCellStyle="Porcentaje">
  <autoFilter ref="C60:C72" xr:uid="{896D99D7-2093-432A-B61A-DC50D5A85988}"/>
  <tableColumns count="1">
    <tableColumn id="1" xr3:uid="{4390CE25-23A8-40A6-8384-0BBD02B5DA83}" name="Columna1" dataDxfId="397" dataCellStyle="Porcentaje"/>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40F281-152F-42FF-82C5-1395739CD3F5}" name="Tabla15" displayName="Tabla15" ref="C51:C63" totalsRowShown="0" headerRowDxfId="396" dataDxfId="395" dataCellStyle="Porcentaje">
  <autoFilter ref="C51:C63" xr:uid="{3182AC53-777F-4472-AB43-005D17ED3746}"/>
  <tableColumns count="1">
    <tableColumn id="1" xr3:uid="{9E27EAA6-CF38-463A-BC05-BE6169D5805F}" name="Columna1" dataDxfId="394" dataCellStyle="Porcentaje"/>
  </tableColumns>
  <tableStyleInfo name="TableStyleMedium10"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77D03-FD84-4D1A-8383-E407493B793F}">
  <sheetPr>
    <tabColor rgb="FF004E52"/>
  </sheetPr>
  <dimension ref="A1:O45"/>
  <sheetViews>
    <sheetView tabSelected="1" topLeftCell="A6" zoomScaleNormal="100" workbookViewId="0">
      <selection activeCell="H44" sqref="H44"/>
    </sheetView>
  </sheetViews>
  <sheetFormatPr baseColWidth="10" defaultColWidth="10.6640625" defaultRowHeight="15" x14ac:dyDescent="0.2"/>
  <cols>
    <col min="1" max="1" width="6.6640625" style="9" customWidth="1"/>
    <col min="2" max="4" width="13.5" style="9" customWidth="1"/>
    <col min="5" max="5" width="6" style="9" customWidth="1"/>
    <col min="6" max="6" width="7.5" style="9" customWidth="1"/>
    <col min="7" max="9" width="15.83203125" style="9" customWidth="1"/>
    <col min="10" max="10" width="32.33203125" style="9" customWidth="1"/>
    <col min="11" max="16384" width="10.6640625" style="9"/>
  </cols>
  <sheetData>
    <row r="1" spans="1:15" ht="5.25" customHeight="1" x14ac:dyDescent="0.2"/>
    <row r="2" spans="1:15" ht="55.25" customHeight="1" x14ac:dyDescent="0.2">
      <c r="A2" s="27"/>
      <c r="B2" s="114" t="s">
        <v>28</v>
      </c>
      <c r="C2" s="114"/>
      <c r="D2" s="114"/>
      <c r="E2" s="114"/>
      <c r="F2" s="114"/>
      <c r="G2" s="114"/>
      <c r="H2" s="114"/>
      <c r="I2" s="114"/>
      <c r="J2" s="115"/>
      <c r="K2" s="15"/>
      <c r="L2" s="15"/>
      <c r="M2" s="15"/>
      <c r="N2" s="15"/>
      <c r="O2" s="16"/>
    </row>
    <row r="3" spans="1:15" ht="5.25" customHeight="1" x14ac:dyDescent="0.2">
      <c r="B3" s="20"/>
      <c r="C3" s="20"/>
      <c r="D3" s="20"/>
      <c r="E3" s="20"/>
      <c r="F3" s="20"/>
      <c r="G3" s="20"/>
      <c r="H3" s="20"/>
      <c r="I3" s="20"/>
      <c r="J3" s="57"/>
      <c r="K3" s="19"/>
      <c r="L3" s="19"/>
      <c r="M3" s="19"/>
      <c r="N3" s="19"/>
      <c r="O3" s="19"/>
    </row>
    <row r="4" spans="1:15" ht="25" customHeight="1" x14ac:dyDescent="0.2">
      <c r="A4" s="56"/>
      <c r="B4" s="107" t="s">
        <v>0</v>
      </c>
      <c r="C4" s="107"/>
      <c r="D4" s="107"/>
      <c r="E4" s="55" t="s">
        <v>1</v>
      </c>
      <c r="F4" s="109"/>
      <c r="G4" s="109"/>
      <c r="H4" s="109"/>
      <c r="I4" s="109"/>
      <c r="J4" s="65" t="s">
        <v>26</v>
      </c>
      <c r="K4" s="19"/>
      <c r="L4" s="19"/>
      <c r="M4" s="19"/>
      <c r="N4" s="19"/>
      <c r="O4" s="19"/>
    </row>
    <row r="5" spans="1:15" ht="16.25" customHeight="1" x14ac:dyDescent="0.2">
      <c r="A5" s="50"/>
      <c r="B5" s="123" t="s">
        <v>2</v>
      </c>
      <c r="C5" s="123"/>
      <c r="D5" s="123"/>
      <c r="E5" s="125" t="s">
        <v>1</v>
      </c>
      <c r="F5" s="110"/>
      <c r="G5" s="110"/>
      <c r="H5" s="110"/>
      <c r="I5" s="111"/>
      <c r="J5" s="118">
        <f>IFERROR(AVERAGEIF(H12:H41,"&gt;=0"),"NO APLICA")</f>
        <v>0.33750000000000002</v>
      </c>
      <c r="K5" s="19"/>
      <c r="L5" s="19"/>
      <c r="M5" s="19"/>
      <c r="N5" s="19"/>
      <c r="O5" s="19"/>
    </row>
    <row r="6" spans="1:15" ht="16.25" customHeight="1" x14ac:dyDescent="0.2">
      <c r="A6" s="51"/>
      <c r="B6" s="124"/>
      <c r="C6" s="124"/>
      <c r="D6" s="124"/>
      <c r="E6" s="126"/>
      <c r="F6" s="112"/>
      <c r="G6" s="112"/>
      <c r="H6" s="112"/>
      <c r="I6" s="113"/>
      <c r="J6" s="118"/>
      <c r="K6" s="19"/>
      <c r="L6" s="19"/>
      <c r="M6" s="19"/>
      <c r="N6" s="19"/>
      <c r="O6" s="19"/>
    </row>
    <row r="7" spans="1:15" ht="25" customHeight="1" x14ac:dyDescent="0.2">
      <c r="A7" s="17"/>
      <c r="B7" s="116" t="s">
        <v>27</v>
      </c>
      <c r="C7" s="116"/>
      <c r="D7" s="116"/>
      <c r="E7" s="52" t="s">
        <v>1</v>
      </c>
      <c r="F7" s="109"/>
      <c r="G7" s="109"/>
      <c r="H7" s="109"/>
      <c r="I7" s="109"/>
      <c r="J7" s="118"/>
      <c r="K7" s="19"/>
      <c r="L7" s="19"/>
      <c r="M7" s="19"/>
      <c r="N7" s="19"/>
      <c r="O7" s="19"/>
    </row>
    <row r="8" spans="1:15" ht="25" customHeight="1" x14ac:dyDescent="0.2">
      <c r="A8" s="17"/>
      <c r="B8" s="116" t="s">
        <v>29</v>
      </c>
      <c r="C8" s="116"/>
      <c r="D8" s="116"/>
      <c r="E8" s="52" t="s">
        <v>1</v>
      </c>
      <c r="F8" s="109"/>
      <c r="G8" s="109"/>
      <c r="H8" s="109"/>
      <c r="I8" s="109"/>
      <c r="J8" s="118"/>
      <c r="K8" s="19"/>
      <c r="L8" s="19"/>
      <c r="M8" s="19"/>
      <c r="N8" s="19"/>
      <c r="O8" s="19"/>
    </row>
    <row r="9" spans="1:15" ht="25" customHeight="1" x14ac:dyDescent="0.2">
      <c r="A9" s="50"/>
      <c r="B9" s="117" t="s">
        <v>3</v>
      </c>
      <c r="C9" s="117"/>
      <c r="D9" s="117"/>
      <c r="E9" s="53" t="s">
        <v>1</v>
      </c>
      <c r="F9" s="109"/>
      <c r="G9" s="109"/>
      <c r="H9" s="109"/>
      <c r="I9" s="109"/>
      <c r="J9" s="119"/>
      <c r="K9" s="19"/>
      <c r="L9" s="19"/>
      <c r="M9" s="19"/>
      <c r="N9" s="19"/>
      <c r="O9" s="19"/>
    </row>
    <row r="10" spans="1:15" ht="5.25" customHeight="1" x14ac:dyDescent="0.2">
      <c r="A10" s="58"/>
      <c r="B10" s="54"/>
      <c r="C10" s="54"/>
      <c r="D10" s="54"/>
      <c r="E10" s="58"/>
      <c r="F10" s="54"/>
      <c r="G10" s="54"/>
      <c r="H10" s="54"/>
      <c r="I10" s="54"/>
    </row>
    <row r="11" spans="1:15" s="26" customFormat="1" ht="25.25" customHeight="1" x14ac:dyDescent="0.2">
      <c r="A11" s="108" t="s">
        <v>107</v>
      </c>
      <c r="B11" s="108"/>
      <c r="C11" s="108"/>
      <c r="D11" s="108"/>
      <c r="E11" s="108"/>
      <c r="F11" s="108"/>
      <c r="G11" s="24" t="s">
        <v>4</v>
      </c>
      <c r="H11" s="24" t="s">
        <v>5</v>
      </c>
      <c r="I11" s="49" t="s">
        <v>106</v>
      </c>
      <c r="J11" s="25" t="s">
        <v>30</v>
      </c>
    </row>
    <row r="12" spans="1:15" ht="20.25" customHeight="1" x14ac:dyDescent="0.2">
      <c r="A12" s="66" t="s">
        <v>78</v>
      </c>
      <c r="B12" s="198" t="s">
        <v>328</v>
      </c>
      <c r="C12" s="199"/>
      <c r="D12" s="199"/>
      <c r="E12" s="199"/>
      <c r="F12" s="200"/>
      <c r="G12" s="61" t="s">
        <v>7</v>
      </c>
      <c r="H12" s="76">
        <f>'RF01'!I7</f>
        <v>0.9</v>
      </c>
      <c r="I12" s="64" t="s">
        <v>48</v>
      </c>
      <c r="J12" s="63"/>
      <c r="K12" s="26"/>
      <c r="L12" s="26"/>
      <c r="M12" s="26"/>
      <c r="N12" s="26"/>
    </row>
    <row r="13" spans="1:15" ht="20.25" customHeight="1" x14ac:dyDescent="0.2">
      <c r="A13" s="66" t="s">
        <v>79</v>
      </c>
      <c r="B13" s="198" t="s">
        <v>327</v>
      </c>
      <c r="C13" s="199"/>
      <c r="D13" s="199"/>
      <c r="E13" s="199"/>
      <c r="F13" s="200"/>
      <c r="G13" s="61" t="s">
        <v>7</v>
      </c>
      <c r="H13" s="76">
        <f>'RF02'!I7</f>
        <v>0</v>
      </c>
      <c r="I13" s="64" t="s">
        <v>49</v>
      </c>
      <c r="J13" s="63"/>
      <c r="K13" s="26"/>
      <c r="L13" s="26"/>
      <c r="M13" s="26"/>
      <c r="N13" s="26"/>
    </row>
    <row r="14" spans="1:15" ht="20.25" customHeight="1" x14ac:dyDescent="0.2">
      <c r="A14" s="66" t="s">
        <v>80</v>
      </c>
      <c r="B14" s="198" t="s">
        <v>326</v>
      </c>
      <c r="C14" s="199"/>
      <c r="D14" s="199"/>
      <c r="E14" s="199"/>
      <c r="F14" s="200"/>
      <c r="G14" s="61" t="s">
        <v>7</v>
      </c>
      <c r="H14" s="76">
        <f>'RF03'!I7</f>
        <v>0</v>
      </c>
      <c r="I14" s="64" t="s">
        <v>50</v>
      </c>
      <c r="J14" s="63"/>
      <c r="K14" s="26"/>
      <c r="L14" s="26"/>
      <c r="M14" s="26"/>
      <c r="N14" s="26"/>
    </row>
    <row r="15" spans="1:15" ht="20.25" customHeight="1" x14ac:dyDescent="0.2">
      <c r="A15" s="66" t="s">
        <v>81</v>
      </c>
      <c r="B15" s="198" t="s">
        <v>325</v>
      </c>
      <c r="C15" s="199"/>
      <c r="D15" s="199"/>
      <c r="E15" s="199"/>
      <c r="F15" s="200"/>
      <c r="G15" s="61" t="s">
        <v>7</v>
      </c>
      <c r="H15" s="76">
        <f>'RF04'!I7</f>
        <v>0</v>
      </c>
      <c r="I15" s="64" t="s">
        <v>51</v>
      </c>
      <c r="J15" s="63"/>
      <c r="K15" s="26"/>
      <c r="L15" s="26"/>
      <c r="M15" s="26"/>
      <c r="N15" s="26"/>
    </row>
    <row r="16" spans="1:15" ht="20.25" customHeight="1" x14ac:dyDescent="0.2">
      <c r="A16" s="66" t="s">
        <v>82</v>
      </c>
      <c r="B16" s="198" t="s">
        <v>324</v>
      </c>
      <c r="C16" s="199"/>
      <c r="D16" s="199"/>
      <c r="E16" s="199"/>
      <c r="F16" s="200"/>
      <c r="G16" s="61" t="s">
        <v>7</v>
      </c>
      <c r="H16" s="62">
        <f>'RF05'!I7</f>
        <v>0</v>
      </c>
      <c r="I16" s="64" t="s">
        <v>52</v>
      </c>
      <c r="J16" s="63"/>
      <c r="K16" s="26"/>
      <c r="L16" s="26"/>
      <c r="M16" s="26"/>
      <c r="N16" s="26"/>
    </row>
    <row r="17" spans="1:14" ht="20.25" customHeight="1" x14ac:dyDescent="0.2">
      <c r="A17" s="66" t="s">
        <v>46</v>
      </c>
      <c r="B17" s="198" t="s">
        <v>315</v>
      </c>
      <c r="C17" s="199"/>
      <c r="D17" s="199"/>
      <c r="E17" s="199"/>
      <c r="F17" s="200"/>
      <c r="G17" s="61" t="s">
        <v>7</v>
      </c>
      <c r="H17" s="62">
        <f>'RF06'!I7</f>
        <v>0.4</v>
      </c>
      <c r="I17" s="64" t="s">
        <v>53</v>
      </c>
      <c r="J17" s="63"/>
      <c r="K17" s="26"/>
      <c r="L17" s="26"/>
      <c r="M17" s="26"/>
      <c r="N17" s="26"/>
    </row>
    <row r="18" spans="1:14" ht="20.25" customHeight="1" x14ac:dyDescent="0.2">
      <c r="A18" s="66" t="s">
        <v>83</v>
      </c>
      <c r="B18" s="198" t="s">
        <v>316</v>
      </c>
      <c r="C18" s="199"/>
      <c r="D18" s="199"/>
      <c r="E18" s="199"/>
      <c r="F18" s="200"/>
      <c r="G18" s="61" t="s">
        <v>7</v>
      </c>
      <c r="H18" s="62">
        <f>'RF07'!I7</f>
        <v>0.4</v>
      </c>
      <c r="I18" s="64" t="s">
        <v>54</v>
      </c>
      <c r="J18" s="63"/>
      <c r="K18" s="26"/>
      <c r="L18" s="26"/>
      <c r="M18" s="26"/>
      <c r="N18" s="26"/>
    </row>
    <row r="19" spans="1:14" ht="20.25" customHeight="1" x14ac:dyDescent="0.2">
      <c r="A19" s="66" t="s">
        <v>84</v>
      </c>
      <c r="B19" s="198" t="s">
        <v>317</v>
      </c>
      <c r="C19" s="199"/>
      <c r="D19" s="199"/>
      <c r="E19" s="199"/>
      <c r="F19" s="200"/>
      <c r="G19" s="61" t="s">
        <v>7</v>
      </c>
      <c r="H19" s="62">
        <f>'RF08'!I7</f>
        <v>1</v>
      </c>
      <c r="I19" s="64" t="s">
        <v>55</v>
      </c>
      <c r="J19" s="63"/>
      <c r="K19" s="26"/>
      <c r="L19" s="26"/>
      <c r="M19" s="26"/>
      <c r="N19" s="26"/>
    </row>
    <row r="20" spans="1:14" ht="20.25" customHeight="1" x14ac:dyDescent="0.2">
      <c r="A20" s="66" t="s">
        <v>85</v>
      </c>
      <c r="B20" s="198" t="s">
        <v>318</v>
      </c>
      <c r="C20" s="199"/>
      <c r="D20" s="199"/>
      <c r="E20" s="199"/>
      <c r="F20" s="200"/>
      <c r="G20" s="61" t="s">
        <v>7</v>
      </c>
      <c r="H20" s="201" t="e">
        <f>'RF09'!I7</f>
        <v>#DIV/0!</v>
      </c>
      <c r="I20" s="64" t="s">
        <v>56</v>
      </c>
      <c r="J20" s="63"/>
      <c r="K20" s="26"/>
      <c r="L20" s="26"/>
      <c r="M20" s="26"/>
      <c r="N20" s="26"/>
    </row>
    <row r="21" spans="1:14" ht="20.25" customHeight="1" x14ac:dyDescent="0.2">
      <c r="A21" s="66" t="s">
        <v>86</v>
      </c>
      <c r="B21" s="198" t="s">
        <v>319</v>
      </c>
      <c r="C21" s="199"/>
      <c r="D21" s="199"/>
      <c r="E21" s="199"/>
      <c r="F21" s="200"/>
      <c r="G21" s="61" t="s">
        <v>7</v>
      </c>
      <c r="H21" s="201" t="e">
        <f>'RF10'!I7</f>
        <v>#DIV/0!</v>
      </c>
      <c r="I21" s="64" t="s">
        <v>57</v>
      </c>
      <c r="J21" s="63"/>
      <c r="K21" s="26"/>
      <c r="L21" s="26"/>
      <c r="M21" s="26"/>
      <c r="N21" s="26"/>
    </row>
    <row r="22" spans="1:14" ht="20.25" customHeight="1" x14ac:dyDescent="0.2">
      <c r="A22" s="66" t="s">
        <v>87</v>
      </c>
      <c r="B22" s="198" t="s">
        <v>320</v>
      </c>
      <c r="C22" s="199"/>
      <c r="D22" s="199"/>
      <c r="E22" s="199"/>
      <c r="F22" s="200"/>
      <c r="G22" s="61" t="s">
        <v>7</v>
      </c>
      <c r="H22" s="201" t="e">
        <f>'RF11'!I7</f>
        <v>#DIV/0!</v>
      </c>
      <c r="I22" s="64" t="s">
        <v>58</v>
      </c>
      <c r="J22" s="63"/>
      <c r="K22" s="26"/>
      <c r="L22" s="26"/>
      <c r="M22" s="26"/>
      <c r="N22" s="26"/>
    </row>
    <row r="23" spans="1:14" ht="20.25" customHeight="1" x14ac:dyDescent="0.2">
      <c r="A23" s="66" t="s">
        <v>88</v>
      </c>
      <c r="B23" s="198" t="s">
        <v>321</v>
      </c>
      <c r="C23" s="199"/>
      <c r="D23" s="199"/>
      <c r="E23" s="199"/>
      <c r="F23" s="200"/>
      <c r="G23" s="61" t="s">
        <v>7</v>
      </c>
      <c r="H23" s="201" t="e">
        <f>'RF12'!I7</f>
        <v>#DIV/0!</v>
      </c>
      <c r="I23" s="64" t="s">
        <v>59</v>
      </c>
      <c r="J23" s="63"/>
      <c r="K23" s="26"/>
      <c r="L23" s="26"/>
      <c r="M23" s="26"/>
      <c r="N23" s="26"/>
    </row>
    <row r="24" spans="1:14" ht="20.25" customHeight="1" x14ac:dyDescent="0.2">
      <c r="A24" s="66" t="s">
        <v>89</v>
      </c>
      <c r="B24" s="198" t="s">
        <v>322</v>
      </c>
      <c r="C24" s="199"/>
      <c r="D24" s="199"/>
      <c r="E24" s="199"/>
      <c r="F24" s="200"/>
      <c r="G24" s="61" t="s">
        <v>7</v>
      </c>
      <c r="H24" s="201" t="e">
        <f>'RF13'!I7</f>
        <v>#DIV/0!</v>
      </c>
      <c r="I24" s="64" t="s">
        <v>60</v>
      </c>
      <c r="J24" s="63"/>
      <c r="K24" s="26"/>
      <c r="L24" s="26"/>
      <c r="M24" s="26"/>
      <c r="N24" s="26"/>
    </row>
    <row r="25" spans="1:14" ht="20.25" customHeight="1" x14ac:dyDescent="0.2">
      <c r="A25" s="66" t="s">
        <v>90</v>
      </c>
      <c r="B25" s="198" t="s">
        <v>323</v>
      </c>
      <c r="C25" s="199"/>
      <c r="D25" s="199"/>
      <c r="E25" s="199"/>
      <c r="F25" s="200"/>
      <c r="G25" s="61" t="s">
        <v>7</v>
      </c>
      <c r="H25" s="201" t="e">
        <f>'RF14'!I7</f>
        <v>#DIV/0!</v>
      </c>
      <c r="I25" s="64" t="s">
        <v>61</v>
      </c>
      <c r="J25" s="63"/>
      <c r="K25" s="26"/>
      <c r="L25" s="26"/>
      <c r="M25" s="26"/>
      <c r="N25" s="26"/>
    </row>
    <row r="26" spans="1:14" ht="20.25" customHeight="1" x14ac:dyDescent="0.2">
      <c r="A26" s="66" t="s">
        <v>91</v>
      </c>
      <c r="B26" s="198" t="s">
        <v>2508</v>
      </c>
      <c r="C26" s="199"/>
      <c r="D26" s="199"/>
      <c r="E26" s="199"/>
      <c r="F26" s="200"/>
      <c r="G26" s="61" t="s">
        <v>6</v>
      </c>
      <c r="H26" s="62" t="s">
        <v>18</v>
      </c>
      <c r="I26" s="64" t="s">
        <v>62</v>
      </c>
      <c r="J26" s="63"/>
      <c r="K26" s="26"/>
      <c r="L26" s="26"/>
      <c r="M26" s="26"/>
      <c r="N26" s="26"/>
    </row>
    <row r="27" spans="1:14" ht="20.25" customHeight="1" x14ac:dyDescent="0.2">
      <c r="A27" s="66" t="s">
        <v>92</v>
      </c>
      <c r="B27" s="198" t="s">
        <v>2509</v>
      </c>
      <c r="C27" s="199"/>
      <c r="D27" s="199"/>
      <c r="E27" s="199"/>
      <c r="F27" s="200"/>
      <c r="G27" s="61" t="s">
        <v>7</v>
      </c>
      <c r="H27" s="201" t="e">
        <f>'RF16'!I7</f>
        <v>#DIV/0!</v>
      </c>
      <c r="I27" s="64" t="s">
        <v>63</v>
      </c>
      <c r="J27" s="63"/>
      <c r="K27" s="26"/>
      <c r="L27" s="26"/>
      <c r="M27" s="26"/>
      <c r="N27" s="26"/>
    </row>
    <row r="28" spans="1:14" ht="20.25" customHeight="1" x14ac:dyDescent="0.2">
      <c r="A28" s="66" t="s">
        <v>93</v>
      </c>
      <c r="B28" s="198" t="s">
        <v>2505</v>
      </c>
      <c r="C28" s="199"/>
      <c r="D28" s="199"/>
      <c r="E28" s="199"/>
      <c r="F28" s="200"/>
      <c r="G28" s="61" t="s">
        <v>6</v>
      </c>
      <c r="H28" s="62" t="s">
        <v>18</v>
      </c>
      <c r="I28" s="64" t="s">
        <v>64</v>
      </c>
      <c r="J28" s="63"/>
      <c r="K28" s="26"/>
    </row>
    <row r="29" spans="1:14" ht="20.25" customHeight="1" x14ac:dyDescent="0.2">
      <c r="A29" s="66" t="s">
        <v>94</v>
      </c>
      <c r="B29" s="198" t="s">
        <v>2510</v>
      </c>
      <c r="C29" s="199"/>
      <c r="D29" s="199"/>
      <c r="E29" s="199"/>
      <c r="F29" s="200"/>
      <c r="G29" s="61" t="s">
        <v>7</v>
      </c>
      <c r="H29" s="201" t="e">
        <f>'RF18'!I7</f>
        <v>#DIV/0!</v>
      </c>
      <c r="I29" s="64" t="s">
        <v>65</v>
      </c>
      <c r="J29" s="63"/>
      <c r="K29" s="26"/>
    </row>
    <row r="30" spans="1:14" ht="20.25" customHeight="1" x14ac:dyDescent="0.2">
      <c r="A30" s="66" t="s">
        <v>95</v>
      </c>
      <c r="B30" s="198" t="s">
        <v>2506</v>
      </c>
      <c r="C30" s="199"/>
      <c r="D30" s="199"/>
      <c r="E30" s="199"/>
      <c r="F30" s="200"/>
      <c r="G30" s="61" t="s">
        <v>6</v>
      </c>
      <c r="H30" s="62" t="s">
        <v>18</v>
      </c>
      <c r="I30" s="64" t="s">
        <v>66</v>
      </c>
      <c r="J30" s="63"/>
      <c r="K30" s="26"/>
    </row>
    <row r="31" spans="1:14" ht="20.25" customHeight="1" x14ac:dyDescent="0.2">
      <c r="A31" s="66" t="s">
        <v>96</v>
      </c>
      <c r="B31" s="198" t="s">
        <v>2511</v>
      </c>
      <c r="C31" s="199"/>
      <c r="D31" s="199"/>
      <c r="E31" s="199"/>
      <c r="F31" s="200"/>
      <c r="G31" s="61" t="s">
        <v>7</v>
      </c>
      <c r="H31" s="201" t="e">
        <f>'RF20'!I7</f>
        <v>#DIV/0!</v>
      </c>
      <c r="I31" s="64" t="s">
        <v>67</v>
      </c>
      <c r="J31" s="63"/>
      <c r="K31" s="26"/>
    </row>
    <row r="32" spans="1:14" ht="20.25" customHeight="1" x14ac:dyDescent="0.2">
      <c r="A32" s="66" t="s">
        <v>97</v>
      </c>
      <c r="B32" s="198" t="s">
        <v>2512</v>
      </c>
      <c r="C32" s="199"/>
      <c r="D32" s="199"/>
      <c r="E32" s="199"/>
      <c r="F32" s="200"/>
      <c r="G32" s="61" t="s">
        <v>7</v>
      </c>
      <c r="H32" s="201" t="e">
        <f>'RF21'!I7</f>
        <v>#DIV/0!</v>
      </c>
      <c r="I32" s="64" t="s">
        <v>68</v>
      </c>
      <c r="J32" s="63"/>
      <c r="K32" s="26"/>
    </row>
    <row r="33" spans="1:11" ht="20.25" customHeight="1" x14ac:dyDescent="0.2">
      <c r="A33" s="66" t="s">
        <v>98</v>
      </c>
      <c r="B33" s="198" t="s">
        <v>2507</v>
      </c>
      <c r="C33" s="199"/>
      <c r="D33" s="199"/>
      <c r="E33" s="199"/>
      <c r="F33" s="200"/>
      <c r="G33" s="61" t="s">
        <v>7</v>
      </c>
      <c r="H33" s="62"/>
      <c r="I33" s="64" t="s">
        <v>69</v>
      </c>
      <c r="J33" s="63"/>
      <c r="K33" s="26"/>
    </row>
    <row r="34" spans="1:11" ht="20.25" customHeight="1" x14ac:dyDescent="0.2">
      <c r="A34" s="66" t="s">
        <v>99</v>
      </c>
      <c r="B34" s="198" t="s">
        <v>2513</v>
      </c>
      <c r="C34" s="199"/>
      <c r="D34" s="199"/>
      <c r="E34" s="199"/>
      <c r="F34" s="200"/>
      <c r="G34" s="61" t="s">
        <v>7</v>
      </c>
      <c r="H34" s="201" t="e">
        <f>'RF23'!I7</f>
        <v>#DIV/0!</v>
      </c>
      <c r="I34" s="64" t="s">
        <v>70</v>
      </c>
      <c r="J34" s="63"/>
      <c r="K34" s="26"/>
    </row>
    <row r="35" spans="1:11" ht="20.25" customHeight="1" x14ac:dyDescent="0.2">
      <c r="A35" s="66" t="s">
        <v>31</v>
      </c>
      <c r="B35" s="198" t="s">
        <v>2514</v>
      </c>
      <c r="C35" s="199"/>
      <c r="D35" s="199"/>
      <c r="E35" s="199"/>
      <c r="F35" s="200"/>
      <c r="G35" s="61" t="s">
        <v>7</v>
      </c>
      <c r="H35" s="201" t="e">
        <f>'RF24'!I7</f>
        <v>#DIV/0!</v>
      </c>
      <c r="I35" s="64" t="s">
        <v>71</v>
      </c>
      <c r="J35" s="63"/>
      <c r="K35" s="26"/>
    </row>
    <row r="36" spans="1:11" ht="20.25" customHeight="1" x14ac:dyDescent="0.2">
      <c r="A36" s="66" t="s">
        <v>100</v>
      </c>
      <c r="B36" s="198" t="s">
        <v>2515</v>
      </c>
      <c r="C36" s="199"/>
      <c r="D36" s="199"/>
      <c r="E36" s="199"/>
      <c r="F36" s="200"/>
      <c r="G36" s="61" t="s">
        <v>7</v>
      </c>
      <c r="H36" s="201" t="e">
        <f>'RF25'!I7</f>
        <v>#DIV/0!</v>
      </c>
      <c r="I36" s="64" t="s">
        <v>72</v>
      </c>
      <c r="J36" s="63"/>
      <c r="K36" s="26"/>
    </row>
    <row r="37" spans="1:11" ht="20.25" customHeight="1" x14ac:dyDescent="0.2">
      <c r="A37" s="66" t="s">
        <v>101</v>
      </c>
      <c r="B37" s="198" t="s">
        <v>2516</v>
      </c>
      <c r="C37" s="199"/>
      <c r="D37" s="199"/>
      <c r="E37" s="199"/>
      <c r="F37" s="200"/>
      <c r="G37" s="61" t="s">
        <v>6</v>
      </c>
      <c r="H37" s="62" t="s">
        <v>18</v>
      </c>
      <c r="I37" s="64" t="s">
        <v>73</v>
      </c>
      <c r="J37" s="63"/>
      <c r="K37" s="26"/>
    </row>
    <row r="38" spans="1:11" ht="20.25" customHeight="1" x14ac:dyDescent="0.2">
      <c r="A38" s="66" t="s">
        <v>102</v>
      </c>
      <c r="B38" s="198" t="s">
        <v>2501</v>
      </c>
      <c r="C38" s="199"/>
      <c r="D38" s="199"/>
      <c r="E38" s="199"/>
      <c r="F38" s="200"/>
      <c r="G38" s="61" t="s">
        <v>7</v>
      </c>
      <c r="H38" s="201" t="e">
        <f>'RF27'!I7</f>
        <v>#DIV/0!</v>
      </c>
      <c r="I38" s="64" t="s">
        <v>74</v>
      </c>
      <c r="J38" s="63"/>
      <c r="K38" s="26"/>
    </row>
    <row r="39" spans="1:11" ht="20.25" customHeight="1" x14ac:dyDescent="0.2">
      <c r="A39" s="66" t="s">
        <v>103</v>
      </c>
      <c r="B39" s="198" t="s">
        <v>2502</v>
      </c>
      <c r="C39" s="199"/>
      <c r="D39" s="199"/>
      <c r="E39" s="199"/>
      <c r="F39" s="200"/>
      <c r="G39" s="61" t="s">
        <v>7</v>
      </c>
      <c r="H39" s="201" t="e">
        <f>'RF28'!I7</f>
        <v>#DIV/0!</v>
      </c>
      <c r="I39" s="64" t="s">
        <v>75</v>
      </c>
      <c r="J39" s="63"/>
      <c r="K39" s="26"/>
    </row>
    <row r="40" spans="1:11" ht="20.25" customHeight="1" x14ac:dyDescent="0.2">
      <c r="A40" s="66" t="s">
        <v>104</v>
      </c>
      <c r="B40" s="198" t="s">
        <v>2503</v>
      </c>
      <c r="C40" s="199"/>
      <c r="D40" s="199"/>
      <c r="E40" s="199"/>
      <c r="F40" s="200"/>
      <c r="G40" s="61" t="s">
        <v>7</v>
      </c>
      <c r="H40" s="201" t="e">
        <f>'RF29'!I7</f>
        <v>#DIV/0!</v>
      </c>
      <c r="I40" s="64" t="s">
        <v>76</v>
      </c>
      <c r="J40" s="63"/>
      <c r="K40" s="26"/>
    </row>
    <row r="41" spans="1:11" ht="20.25" customHeight="1" x14ac:dyDescent="0.2">
      <c r="A41" s="66" t="s">
        <v>47</v>
      </c>
      <c r="B41" s="198" t="s">
        <v>2504</v>
      </c>
      <c r="C41" s="199"/>
      <c r="D41" s="199"/>
      <c r="E41" s="199"/>
      <c r="F41" s="200"/>
      <c r="G41" s="61" t="s">
        <v>7</v>
      </c>
      <c r="H41" s="62"/>
      <c r="I41" s="64" t="s">
        <v>77</v>
      </c>
      <c r="J41" s="63"/>
      <c r="K41" s="26"/>
    </row>
    <row r="42" spans="1:11" x14ac:dyDescent="0.2">
      <c r="B42" s="18"/>
      <c r="C42" s="18"/>
      <c r="D42" s="18"/>
      <c r="E42" s="18"/>
      <c r="F42" s="18"/>
    </row>
    <row r="43" spans="1:11" ht="20.25" customHeight="1" x14ac:dyDescent="0.2">
      <c r="A43" s="21"/>
      <c r="B43" s="122" t="s">
        <v>574</v>
      </c>
      <c r="C43" s="122"/>
      <c r="D43" s="122"/>
      <c r="E43" s="122"/>
      <c r="F43" s="122"/>
      <c r="G43" s="67">
        <f>COUNTIF(G12:G41,"SÍ")</f>
        <v>26</v>
      </c>
      <c r="H43" s="59"/>
    </row>
    <row r="44" spans="1:11" ht="20.25" customHeight="1" x14ac:dyDescent="0.2">
      <c r="B44" s="120" t="s">
        <v>575</v>
      </c>
      <c r="C44" s="120"/>
      <c r="D44" s="120"/>
      <c r="E44" s="120"/>
      <c r="F44" s="121"/>
      <c r="G44" s="68">
        <f>COUNTIF(G12:G41,"NO")</f>
        <v>4</v>
      </c>
    </row>
    <row r="45" spans="1:11" x14ac:dyDescent="0.2">
      <c r="G45" s="60"/>
    </row>
  </sheetData>
  <autoFilter ref="A11:J40" xr:uid="{E4C77D03-FD84-4D1A-8383-E407493B793F}">
    <filterColumn colId="0" showButton="0"/>
    <filterColumn colId="1" showButton="0"/>
    <filterColumn colId="2" showButton="0"/>
    <filterColumn colId="3" showButton="0"/>
    <filterColumn colId="4" showButton="0"/>
  </autoFilter>
  <mergeCells count="16">
    <mergeCell ref="F9:I9"/>
    <mergeCell ref="J5:J9"/>
    <mergeCell ref="B44:F44"/>
    <mergeCell ref="B43:F43"/>
    <mergeCell ref="B5:D6"/>
    <mergeCell ref="E5:E6"/>
    <mergeCell ref="B2:J2"/>
    <mergeCell ref="B7:D7"/>
    <mergeCell ref="B8:D8"/>
    <mergeCell ref="B9:D9"/>
    <mergeCell ref="B4:D4"/>
    <mergeCell ref="A11:F11"/>
    <mergeCell ref="F4:I4"/>
    <mergeCell ref="F5:I6"/>
    <mergeCell ref="F7:I7"/>
    <mergeCell ref="F8:I8"/>
  </mergeCells>
  <phoneticPr fontId="10" type="noConversion"/>
  <conditionalFormatting sqref="G12:G41">
    <cfRule type="containsText" dxfId="393" priority="8" operator="containsText" text="NO">
      <formula>NOT(ISERROR(SEARCH("NO",G12)))</formula>
    </cfRule>
    <cfRule type="containsText" dxfId="392" priority="11" operator="containsText" text="SÍ">
      <formula>NOT(ISERROR(SEARCH("SÍ",G12)))</formula>
    </cfRule>
  </conditionalFormatting>
  <conditionalFormatting sqref="H12:H41">
    <cfRule type="containsText" dxfId="391" priority="2" operator="containsText" text="NO APLICA">
      <formula>NOT(ISERROR(SEARCH("NO APLICA",H12)))</formula>
    </cfRule>
    <cfRule type="cellIs" dxfId="390" priority="9" operator="lessThan">
      <formula>1</formula>
    </cfRule>
    <cfRule type="cellIs" dxfId="389" priority="10" operator="equal">
      <formula>100%</formula>
    </cfRule>
  </conditionalFormatting>
  <conditionalFormatting sqref="J5:J9">
    <cfRule type="containsText" dxfId="388" priority="1" operator="containsText" text="NO APLICA">
      <formula>NOT(ISERROR(SEARCH("NO APLICA",J5)))</formula>
    </cfRule>
  </conditionalFormatting>
  <dataValidations count="1">
    <dataValidation type="list" allowBlank="1" showInputMessage="1" showErrorMessage="1" sqref="G12:G41" xr:uid="{6B665452-3BE6-47A5-B61F-072B136B647F}">
      <formula1>APLICA</formula1>
    </dataValidation>
  </dataValidations>
  <hyperlinks>
    <hyperlink ref="I16" location="'RF05'!A1" display="IR AL RF05" xr:uid="{0366F6D1-DF85-2C42-B16B-777B316F542B}"/>
    <hyperlink ref="I17" location="'RF06'!A1" display="IR AL RF06" xr:uid="{213B923D-1C4D-024C-9C9E-3BA015895232}"/>
    <hyperlink ref="I21" location="'RF10'!A1" display="IR AL RF10" xr:uid="{3CABF65D-2835-7640-A12F-BBDE5403E67A}"/>
    <hyperlink ref="I31" location="'RF20'!A1" display="IR AL RF20" xr:uid="{0099B305-0D44-F74E-B065-CECD0E3C7A22}"/>
    <hyperlink ref="I33" location="'RF22'!A1" display="IR AL RF22" xr:uid="{B18AE66E-49D2-BE4E-BB2F-9B41469E920F}"/>
    <hyperlink ref="I35" location="'RF24'!A1" display="IR AL RF24" xr:uid="{38931A8F-D0C3-0642-92DF-DD3B4B0931D3}"/>
    <hyperlink ref="I36" location="'RF25'!A1" display="IR AL RF25" xr:uid="{02C6BC60-E29A-2342-A3A0-6D51ED86AD5A}"/>
    <hyperlink ref="I38" location="'RF27'!A1" display="IR AL RF27" xr:uid="{C9988C11-4D06-1E42-9D1F-3D848A576306}"/>
    <hyperlink ref="I40" location="'RF29'!A1" display="IR AL RF29" xr:uid="{EB7D22BC-4FFE-6C47-8195-1307317A1F8B}"/>
  </hyperlinks>
  <printOptions horizontalCentered="1"/>
  <pageMargins left="0.51181102362204722" right="0.51181102362204722" top="0.74803149606299213" bottom="0.74803149606299213" header="0.31496062992125984" footer="0.31496062992125984"/>
  <pageSetup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8D62-4965-4F56-B9D5-D8C0EF811370}">
  <dimension ref="C3:L17"/>
  <sheetViews>
    <sheetView workbookViewId="0">
      <selection activeCell="E25" sqref="E25"/>
    </sheetView>
  </sheetViews>
  <sheetFormatPr baseColWidth="10" defaultColWidth="10.6640625" defaultRowHeight="15" x14ac:dyDescent="0.2"/>
  <cols>
    <col min="1" max="2" width="3.5" style="9" customWidth="1"/>
    <col min="3" max="3" width="19.5" style="9" customWidth="1"/>
    <col min="4" max="4" width="3.5" style="9" customWidth="1"/>
    <col min="5" max="16384" width="10.6640625" style="9"/>
  </cols>
  <sheetData>
    <row r="3" spans="3:12" ht="30.75" customHeight="1" x14ac:dyDescent="0.2">
      <c r="C3" s="44" t="s">
        <v>8</v>
      </c>
      <c r="D3" s="26"/>
      <c r="E3" s="44" t="s">
        <v>9</v>
      </c>
    </row>
    <row r="4" spans="3:12" x14ac:dyDescent="0.2">
      <c r="C4" s="42" t="s">
        <v>10</v>
      </c>
      <c r="E4" s="43" t="s">
        <v>7</v>
      </c>
      <c r="L4" s="10"/>
    </row>
    <row r="5" spans="3:12" x14ac:dyDescent="0.2">
      <c r="C5" s="42">
        <v>0</v>
      </c>
      <c r="E5" s="43" t="s">
        <v>6</v>
      </c>
      <c r="L5" s="10"/>
    </row>
    <row r="6" spans="3:12" x14ac:dyDescent="0.2">
      <c r="C6" s="42">
        <v>0.1</v>
      </c>
      <c r="L6" s="10"/>
    </row>
    <row r="7" spans="3:12" x14ac:dyDescent="0.2">
      <c r="C7" s="42">
        <v>0.2</v>
      </c>
    </row>
    <row r="8" spans="3:12" x14ac:dyDescent="0.2">
      <c r="C8" s="42">
        <v>0.3</v>
      </c>
    </row>
    <row r="9" spans="3:12" x14ac:dyDescent="0.2">
      <c r="C9" s="42">
        <v>0.4</v>
      </c>
    </row>
    <row r="10" spans="3:12" x14ac:dyDescent="0.2">
      <c r="C10" s="42">
        <v>0.5</v>
      </c>
    </row>
    <row r="11" spans="3:12" x14ac:dyDescent="0.2">
      <c r="C11" s="42">
        <v>0.6</v>
      </c>
    </row>
    <row r="12" spans="3:12" x14ac:dyDescent="0.2">
      <c r="C12" s="42">
        <v>0.7</v>
      </c>
    </row>
    <row r="13" spans="3:12" x14ac:dyDescent="0.2">
      <c r="C13" s="42">
        <v>0.8</v>
      </c>
    </row>
    <row r="14" spans="3:12" x14ac:dyDescent="0.2">
      <c r="C14" s="42">
        <v>0.9</v>
      </c>
    </row>
    <row r="15" spans="3:12" x14ac:dyDescent="0.2">
      <c r="C15" s="42">
        <v>1</v>
      </c>
    </row>
    <row r="16" spans="3:12" x14ac:dyDescent="0.2">
      <c r="C16" s="48"/>
    </row>
    <row r="17" spans="3:3" x14ac:dyDescent="0.2">
      <c r="C17" s="48"/>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DD03F-BA3F-1F46-878E-224C3DBAFA4E}">
  <sheetPr>
    <tabColor rgb="FF0098AA"/>
  </sheetPr>
  <dimension ref="A1:M266"/>
  <sheetViews>
    <sheetView showGridLines="0" zoomScale="70" zoomScaleNormal="70" workbookViewId="0">
      <selection activeCell="I15" sqref="I15"/>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57" t="s">
        <v>311</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 customHeight="1" x14ac:dyDescent="0.2">
      <c r="B7" s="160"/>
      <c r="C7" s="160"/>
      <c r="D7" s="160"/>
      <c r="E7" s="160"/>
      <c r="F7" s="160"/>
      <c r="G7" s="160"/>
      <c r="H7" s="160"/>
      <c r="I7" s="163">
        <f>AVERAGEIF(I14:I67,"&lt;&gt;N/A")</f>
        <v>0.9</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108" customHeight="1" x14ac:dyDescent="0.2">
      <c r="B10" s="40" t="s">
        <v>13</v>
      </c>
      <c r="C10" s="147" t="s">
        <v>128</v>
      </c>
      <c r="D10" s="148"/>
      <c r="E10" s="148"/>
      <c r="F10" s="148"/>
      <c r="G10" s="148"/>
      <c r="H10" s="148"/>
      <c r="I10" s="148"/>
      <c r="J10" s="149"/>
    </row>
    <row r="11" spans="2:12" ht="55" customHeight="1" x14ac:dyDescent="0.2">
      <c r="B11" s="39" t="s">
        <v>14</v>
      </c>
      <c r="C11" s="150" t="s">
        <v>129</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54" customHeight="1" x14ac:dyDescent="0.2">
      <c r="B14" s="151" t="s">
        <v>78</v>
      </c>
      <c r="C14" s="151" t="s">
        <v>19</v>
      </c>
      <c r="D14" s="153" t="s">
        <v>195</v>
      </c>
      <c r="E14" s="153" t="s">
        <v>196</v>
      </c>
      <c r="F14" s="22" t="s">
        <v>199</v>
      </c>
      <c r="G14" s="12" t="s">
        <v>43</v>
      </c>
      <c r="H14" s="34" t="s">
        <v>197</v>
      </c>
      <c r="I14" s="28">
        <v>0.9</v>
      </c>
      <c r="J14" s="11"/>
      <c r="K14" s="33"/>
      <c r="L14" s="29"/>
    </row>
    <row r="15" spans="2:12" ht="54" customHeight="1" x14ac:dyDescent="0.2">
      <c r="B15" s="152"/>
      <c r="C15" s="152"/>
      <c r="D15" s="154"/>
      <c r="E15" s="154"/>
      <c r="F15" s="22" t="s">
        <v>200</v>
      </c>
      <c r="G15" s="12" t="s">
        <v>35</v>
      </c>
      <c r="H15" s="34" t="s">
        <v>198</v>
      </c>
      <c r="I15" s="28" t="s">
        <v>10</v>
      </c>
      <c r="J15" s="11"/>
      <c r="K15" s="33"/>
      <c r="L15" s="29"/>
    </row>
    <row r="16" spans="2:12" ht="54" customHeight="1" x14ac:dyDescent="0.2">
      <c r="B16" s="152"/>
      <c r="C16" s="152"/>
      <c r="D16" s="154"/>
      <c r="E16" s="154"/>
      <c r="F16" s="22" t="s">
        <v>201</v>
      </c>
      <c r="G16" s="12" t="s">
        <v>36</v>
      </c>
      <c r="H16" s="34" t="s">
        <v>202</v>
      </c>
      <c r="I16" s="28" t="s">
        <v>10</v>
      </c>
      <c r="J16" s="11"/>
      <c r="K16" s="33"/>
      <c r="L16" s="29"/>
    </row>
    <row r="17" spans="2:12" ht="54" customHeight="1" x14ac:dyDescent="0.2">
      <c r="B17" s="143" t="s">
        <v>78</v>
      </c>
      <c r="C17" s="143" t="s">
        <v>20</v>
      </c>
      <c r="D17" s="145" t="s">
        <v>203</v>
      </c>
      <c r="E17" s="145" t="s">
        <v>204</v>
      </c>
      <c r="F17" s="23" t="s">
        <v>205</v>
      </c>
      <c r="G17" s="41" t="s">
        <v>36</v>
      </c>
      <c r="H17" s="35" t="s">
        <v>206</v>
      </c>
      <c r="I17" s="28" t="s">
        <v>10</v>
      </c>
      <c r="J17" s="36"/>
      <c r="K17" s="37"/>
      <c r="L17" s="38"/>
    </row>
    <row r="18" spans="2:12" ht="54" customHeight="1" x14ac:dyDescent="0.2">
      <c r="B18" s="144"/>
      <c r="C18" s="144"/>
      <c r="D18" s="146"/>
      <c r="E18" s="146"/>
      <c r="F18" s="23" t="s">
        <v>207</v>
      </c>
      <c r="G18" s="41" t="s">
        <v>43</v>
      </c>
      <c r="H18" s="35" t="s">
        <v>208</v>
      </c>
      <c r="I18" s="28" t="s">
        <v>10</v>
      </c>
      <c r="J18" s="36"/>
      <c r="K18" s="37"/>
      <c r="L18" s="38"/>
    </row>
    <row r="19" spans="2:12" ht="54" customHeight="1" x14ac:dyDescent="0.2">
      <c r="B19" s="144"/>
      <c r="C19" s="144"/>
      <c r="D19" s="146"/>
      <c r="E19" s="146"/>
      <c r="F19" s="23" t="s">
        <v>209</v>
      </c>
      <c r="G19" s="41" t="s">
        <v>35</v>
      </c>
      <c r="H19" s="35" t="s">
        <v>210</v>
      </c>
      <c r="I19" s="28" t="s">
        <v>10</v>
      </c>
      <c r="J19" s="36"/>
      <c r="K19" s="37"/>
      <c r="L19" s="38"/>
    </row>
    <row r="20" spans="2:12" ht="54" customHeight="1" x14ac:dyDescent="0.2">
      <c r="B20" s="151" t="s">
        <v>78</v>
      </c>
      <c r="C20" s="151" t="s">
        <v>21</v>
      </c>
      <c r="D20" s="153" t="s">
        <v>211</v>
      </c>
      <c r="E20" s="153" t="s">
        <v>212</v>
      </c>
      <c r="F20" s="22" t="s">
        <v>216</v>
      </c>
      <c r="G20" s="12" t="s">
        <v>130</v>
      </c>
      <c r="H20" s="34" t="s">
        <v>213</v>
      </c>
      <c r="I20" s="28" t="s">
        <v>10</v>
      </c>
      <c r="J20" s="11"/>
      <c r="K20" s="33"/>
      <c r="L20" s="29"/>
    </row>
    <row r="21" spans="2:12" ht="54" customHeight="1" x14ac:dyDescent="0.2">
      <c r="B21" s="152"/>
      <c r="C21" s="152"/>
      <c r="D21" s="154"/>
      <c r="E21" s="154"/>
      <c r="F21" s="22" t="s">
        <v>217</v>
      </c>
      <c r="G21" s="12" t="s">
        <v>43</v>
      </c>
      <c r="H21" s="34" t="s">
        <v>214</v>
      </c>
      <c r="I21" s="28" t="s">
        <v>10</v>
      </c>
      <c r="J21" s="11"/>
      <c r="K21" s="33"/>
      <c r="L21" s="29"/>
    </row>
    <row r="22" spans="2:12" ht="54" customHeight="1" x14ac:dyDescent="0.2">
      <c r="B22" s="152"/>
      <c r="C22" s="152"/>
      <c r="D22" s="154"/>
      <c r="E22" s="154"/>
      <c r="F22" s="22" t="s">
        <v>218</v>
      </c>
      <c r="G22" s="12" t="s">
        <v>43</v>
      </c>
      <c r="H22" s="34" t="s">
        <v>215</v>
      </c>
      <c r="I22" s="28" t="s">
        <v>10</v>
      </c>
      <c r="J22" s="11"/>
      <c r="K22" s="33"/>
      <c r="L22" s="29"/>
    </row>
    <row r="23" spans="2:12" ht="54" customHeight="1" x14ac:dyDescent="0.2">
      <c r="B23" s="143" t="s">
        <v>78</v>
      </c>
      <c r="C23" s="143" t="s">
        <v>22</v>
      </c>
      <c r="D23" s="145" t="s">
        <v>219</v>
      </c>
      <c r="E23" s="145" t="s">
        <v>220</v>
      </c>
      <c r="F23" s="23" t="s">
        <v>221</v>
      </c>
      <c r="G23" s="41" t="s">
        <v>36</v>
      </c>
      <c r="H23" s="35" t="s">
        <v>229</v>
      </c>
      <c r="I23" s="28" t="s">
        <v>10</v>
      </c>
      <c r="J23" s="36"/>
      <c r="K23" s="37"/>
      <c r="L23" s="38"/>
    </row>
    <row r="24" spans="2:12" ht="54" customHeight="1" x14ac:dyDescent="0.2">
      <c r="B24" s="144"/>
      <c r="C24" s="144"/>
      <c r="D24" s="146"/>
      <c r="E24" s="146"/>
      <c r="F24" s="23" t="s">
        <v>222</v>
      </c>
      <c r="G24" s="41" t="s">
        <v>110</v>
      </c>
      <c r="H24" s="35" t="s">
        <v>230</v>
      </c>
      <c r="I24" s="28" t="s">
        <v>10</v>
      </c>
      <c r="J24" s="36"/>
      <c r="K24" s="37"/>
      <c r="L24" s="38"/>
    </row>
    <row r="25" spans="2:12" ht="54" customHeight="1" x14ac:dyDescent="0.2">
      <c r="B25" s="144"/>
      <c r="C25" s="144"/>
      <c r="D25" s="146"/>
      <c r="E25" s="146"/>
      <c r="F25" s="23" t="s">
        <v>223</v>
      </c>
      <c r="G25" s="41" t="s">
        <v>110</v>
      </c>
      <c r="H25" s="35" t="s">
        <v>231</v>
      </c>
      <c r="I25" s="28" t="s">
        <v>10</v>
      </c>
      <c r="J25" s="36"/>
      <c r="K25" s="37"/>
      <c r="L25" s="38"/>
    </row>
    <row r="26" spans="2:12" ht="54" customHeight="1" x14ac:dyDescent="0.2">
      <c r="B26" s="144"/>
      <c r="C26" s="144"/>
      <c r="D26" s="146"/>
      <c r="E26" s="146"/>
      <c r="F26" s="23" t="s">
        <v>224</v>
      </c>
      <c r="G26" s="41" t="s">
        <v>110</v>
      </c>
      <c r="H26" s="35" t="s">
        <v>232</v>
      </c>
      <c r="I26" s="28" t="s">
        <v>10</v>
      </c>
      <c r="J26" s="36"/>
      <c r="K26" s="37"/>
      <c r="L26" s="38"/>
    </row>
    <row r="27" spans="2:12" ht="54" customHeight="1" x14ac:dyDescent="0.2">
      <c r="B27" s="144"/>
      <c r="C27" s="144"/>
      <c r="D27" s="146"/>
      <c r="E27" s="146"/>
      <c r="F27" s="23" t="s">
        <v>225</v>
      </c>
      <c r="G27" s="41" t="s">
        <v>110</v>
      </c>
      <c r="H27" s="35" t="s">
        <v>233</v>
      </c>
      <c r="I27" s="28" t="s">
        <v>10</v>
      </c>
      <c r="J27" s="36"/>
      <c r="K27" s="37"/>
      <c r="L27" s="38"/>
    </row>
    <row r="28" spans="2:12" ht="54" customHeight="1" x14ac:dyDescent="0.2">
      <c r="B28" s="144"/>
      <c r="C28" s="144"/>
      <c r="D28" s="146"/>
      <c r="E28" s="146"/>
      <c r="F28" s="23" t="s">
        <v>226</v>
      </c>
      <c r="G28" s="41" t="s">
        <v>110</v>
      </c>
      <c r="H28" s="35" t="s">
        <v>234</v>
      </c>
      <c r="I28" s="28" t="s">
        <v>10</v>
      </c>
      <c r="J28" s="36"/>
      <c r="K28" s="37"/>
      <c r="L28" s="38"/>
    </row>
    <row r="29" spans="2:12" ht="54" customHeight="1" x14ac:dyDescent="0.2">
      <c r="B29" s="144"/>
      <c r="C29" s="144"/>
      <c r="D29" s="146"/>
      <c r="E29" s="146"/>
      <c r="F29" s="23" t="s">
        <v>227</v>
      </c>
      <c r="G29" s="41" t="s">
        <v>110</v>
      </c>
      <c r="H29" s="35" t="s">
        <v>235</v>
      </c>
      <c r="I29" s="28" t="s">
        <v>10</v>
      </c>
      <c r="J29" s="36"/>
      <c r="K29" s="37"/>
      <c r="L29" s="38"/>
    </row>
    <row r="30" spans="2:12" ht="54" customHeight="1" x14ac:dyDescent="0.2">
      <c r="B30" s="144"/>
      <c r="C30" s="144"/>
      <c r="D30" s="146"/>
      <c r="E30" s="146"/>
      <c r="F30" s="23" t="s">
        <v>228</v>
      </c>
      <c r="G30" s="41" t="s">
        <v>36</v>
      </c>
      <c r="H30" s="35" t="s">
        <v>236</v>
      </c>
      <c r="I30" s="28" t="s">
        <v>10</v>
      </c>
      <c r="J30" s="36"/>
      <c r="K30" s="37"/>
      <c r="L30" s="38"/>
    </row>
    <row r="31" spans="2:12" ht="54" customHeight="1" x14ac:dyDescent="0.2">
      <c r="B31" s="151" t="s">
        <v>78</v>
      </c>
      <c r="C31" s="151" t="s">
        <v>23</v>
      </c>
      <c r="D31" s="167" t="s">
        <v>237</v>
      </c>
      <c r="E31" s="167" t="s">
        <v>238</v>
      </c>
      <c r="F31" s="22" t="s">
        <v>240</v>
      </c>
      <c r="G31" s="12" t="s">
        <v>36</v>
      </c>
      <c r="H31" s="34" t="s">
        <v>243</v>
      </c>
      <c r="I31" s="28" t="s">
        <v>10</v>
      </c>
      <c r="J31" s="11"/>
      <c r="K31" s="33"/>
      <c r="L31" s="29"/>
    </row>
    <row r="32" spans="2:12" ht="54" customHeight="1" x14ac:dyDescent="0.2">
      <c r="B32" s="152"/>
      <c r="C32" s="152"/>
      <c r="D32" s="168"/>
      <c r="E32" s="168"/>
      <c r="F32" s="22" t="s">
        <v>241</v>
      </c>
      <c r="G32" s="12" t="s">
        <v>43</v>
      </c>
      <c r="H32" s="34" t="s">
        <v>244</v>
      </c>
      <c r="I32" s="28" t="s">
        <v>10</v>
      </c>
      <c r="J32" s="11"/>
      <c r="K32" s="33"/>
      <c r="L32" s="29"/>
    </row>
    <row r="33" spans="2:12" ht="54" customHeight="1" x14ac:dyDescent="0.2">
      <c r="B33" s="152"/>
      <c r="C33" s="152"/>
      <c r="D33" s="168"/>
      <c r="E33" s="168"/>
      <c r="F33" s="22" t="s">
        <v>242</v>
      </c>
      <c r="G33" s="12" t="s">
        <v>239</v>
      </c>
      <c r="H33" s="34" t="s">
        <v>245</v>
      </c>
      <c r="I33" s="28" t="s">
        <v>10</v>
      </c>
      <c r="J33" s="11"/>
      <c r="K33" s="33"/>
      <c r="L33" s="29"/>
    </row>
    <row r="34" spans="2:12" ht="54" customHeight="1" x14ac:dyDescent="0.2">
      <c r="B34" s="165" t="s">
        <v>78</v>
      </c>
      <c r="C34" s="135" t="s">
        <v>24</v>
      </c>
      <c r="D34" s="166" t="s">
        <v>246</v>
      </c>
      <c r="E34" s="166" t="s">
        <v>247</v>
      </c>
      <c r="F34" s="74" t="s">
        <v>248</v>
      </c>
      <c r="G34" s="41" t="s">
        <v>36</v>
      </c>
      <c r="H34" s="35" t="s">
        <v>253</v>
      </c>
      <c r="I34" s="28" t="s">
        <v>10</v>
      </c>
      <c r="J34" s="36"/>
      <c r="K34" s="37"/>
      <c r="L34" s="38"/>
    </row>
    <row r="35" spans="2:12" ht="54" customHeight="1" x14ac:dyDescent="0.2">
      <c r="B35" s="165"/>
      <c r="C35" s="137"/>
      <c r="D35" s="166"/>
      <c r="E35" s="166"/>
      <c r="F35" s="74" t="s">
        <v>249</v>
      </c>
      <c r="G35" s="41" t="s">
        <v>36</v>
      </c>
      <c r="H35" s="35" t="s">
        <v>254</v>
      </c>
      <c r="I35" s="28" t="s">
        <v>10</v>
      </c>
      <c r="J35" s="36"/>
      <c r="K35" s="37"/>
      <c r="L35" s="38"/>
    </row>
    <row r="36" spans="2:12" ht="54" customHeight="1" x14ac:dyDescent="0.2">
      <c r="B36" s="165"/>
      <c r="C36" s="137"/>
      <c r="D36" s="166"/>
      <c r="E36" s="166"/>
      <c r="F36" s="74" t="s">
        <v>250</v>
      </c>
      <c r="G36" s="41" t="s">
        <v>36</v>
      </c>
      <c r="H36" s="35" t="s">
        <v>255</v>
      </c>
      <c r="I36" s="28" t="s">
        <v>10</v>
      </c>
      <c r="J36" s="36"/>
      <c r="K36" s="37"/>
      <c r="L36" s="38"/>
    </row>
    <row r="37" spans="2:12" ht="54" customHeight="1" x14ac:dyDescent="0.2">
      <c r="B37" s="165"/>
      <c r="C37" s="137"/>
      <c r="D37" s="166"/>
      <c r="E37" s="166"/>
      <c r="F37" s="74" t="s">
        <v>251</v>
      </c>
      <c r="G37" s="41" t="s">
        <v>36</v>
      </c>
      <c r="H37" s="35" t="s">
        <v>256</v>
      </c>
      <c r="I37" s="28" t="s">
        <v>10</v>
      </c>
      <c r="J37" s="36"/>
      <c r="K37" s="37"/>
      <c r="L37" s="38"/>
    </row>
    <row r="38" spans="2:12" ht="54" customHeight="1" x14ac:dyDescent="0.2">
      <c r="B38" s="165"/>
      <c r="C38" s="137"/>
      <c r="D38" s="166"/>
      <c r="E38" s="166"/>
      <c r="F38" s="74" t="s">
        <v>252</v>
      </c>
      <c r="G38" s="41" t="s">
        <v>43</v>
      </c>
      <c r="H38" s="35" t="s">
        <v>257</v>
      </c>
      <c r="I38" s="28" t="s">
        <v>10</v>
      </c>
      <c r="J38" s="36"/>
      <c r="K38" s="37"/>
      <c r="L38" s="38"/>
    </row>
    <row r="39" spans="2:12" ht="5.25" customHeight="1" x14ac:dyDescent="0.2"/>
    <row r="40" spans="2:12" ht="31" customHeight="1" x14ac:dyDescent="0.2">
      <c r="B40" s="69" t="s">
        <v>34</v>
      </c>
      <c r="C40" s="69" t="s">
        <v>258</v>
      </c>
      <c r="D40" s="69" t="s">
        <v>259</v>
      </c>
      <c r="E40" s="169" t="s">
        <v>32</v>
      </c>
      <c r="F40" s="170"/>
      <c r="G40" s="169" t="s">
        <v>16</v>
      </c>
      <c r="H40" s="170"/>
      <c r="I40" s="71" t="s">
        <v>8</v>
      </c>
      <c r="J40" s="69" t="s">
        <v>17</v>
      </c>
      <c r="K40" s="72" t="s">
        <v>44</v>
      </c>
      <c r="L40" s="69" t="s">
        <v>45</v>
      </c>
    </row>
    <row r="41" spans="2:12" ht="54" customHeight="1" x14ac:dyDescent="0.2">
      <c r="B41" s="151" t="s">
        <v>78</v>
      </c>
      <c r="C41" s="151" t="s">
        <v>260</v>
      </c>
      <c r="D41" s="153" t="s">
        <v>269</v>
      </c>
      <c r="E41" s="129" t="s">
        <v>270</v>
      </c>
      <c r="F41" s="130"/>
      <c r="G41" s="127" t="s">
        <v>273</v>
      </c>
      <c r="H41" s="128"/>
      <c r="I41" s="28" t="s">
        <v>10</v>
      </c>
      <c r="J41" s="11"/>
      <c r="K41" s="33"/>
      <c r="L41" s="29"/>
    </row>
    <row r="42" spans="2:12" ht="54" customHeight="1" x14ac:dyDescent="0.2">
      <c r="B42" s="152"/>
      <c r="C42" s="152"/>
      <c r="D42" s="154"/>
      <c r="E42" s="131"/>
      <c r="F42" s="132"/>
      <c r="G42" s="127" t="s">
        <v>274</v>
      </c>
      <c r="H42" s="128"/>
      <c r="I42" s="28" t="s">
        <v>10</v>
      </c>
      <c r="J42" s="11"/>
      <c r="K42" s="33"/>
      <c r="L42" s="29"/>
    </row>
    <row r="43" spans="2:12" ht="54" customHeight="1" x14ac:dyDescent="0.2">
      <c r="B43" s="152"/>
      <c r="C43" s="152"/>
      <c r="D43" s="154"/>
      <c r="E43" s="133"/>
      <c r="F43" s="134"/>
      <c r="G43" s="127" t="s">
        <v>275</v>
      </c>
      <c r="H43" s="128"/>
      <c r="I43" s="28" t="s">
        <v>10</v>
      </c>
      <c r="J43" s="11"/>
      <c r="K43" s="33"/>
      <c r="L43" s="29"/>
    </row>
    <row r="44" spans="2:12" ht="54" customHeight="1" x14ac:dyDescent="0.2">
      <c r="B44" s="143" t="s">
        <v>78</v>
      </c>
      <c r="C44" s="143" t="s">
        <v>261</v>
      </c>
      <c r="D44" s="145" t="s">
        <v>271</v>
      </c>
      <c r="E44" s="135" t="s">
        <v>272</v>
      </c>
      <c r="F44" s="136"/>
      <c r="G44" s="141" t="s">
        <v>276</v>
      </c>
      <c r="H44" s="142"/>
      <c r="I44" s="28" t="s">
        <v>10</v>
      </c>
      <c r="J44" s="36"/>
      <c r="K44" s="37"/>
      <c r="L44" s="38"/>
    </row>
    <row r="45" spans="2:12" ht="54" customHeight="1" x14ac:dyDescent="0.2">
      <c r="B45" s="144"/>
      <c r="C45" s="144"/>
      <c r="D45" s="146"/>
      <c r="E45" s="137"/>
      <c r="F45" s="138"/>
      <c r="G45" s="141" t="s">
        <v>277</v>
      </c>
      <c r="H45" s="142"/>
      <c r="I45" s="28" t="s">
        <v>10</v>
      </c>
      <c r="J45" s="36"/>
      <c r="K45" s="37"/>
      <c r="L45" s="38"/>
    </row>
    <row r="46" spans="2:12" ht="54" customHeight="1" x14ac:dyDescent="0.2">
      <c r="B46" s="144"/>
      <c r="C46" s="144"/>
      <c r="D46" s="146"/>
      <c r="E46" s="139"/>
      <c r="F46" s="140"/>
      <c r="G46" s="141" t="s">
        <v>278</v>
      </c>
      <c r="H46" s="142"/>
      <c r="I46" s="28" t="s">
        <v>10</v>
      </c>
      <c r="J46" s="36"/>
      <c r="K46" s="37"/>
      <c r="L46" s="38"/>
    </row>
    <row r="47" spans="2:12" ht="54" customHeight="1" x14ac:dyDescent="0.2">
      <c r="B47" s="151" t="s">
        <v>78</v>
      </c>
      <c r="C47" s="151" t="s">
        <v>262</v>
      </c>
      <c r="D47" s="153" t="s">
        <v>279</v>
      </c>
      <c r="E47" s="129" t="s">
        <v>280</v>
      </c>
      <c r="F47" s="130"/>
      <c r="G47" s="127" t="s">
        <v>281</v>
      </c>
      <c r="H47" s="128"/>
      <c r="I47" s="28" t="s">
        <v>10</v>
      </c>
      <c r="J47" s="11"/>
      <c r="K47" s="33"/>
      <c r="L47" s="29"/>
    </row>
    <row r="48" spans="2:12" ht="54" customHeight="1" x14ac:dyDescent="0.2">
      <c r="B48" s="152"/>
      <c r="C48" s="152"/>
      <c r="D48" s="154"/>
      <c r="E48" s="131"/>
      <c r="F48" s="132"/>
      <c r="G48" s="127" t="s">
        <v>282</v>
      </c>
      <c r="H48" s="128"/>
      <c r="I48" s="28" t="s">
        <v>10</v>
      </c>
      <c r="J48" s="11"/>
      <c r="K48" s="33"/>
      <c r="L48" s="29"/>
    </row>
    <row r="49" spans="2:12" ht="54" customHeight="1" x14ac:dyDescent="0.2">
      <c r="B49" s="152"/>
      <c r="C49" s="152"/>
      <c r="D49" s="154"/>
      <c r="E49" s="133"/>
      <c r="F49" s="134"/>
      <c r="G49" s="127" t="s">
        <v>283</v>
      </c>
      <c r="H49" s="128"/>
      <c r="I49" s="28" t="s">
        <v>10</v>
      </c>
      <c r="J49" s="11"/>
      <c r="K49" s="33"/>
      <c r="L49" s="29"/>
    </row>
    <row r="50" spans="2:12" ht="54" customHeight="1" x14ac:dyDescent="0.2">
      <c r="B50" s="143" t="s">
        <v>78</v>
      </c>
      <c r="C50" s="143" t="s">
        <v>263</v>
      </c>
      <c r="D50" s="145" t="s">
        <v>284</v>
      </c>
      <c r="E50" s="135" t="s">
        <v>285</v>
      </c>
      <c r="F50" s="136"/>
      <c r="G50" s="141" t="s">
        <v>295</v>
      </c>
      <c r="H50" s="142"/>
      <c r="I50" s="28" t="s">
        <v>10</v>
      </c>
      <c r="J50" s="36"/>
      <c r="K50" s="37"/>
      <c r="L50" s="38"/>
    </row>
    <row r="51" spans="2:12" ht="54" customHeight="1" x14ac:dyDescent="0.2">
      <c r="B51" s="144"/>
      <c r="C51" s="144"/>
      <c r="D51" s="146"/>
      <c r="E51" s="137"/>
      <c r="F51" s="138"/>
      <c r="G51" s="141" t="s">
        <v>300</v>
      </c>
      <c r="H51" s="142"/>
      <c r="I51" s="28" t="s">
        <v>10</v>
      </c>
      <c r="J51" s="36"/>
      <c r="K51" s="37"/>
      <c r="L51" s="38"/>
    </row>
    <row r="52" spans="2:12" ht="54" customHeight="1" x14ac:dyDescent="0.2">
      <c r="B52" s="144"/>
      <c r="C52" s="144"/>
      <c r="D52" s="146"/>
      <c r="E52" s="139"/>
      <c r="F52" s="140"/>
      <c r="G52" s="141" t="s">
        <v>306</v>
      </c>
      <c r="H52" s="142"/>
      <c r="I52" s="28" t="s">
        <v>10</v>
      </c>
      <c r="J52" s="36"/>
      <c r="K52" s="37"/>
      <c r="L52" s="38"/>
    </row>
    <row r="53" spans="2:12" ht="54" customHeight="1" x14ac:dyDescent="0.2">
      <c r="B53" s="151" t="s">
        <v>78</v>
      </c>
      <c r="C53" s="151" t="s">
        <v>264</v>
      </c>
      <c r="D53" s="153" t="s">
        <v>286</v>
      </c>
      <c r="E53" s="129" t="s">
        <v>287</v>
      </c>
      <c r="F53" s="130"/>
      <c r="G53" s="127" t="s">
        <v>296</v>
      </c>
      <c r="H53" s="128"/>
      <c r="I53" s="28" t="s">
        <v>10</v>
      </c>
      <c r="J53" s="11"/>
      <c r="K53" s="33"/>
      <c r="L53" s="29"/>
    </row>
    <row r="54" spans="2:12" ht="54" customHeight="1" x14ac:dyDescent="0.2">
      <c r="B54" s="152"/>
      <c r="C54" s="152"/>
      <c r="D54" s="154"/>
      <c r="E54" s="131"/>
      <c r="F54" s="132"/>
      <c r="G54" s="127" t="s">
        <v>301</v>
      </c>
      <c r="H54" s="128"/>
      <c r="I54" s="28" t="s">
        <v>10</v>
      </c>
      <c r="J54" s="11"/>
      <c r="K54" s="33"/>
      <c r="L54" s="29"/>
    </row>
    <row r="55" spans="2:12" ht="54" customHeight="1" x14ac:dyDescent="0.2">
      <c r="B55" s="152"/>
      <c r="C55" s="152"/>
      <c r="D55" s="154"/>
      <c r="E55" s="133"/>
      <c r="F55" s="134"/>
      <c r="G55" s="127" t="s">
        <v>307</v>
      </c>
      <c r="H55" s="128"/>
      <c r="I55" s="28" t="s">
        <v>10</v>
      </c>
      <c r="J55" s="11"/>
      <c r="K55" s="33"/>
      <c r="L55" s="29"/>
    </row>
    <row r="56" spans="2:12" ht="54" customHeight="1" x14ac:dyDescent="0.2">
      <c r="B56" s="143" t="s">
        <v>78</v>
      </c>
      <c r="C56" s="143" t="s">
        <v>265</v>
      </c>
      <c r="D56" s="145" t="s">
        <v>288</v>
      </c>
      <c r="E56" s="135" t="s">
        <v>289</v>
      </c>
      <c r="F56" s="136"/>
      <c r="G56" s="141" t="s">
        <v>297</v>
      </c>
      <c r="H56" s="142"/>
      <c r="I56" s="28" t="s">
        <v>10</v>
      </c>
      <c r="J56" s="36"/>
      <c r="K56" s="37"/>
      <c r="L56" s="38"/>
    </row>
    <row r="57" spans="2:12" ht="54" customHeight="1" x14ac:dyDescent="0.2">
      <c r="B57" s="144"/>
      <c r="C57" s="144"/>
      <c r="D57" s="146"/>
      <c r="E57" s="137"/>
      <c r="F57" s="138"/>
      <c r="G57" s="141" t="s">
        <v>302</v>
      </c>
      <c r="H57" s="142"/>
      <c r="I57" s="28" t="s">
        <v>10</v>
      </c>
      <c r="J57" s="36"/>
      <c r="K57" s="37"/>
      <c r="L57" s="38"/>
    </row>
    <row r="58" spans="2:12" ht="54" customHeight="1" x14ac:dyDescent="0.2">
      <c r="B58" s="144"/>
      <c r="C58" s="144"/>
      <c r="D58" s="146"/>
      <c r="E58" s="139"/>
      <c r="F58" s="140"/>
      <c r="G58" s="141" t="s">
        <v>308</v>
      </c>
      <c r="H58" s="142"/>
      <c r="I58" s="28" t="s">
        <v>10</v>
      </c>
      <c r="J58" s="36"/>
      <c r="K58" s="37"/>
      <c r="L58" s="38"/>
    </row>
    <row r="59" spans="2:12" ht="54" customHeight="1" x14ac:dyDescent="0.2">
      <c r="B59" s="151" t="s">
        <v>78</v>
      </c>
      <c r="C59" s="151" t="s">
        <v>266</v>
      </c>
      <c r="D59" s="153" t="s">
        <v>290</v>
      </c>
      <c r="E59" s="129" t="s">
        <v>291</v>
      </c>
      <c r="F59" s="130"/>
      <c r="G59" s="127" t="s">
        <v>298</v>
      </c>
      <c r="H59" s="128"/>
      <c r="I59" s="28" t="s">
        <v>10</v>
      </c>
      <c r="J59" s="11"/>
      <c r="K59" s="33"/>
      <c r="L59" s="29"/>
    </row>
    <row r="60" spans="2:12" ht="54" customHeight="1" x14ac:dyDescent="0.2">
      <c r="B60" s="152"/>
      <c r="C60" s="152"/>
      <c r="D60" s="154"/>
      <c r="E60" s="131"/>
      <c r="F60" s="132"/>
      <c r="G60" s="127" t="s">
        <v>303</v>
      </c>
      <c r="H60" s="128"/>
      <c r="I60" s="28" t="s">
        <v>10</v>
      </c>
      <c r="J60" s="11"/>
      <c r="K60" s="33"/>
      <c r="L60" s="29"/>
    </row>
    <row r="61" spans="2:12" ht="54" customHeight="1" x14ac:dyDescent="0.2">
      <c r="B61" s="152"/>
      <c r="C61" s="152"/>
      <c r="D61" s="154"/>
      <c r="E61" s="133"/>
      <c r="F61" s="134"/>
      <c r="G61" s="127" t="s">
        <v>308</v>
      </c>
      <c r="H61" s="128"/>
      <c r="I61" s="28" t="s">
        <v>10</v>
      </c>
      <c r="J61" s="11"/>
      <c r="K61" s="33"/>
      <c r="L61" s="29"/>
    </row>
    <row r="62" spans="2:12" ht="54" customHeight="1" x14ac:dyDescent="0.2">
      <c r="B62" s="143" t="s">
        <v>78</v>
      </c>
      <c r="C62" s="143" t="s">
        <v>267</v>
      </c>
      <c r="D62" s="145" t="s">
        <v>292</v>
      </c>
      <c r="E62" s="135" t="s">
        <v>280</v>
      </c>
      <c r="F62" s="136"/>
      <c r="G62" s="141" t="s">
        <v>281</v>
      </c>
      <c r="H62" s="142"/>
      <c r="I62" s="28" t="s">
        <v>10</v>
      </c>
      <c r="J62" s="36"/>
      <c r="K62" s="37"/>
      <c r="L62" s="38"/>
    </row>
    <row r="63" spans="2:12" ht="54" customHeight="1" x14ac:dyDescent="0.2">
      <c r="B63" s="144"/>
      <c r="C63" s="144"/>
      <c r="D63" s="146"/>
      <c r="E63" s="137"/>
      <c r="F63" s="138"/>
      <c r="G63" s="141" t="s">
        <v>304</v>
      </c>
      <c r="H63" s="142"/>
      <c r="I63" s="28" t="s">
        <v>10</v>
      </c>
      <c r="J63" s="36"/>
      <c r="K63" s="37"/>
      <c r="L63" s="38"/>
    </row>
    <row r="64" spans="2:12" ht="54" customHeight="1" x14ac:dyDescent="0.2">
      <c r="B64" s="144"/>
      <c r="C64" s="144"/>
      <c r="D64" s="146"/>
      <c r="E64" s="139"/>
      <c r="F64" s="140"/>
      <c r="G64" s="141" t="s">
        <v>309</v>
      </c>
      <c r="H64" s="142"/>
      <c r="I64" s="28" t="s">
        <v>10</v>
      </c>
      <c r="J64" s="36"/>
      <c r="K64" s="37"/>
      <c r="L64" s="38"/>
    </row>
    <row r="65" spans="2:12" ht="54" customHeight="1" x14ac:dyDescent="0.2">
      <c r="B65" s="151" t="s">
        <v>78</v>
      </c>
      <c r="C65" s="151" t="s">
        <v>268</v>
      </c>
      <c r="D65" s="153" t="s">
        <v>293</v>
      </c>
      <c r="E65" s="129" t="s">
        <v>294</v>
      </c>
      <c r="F65" s="130"/>
      <c r="G65" s="127" t="s">
        <v>299</v>
      </c>
      <c r="H65" s="128"/>
      <c r="I65" s="28" t="s">
        <v>10</v>
      </c>
      <c r="J65" s="11"/>
      <c r="K65" s="33"/>
      <c r="L65" s="29"/>
    </row>
    <row r="66" spans="2:12" ht="54" customHeight="1" x14ac:dyDescent="0.2">
      <c r="B66" s="152"/>
      <c r="C66" s="152"/>
      <c r="D66" s="154"/>
      <c r="E66" s="131"/>
      <c r="F66" s="132"/>
      <c r="G66" s="127" t="s">
        <v>305</v>
      </c>
      <c r="H66" s="128"/>
      <c r="I66" s="28" t="s">
        <v>10</v>
      </c>
      <c r="J66" s="11"/>
      <c r="K66" s="33"/>
      <c r="L66" s="29"/>
    </row>
    <row r="67" spans="2:12" ht="54" customHeight="1" x14ac:dyDescent="0.2">
      <c r="B67" s="152"/>
      <c r="C67" s="152"/>
      <c r="D67" s="154"/>
      <c r="E67" s="131"/>
      <c r="F67" s="132"/>
      <c r="G67" s="127" t="s">
        <v>310</v>
      </c>
      <c r="H67" s="128"/>
      <c r="I67" s="28" t="s">
        <v>10</v>
      </c>
      <c r="J67" s="11"/>
      <c r="K67" s="33"/>
      <c r="L67" s="29"/>
    </row>
    <row r="243" spans="1:13" s="4" customFormat="1" x14ac:dyDescent="0.2">
      <c r="A243" s="1"/>
      <c r="B243" s="2"/>
      <c r="C243" s="3"/>
      <c r="D243" s="3"/>
      <c r="E243" s="3"/>
      <c r="G243" s="2"/>
      <c r="I243" s="6"/>
      <c r="J243" s="1"/>
      <c r="K243" s="30"/>
      <c r="L243" s="1"/>
      <c r="M243" s="1"/>
    </row>
    <row r="244" spans="1:13" s="4" customFormat="1" x14ac:dyDescent="0.2">
      <c r="A244" s="1"/>
      <c r="B244" s="2"/>
      <c r="C244" s="3"/>
      <c r="D244" s="3"/>
      <c r="E244" s="3"/>
      <c r="G244" s="2"/>
      <c r="I244" s="6"/>
      <c r="J244" s="1"/>
      <c r="K244" s="30"/>
      <c r="L244" s="1"/>
      <c r="M244" s="1"/>
    </row>
    <row r="245" spans="1:13" s="4" customFormat="1" x14ac:dyDescent="0.2">
      <c r="A245" s="1"/>
      <c r="B245" s="2"/>
      <c r="C245" s="3"/>
      <c r="D245" s="3"/>
      <c r="E245" s="3"/>
      <c r="G245" s="2"/>
      <c r="I245" s="6"/>
      <c r="J245" s="1"/>
      <c r="K245" s="30"/>
      <c r="L245" s="1"/>
      <c r="M245" s="1"/>
    </row>
    <row r="246" spans="1:13" s="4" customFormat="1" x14ac:dyDescent="0.2">
      <c r="A246" s="1"/>
      <c r="B246" s="2"/>
      <c r="C246" s="3"/>
      <c r="D246" s="3"/>
      <c r="E246" s="3"/>
      <c r="G246" s="2"/>
      <c r="I246" s="6"/>
      <c r="J246" s="1"/>
      <c r="K246" s="30"/>
      <c r="L246" s="1"/>
      <c r="M246" s="1"/>
    </row>
    <row r="247" spans="1:13" s="4" customFormat="1" x14ac:dyDescent="0.2">
      <c r="A247" s="1"/>
      <c r="B247" s="2"/>
      <c r="C247" s="3"/>
      <c r="D247" s="3"/>
      <c r="E247" s="3"/>
      <c r="G247" s="2"/>
      <c r="I247" s="6"/>
      <c r="J247" s="1"/>
      <c r="K247" s="30"/>
      <c r="L247" s="1"/>
      <c r="M247" s="1"/>
    </row>
    <row r="248" spans="1:13" s="4" customFormat="1" x14ac:dyDescent="0.2">
      <c r="A248" s="1"/>
      <c r="B248" s="2"/>
      <c r="C248" s="3"/>
      <c r="D248" s="3"/>
      <c r="E248" s="3"/>
      <c r="G248" s="2"/>
      <c r="I248" s="6"/>
      <c r="J248" s="1"/>
      <c r="K248" s="30"/>
      <c r="L248" s="1"/>
      <c r="M248" s="1"/>
    </row>
    <row r="252" spans="1:13" s="4" customFormat="1" x14ac:dyDescent="0.2">
      <c r="A252" s="1"/>
      <c r="B252" s="2"/>
      <c r="C252" s="3"/>
      <c r="D252" s="3"/>
      <c r="E252" s="3"/>
      <c r="G252" s="2"/>
      <c r="I252" s="6"/>
      <c r="J252" s="1"/>
      <c r="K252" s="30"/>
      <c r="L252" s="1"/>
      <c r="M252" s="1"/>
    </row>
    <row r="253" spans="1:13" s="4" customFormat="1" x14ac:dyDescent="0.2">
      <c r="A253" s="1"/>
      <c r="B253" s="2"/>
      <c r="C253" s="3"/>
      <c r="D253" s="3"/>
      <c r="E253" s="3"/>
      <c r="G253" s="2"/>
      <c r="I253" s="6"/>
      <c r="J253" s="1"/>
      <c r="K253" s="30"/>
      <c r="L253" s="1"/>
      <c r="M253" s="1"/>
    </row>
    <row r="254" spans="1:13" s="4" customFormat="1" x14ac:dyDescent="0.2">
      <c r="A254" s="1"/>
      <c r="B254" s="2"/>
      <c r="C254" s="3"/>
      <c r="D254" s="3"/>
      <c r="E254" s="3"/>
      <c r="G254" s="2"/>
      <c r="I254" s="6"/>
      <c r="J254" s="1"/>
      <c r="K254" s="30"/>
      <c r="L254" s="1"/>
      <c r="M254" s="1"/>
    </row>
    <row r="255" spans="1:13" s="4" customFormat="1" x14ac:dyDescent="0.2">
      <c r="A255" s="1"/>
      <c r="B255" s="2"/>
      <c r="C255" s="3"/>
      <c r="D255" s="3"/>
      <c r="E255" s="3"/>
      <c r="G255" s="2"/>
      <c r="I255" s="6"/>
      <c r="J255" s="1"/>
      <c r="K255" s="30"/>
      <c r="L255" s="1"/>
      <c r="M255" s="1"/>
    </row>
    <row r="256" spans="1:13" s="4" customFormat="1" x14ac:dyDescent="0.2">
      <c r="A256" s="1"/>
      <c r="B256" s="2"/>
      <c r="C256" s="3"/>
      <c r="D256" s="3"/>
      <c r="E256" s="3"/>
      <c r="G256" s="2"/>
      <c r="I256" s="6"/>
      <c r="J256" s="1"/>
      <c r="K256" s="30"/>
      <c r="L256" s="1"/>
      <c r="M256" s="1"/>
    </row>
    <row r="260" spans="1:13" s="4" customFormat="1" x14ac:dyDescent="0.2">
      <c r="A260" s="1"/>
      <c r="B260" s="2"/>
      <c r="C260" s="3"/>
      <c r="D260" s="3"/>
      <c r="E260" s="3"/>
      <c r="G260" s="2"/>
      <c r="I260" s="6"/>
      <c r="J260" s="1"/>
      <c r="K260" s="30"/>
      <c r="L260" s="1"/>
      <c r="M260" s="1"/>
    </row>
    <row r="261" spans="1:13" s="4" customFormat="1" x14ac:dyDescent="0.2">
      <c r="A261" s="1"/>
      <c r="B261" s="2"/>
      <c r="C261" s="3"/>
      <c r="D261" s="3"/>
      <c r="E261" s="3"/>
      <c r="G261" s="2"/>
      <c r="I261" s="6"/>
      <c r="J261" s="1"/>
      <c r="K261" s="30"/>
      <c r="L261" s="1"/>
      <c r="M261" s="1"/>
    </row>
    <row r="262" spans="1:13" s="4" customFormat="1" x14ac:dyDescent="0.2">
      <c r="A262" s="1"/>
      <c r="B262" s="2"/>
      <c r="C262" s="3"/>
      <c r="D262" s="3"/>
      <c r="E262" s="3"/>
      <c r="G262" s="2"/>
      <c r="I262" s="6"/>
      <c r="J262" s="1"/>
      <c r="K262" s="30"/>
      <c r="L262" s="1"/>
      <c r="M262" s="1"/>
    </row>
    <row r="263" spans="1:13" s="4" customFormat="1" x14ac:dyDescent="0.2">
      <c r="A263" s="1"/>
      <c r="B263" s="2"/>
      <c r="C263" s="3"/>
      <c r="D263" s="3"/>
      <c r="E263" s="3"/>
      <c r="G263" s="2"/>
      <c r="I263" s="6"/>
      <c r="J263" s="1"/>
      <c r="K263" s="30"/>
      <c r="L263" s="1"/>
      <c r="M263" s="1"/>
    </row>
    <row r="264" spans="1:13" s="4" customFormat="1" x14ac:dyDescent="0.2">
      <c r="A264" s="1"/>
      <c r="B264" s="2"/>
      <c r="C264" s="3"/>
      <c r="D264" s="3"/>
      <c r="E264" s="3"/>
      <c r="G264" s="2"/>
      <c r="I264" s="6"/>
      <c r="J264" s="1"/>
      <c r="K264" s="30"/>
      <c r="L264" s="1"/>
      <c r="M264" s="1"/>
    </row>
    <row r="265" spans="1:13" s="4" customFormat="1" x14ac:dyDescent="0.2">
      <c r="A265" s="1"/>
      <c r="B265" s="2"/>
      <c r="C265" s="3"/>
      <c r="D265" s="3"/>
      <c r="E265" s="3"/>
      <c r="G265" s="2"/>
      <c r="I265" s="6"/>
      <c r="J265" s="1"/>
      <c r="K265" s="30"/>
      <c r="L265" s="1"/>
      <c r="M265" s="1"/>
    </row>
    <row r="266" spans="1:13" s="4" customFormat="1" x14ac:dyDescent="0.2">
      <c r="A266" s="1"/>
      <c r="B266" s="2"/>
      <c r="C266" s="3"/>
      <c r="D266" s="3"/>
      <c r="E266" s="3"/>
      <c r="G266" s="2"/>
      <c r="I266" s="6"/>
      <c r="J266" s="1"/>
      <c r="K266" s="30"/>
      <c r="L266" s="1"/>
      <c r="M266" s="1"/>
    </row>
  </sheetData>
  <mergeCells count="96">
    <mergeCell ref="G49:H49"/>
    <mergeCell ref="G50:H50"/>
    <mergeCell ref="G51:H51"/>
    <mergeCell ref="G52:H52"/>
    <mergeCell ref="G56:H56"/>
    <mergeCell ref="E40:F40"/>
    <mergeCell ref="G45:H45"/>
    <mergeCell ref="G46:H46"/>
    <mergeCell ref="G47:H47"/>
    <mergeCell ref="G48:H48"/>
    <mergeCell ref="G41:H41"/>
    <mergeCell ref="G42:H42"/>
    <mergeCell ref="G43:H43"/>
    <mergeCell ref="G44:H44"/>
    <mergeCell ref="G40:H40"/>
    <mergeCell ref="B56:B58"/>
    <mergeCell ref="C56:C58"/>
    <mergeCell ref="D56:D58"/>
    <mergeCell ref="B65:B67"/>
    <mergeCell ref="C65:C67"/>
    <mergeCell ref="D65:D67"/>
    <mergeCell ref="B59:B61"/>
    <mergeCell ref="C59:C61"/>
    <mergeCell ref="D59:D61"/>
    <mergeCell ref="B62:B64"/>
    <mergeCell ref="C62:C64"/>
    <mergeCell ref="D62:D64"/>
    <mergeCell ref="B50:B52"/>
    <mergeCell ref="C50:C52"/>
    <mergeCell ref="D50:D52"/>
    <mergeCell ref="B53:B55"/>
    <mergeCell ref="C53:C55"/>
    <mergeCell ref="D53:D55"/>
    <mergeCell ref="E41:F43"/>
    <mergeCell ref="E44:F46"/>
    <mergeCell ref="B47:B49"/>
    <mergeCell ref="C47:C49"/>
    <mergeCell ref="D47:D49"/>
    <mergeCell ref="B41:B43"/>
    <mergeCell ref="C41:C43"/>
    <mergeCell ref="D41:D43"/>
    <mergeCell ref="B44:B46"/>
    <mergeCell ref="C44:C46"/>
    <mergeCell ref="D44:D46"/>
    <mergeCell ref="B34:B38"/>
    <mergeCell ref="C34:C38"/>
    <mergeCell ref="D34:D38"/>
    <mergeCell ref="E34:E38"/>
    <mergeCell ref="B17:B19"/>
    <mergeCell ref="C17:C19"/>
    <mergeCell ref="D17:D19"/>
    <mergeCell ref="E17:E19"/>
    <mergeCell ref="B31:B33"/>
    <mergeCell ref="C31:C33"/>
    <mergeCell ref="D31:D33"/>
    <mergeCell ref="E31:E33"/>
    <mergeCell ref="B20:B22"/>
    <mergeCell ref="C20:C22"/>
    <mergeCell ref="D20:D22"/>
    <mergeCell ref="E20:E22"/>
    <mergeCell ref="B2:J2"/>
    <mergeCell ref="B4:J4"/>
    <mergeCell ref="B6:H8"/>
    <mergeCell ref="I6:J6"/>
    <mergeCell ref="I7:J8"/>
    <mergeCell ref="B23:B30"/>
    <mergeCell ref="C23:C30"/>
    <mergeCell ref="D23:D30"/>
    <mergeCell ref="E23:E30"/>
    <mergeCell ref="C10:J10"/>
    <mergeCell ref="C11:J11"/>
    <mergeCell ref="B14:B16"/>
    <mergeCell ref="C14:C16"/>
    <mergeCell ref="D14:D16"/>
    <mergeCell ref="E14:E16"/>
    <mergeCell ref="G58:H58"/>
    <mergeCell ref="G62:H62"/>
    <mergeCell ref="G63:H63"/>
    <mergeCell ref="G64:H64"/>
    <mergeCell ref="G61:H61"/>
    <mergeCell ref="G65:H65"/>
    <mergeCell ref="G66:H66"/>
    <mergeCell ref="G67:H67"/>
    <mergeCell ref="E47:F49"/>
    <mergeCell ref="E50:F52"/>
    <mergeCell ref="E53:F55"/>
    <mergeCell ref="E56:F58"/>
    <mergeCell ref="E59:F61"/>
    <mergeCell ref="E62:F64"/>
    <mergeCell ref="E65:F67"/>
    <mergeCell ref="G53:H53"/>
    <mergeCell ref="G54:H54"/>
    <mergeCell ref="G55:H55"/>
    <mergeCell ref="G59:H59"/>
    <mergeCell ref="G60:H60"/>
    <mergeCell ref="G57:H57"/>
  </mergeCells>
  <conditionalFormatting sqref="I1">
    <cfRule type="cellIs" dxfId="387" priority="11" operator="equal">
      <formula>1</formula>
    </cfRule>
  </conditionalFormatting>
  <conditionalFormatting sqref="I7">
    <cfRule type="cellIs" dxfId="386" priority="9" operator="equal">
      <formula>1</formula>
    </cfRule>
  </conditionalFormatting>
  <conditionalFormatting sqref="I14:I38">
    <cfRule type="expression" dxfId="385" priority="5" stopIfTrue="1">
      <formula>TRIM(UPPER(I14))="N/A"</formula>
    </cfRule>
    <cfRule type="expression" dxfId="384" priority="6">
      <formula>I14&gt;=0.9</formula>
    </cfRule>
    <cfRule type="expression" dxfId="383" priority="7">
      <formula>AND(I14&gt;=0.8, I14&lt;0.9)</formula>
    </cfRule>
    <cfRule type="expression" dxfId="382" priority="8">
      <formula>I14&lt;0.8</formula>
    </cfRule>
  </conditionalFormatting>
  <conditionalFormatting sqref="I41:I67">
    <cfRule type="expression" dxfId="381" priority="1" stopIfTrue="1">
      <formula>TRIM(UPPER(I41))="N/A"</formula>
    </cfRule>
    <cfRule type="expression" dxfId="380" priority="2">
      <formula>I41&gt;=0.9</formula>
    </cfRule>
    <cfRule type="expression" dxfId="379" priority="3">
      <formula>AND(I41&gt;=0.8, I41&lt;0.9)</formula>
    </cfRule>
    <cfRule type="expression" dxfId="378" priority="4">
      <formula>I41&lt;0.8</formula>
    </cfRule>
  </conditionalFormatting>
  <conditionalFormatting sqref="I68:I1048576">
    <cfRule type="cellIs" dxfId="377" priority="10" operator="equal">
      <formula>1</formula>
    </cfRule>
  </conditionalFormatting>
  <printOptions horizontalCentered="1"/>
  <pageMargins left="0.51181102362204722" right="0.51181102362204722" top="0.55118110236220474" bottom="0.55118110236220474" header="0.31496062992125984" footer="0.31496062992125984"/>
  <pageSetup scale="45"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A45BCF6-2F81-D741-BF78-8708F1D7BDF6}">
          <x14:formula1>
            <xm:f>'Listas desplegables'!$C$4:$C$15</xm:f>
          </x14:formula1>
          <xm:sqref>I14:I38 I41:I67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5B697-609B-5D41-9DC8-F303B68B6F5E}">
  <sheetPr>
    <tabColor rgb="FF0098AA"/>
  </sheetPr>
  <dimension ref="A1:M259"/>
  <sheetViews>
    <sheetView showGridLines="0" zoomScale="70" zoomScaleNormal="70" workbookViewId="0">
      <selection activeCell="I14" sqref="I14"/>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57" t="s">
        <v>312</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f>AVERAGEIF(I14:I60,"&lt;&gt;N/A")</f>
        <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151" customHeight="1" x14ac:dyDescent="0.2">
      <c r="B10" s="40" t="s">
        <v>13</v>
      </c>
      <c r="C10" s="147" t="s">
        <v>329</v>
      </c>
      <c r="D10" s="148"/>
      <c r="E10" s="148"/>
      <c r="F10" s="148"/>
      <c r="G10" s="148"/>
      <c r="H10" s="148"/>
      <c r="I10" s="148"/>
      <c r="J10" s="149"/>
    </row>
    <row r="11" spans="2:12" ht="59" customHeight="1" x14ac:dyDescent="0.2">
      <c r="B11" s="39" t="s">
        <v>14</v>
      </c>
      <c r="C11" s="150" t="s">
        <v>330</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84" customHeight="1" x14ac:dyDescent="0.2">
      <c r="B14" s="151" t="s">
        <v>314</v>
      </c>
      <c r="C14" s="151" t="s">
        <v>19</v>
      </c>
      <c r="D14" s="153" t="s">
        <v>331</v>
      </c>
      <c r="E14" s="171" t="s">
        <v>342</v>
      </c>
      <c r="F14" s="22" t="s">
        <v>137</v>
      </c>
      <c r="G14" s="12" t="s">
        <v>43</v>
      </c>
      <c r="H14" s="34" t="s">
        <v>343</v>
      </c>
      <c r="I14" s="28">
        <v>0</v>
      </c>
      <c r="J14" s="11"/>
      <c r="K14" s="33"/>
      <c r="L14" s="29"/>
    </row>
    <row r="15" spans="2:12" ht="84" customHeight="1" x14ac:dyDescent="0.2">
      <c r="B15" s="152"/>
      <c r="C15" s="152"/>
      <c r="D15" s="154"/>
      <c r="E15" s="172"/>
      <c r="F15" s="22" t="s">
        <v>344</v>
      </c>
      <c r="G15" s="12" t="s">
        <v>38</v>
      </c>
      <c r="H15" s="77" t="s">
        <v>345</v>
      </c>
      <c r="I15" s="28" t="s">
        <v>10</v>
      </c>
      <c r="J15" s="11"/>
      <c r="K15" s="33"/>
      <c r="L15" s="29"/>
    </row>
    <row r="16" spans="2:12" ht="84" customHeight="1" x14ac:dyDescent="0.2">
      <c r="B16" s="152"/>
      <c r="C16" s="152"/>
      <c r="D16" s="154"/>
      <c r="E16" s="172"/>
      <c r="F16" s="22" t="s">
        <v>136</v>
      </c>
      <c r="G16" s="12" t="s">
        <v>110</v>
      </c>
      <c r="H16" s="34" t="s">
        <v>133</v>
      </c>
      <c r="I16" s="28" t="s">
        <v>10</v>
      </c>
      <c r="J16" s="11"/>
      <c r="K16" s="33"/>
      <c r="L16" s="29"/>
    </row>
    <row r="17" spans="2:12" ht="90" customHeight="1" x14ac:dyDescent="0.2">
      <c r="B17" s="152"/>
      <c r="C17" s="152"/>
      <c r="D17" s="154"/>
      <c r="E17" s="154"/>
      <c r="F17" s="22" t="s">
        <v>134</v>
      </c>
      <c r="G17" s="12" t="s">
        <v>110</v>
      </c>
      <c r="H17" s="34" t="s">
        <v>346</v>
      </c>
      <c r="I17" s="28" t="s">
        <v>10</v>
      </c>
      <c r="J17" s="11"/>
      <c r="K17" s="33"/>
      <c r="L17" s="29"/>
    </row>
    <row r="18" spans="2:12" ht="61" customHeight="1" x14ac:dyDescent="0.2">
      <c r="B18" s="152"/>
      <c r="C18" s="152"/>
      <c r="D18" s="154"/>
      <c r="E18" s="154"/>
      <c r="F18" s="22" t="s">
        <v>347</v>
      </c>
      <c r="G18" s="12" t="s">
        <v>36</v>
      </c>
      <c r="H18" s="34" t="s">
        <v>135</v>
      </c>
      <c r="I18" s="28" t="s">
        <v>10</v>
      </c>
      <c r="J18" s="11"/>
      <c r="K18" s="33"/>
      <c r="L18" s="29"/>
    </row>
    <row r="19" spans="2:12" ht="140" customHeight="1" x14ac:dyDescent="0.2">
      <c r="B19" s="143" t="s">
        <v>314</v>
      </c>
      <c r="C19" s="143" t="s">
        <v>20</v>
      </c>
      <c r="D19" s="145" t="s">
        <v>332</v>
      </c>
      <c r="E19" s="145" t="s">
        <v>350</v>
      </c>
      <c r="F19" s="23" t="s">
        <v>351</v>
      </c>
      <c r="G19" s="41" t="s">
        <v>43</v>
      </c>
      <c r="H19" s="35" t="s">
        <v>352</v>
      </c>
      <c r="I19" s="28" t="s">
        <v>10</v>
      </c>
      <c r="J19" s="36"/>
      <c r="K19" s="37"/>
      <c r="L19" s="38"/>
    </row>
    <row r="20" spans="2:12" ht="54" customHeight="1" x14ac:dyDescent="0.2">
      <c r="B20" s="144"/>
      <c r="C20" s="144"/>
      <c r="D20" s="146"/>
      <c r="E20" s="146"/>
      <c r="F20" s="23" t="s">
        <v>113</v>
      </c>
      <c r="G20" s="41" t="s">
        <v>39</v>
      </c>
      <c r="H20" s="35" t="s">
        <v>353</v>
      </c>
      <c r="I20" s="28" t="s">
        <v>10</v>
      </c>
      <c r="J20" s="36"/>
      <c r="K20" s="37"/>
      <c r="L20" s="38"/>
    </row>
    <row r="21" spans="2:12" ht="54" customHeight="1" x14ac:dyDescent="0.2">
      <c r="B21" s="144"/>
      <c r="C21" s="144"/>
      <c r="D21" s="146"/>
      <c r="E21" s="146"/>
      <c r="F21" s="23" t="s">
        <v>354</v>
      </c>
      <c r="G21" s="41" t="s">
        <v>39</v>
      </c>
      <c r="H21" s="35" t="s">
        <v>355</v>
      </c>
      <c r="I21" s="28" t="s">
        <v>10</v>
      </c>
      <c r="J21" s="36"/>
      <c r="K21" s="37"/>
      <c r="L21" s="38"/>
    </row>
    <row r="22" spans="2:12" ht="54" customHeight="1" x14ac:dyDescent="0.2">
      <c r="B22" s="144"/>
      <c r="C22" s="144"/>
      <c r="D22" s="146"/>
      <c r="E22" s="146"/>
      <c r="F22" s="23" t="s">
        <v>114</v>
      </c>
      <c r="G22" s="41" t="s">
        <v>43</v>
      </c>
      <c r="H22" s="35" t="s">
        <v>356</v>
      </c>
      <c r="I22" s="28" t="s">
        <v>10</v>
      </c>
      <c r="J22" s="36"/>
      <c r="K22" s="37"/>
      <c r="L22" s="38"/>
    </row>
    <row r="23" spans="2:12" ht="55" customHeight="1" x14ac:dyDescent="0.2">
      <c r="B23" s="144"/>
      <c r="C23" s="144"/>
      <c r="D23" s="146"/>
      <c r="E23" s="146"/>
      <c r="F23" s="23" t="s">
        <v>138</v>
      </c>
      <c r="G23" s="41" t="s">
        <v>39</v>
      </c>
      <c r="H23" s="35" t="s">
        <v>139</v>
      </c>
      <c r="I23" s="28" t="s">
        <v>10</v>
      </c>
      <c r="J23" s="36"/>
      <c r="K23" s="37"/>
      <c r="L23" s="38"/>
    </row>
    <row r="24" spans="2:12" ht="121" customHeight="1" x14ac:dyDescent="0.2">
      <c r="B24" s="144"/>
      <c r="C24" s="144"/>
      <c r="D24" s="146"/>
      <c r="E24" s="146"/>
      <c r="F24" s="23" t="s">
        <v>357</v>
      </c>
      <c r="G24" s="41" t="s">
        <v>43</v>
      </c>
      <c r="H24" s="35" t="s">
        <v>358</v>
      </c>
      <c r="I24" s="28" t="s">
        <v>10</v>
      </c>
      <c r="J24" s="36"/>
      <c r="K24" s="37"/>
      <c r="L24" s="38"/>
    </row>
    <row r="25" spans="2:12" ht="54" customHeight="1" x14ac:dyDescent="0.2">
      <c r="B25" s="151" t="s">
        <v>314</v>
      </c>
      <c r="C25" s="151" t="s">
        <v>23</v>
      </c>
      <c r="D25" s="153" t="s">
        <v>333</v>
      </c>
      <c r="E25" s="153" t="s">
        <v>359</v>
      </c>
      <c r="F25" s="22" t="s">
        <v>360</v>
      </c>
      <c r="G25" s="12" t="s">
        <v>43</v>
      </c>
      <c r="H25" s="34" t="s">
        <v>140</v>
      </c>
      <c r="I25" s="28" t="s">
        <v>10</v>
      </c>
      <c r="J25" s="11"/>
      <c r="K25" s="33"/>
      <c r="L25" s="29"/>
    </row>
    <row r="26" spans="2:12" ht="102" customHeight="1" x14ac:dyDescent="0.2">
      <c r="B26" s="152"/>
      <c r="C26" s="152"/>
      <c r="D26" s="154"/>
      <c r="E26" s="154"/>
      <c r="F26" s="22" t="s">
        <v>141</v>
      </c>
      <c r="G26" s="12" t="s">
        <v>39</v>
      </c>
      <c r="H26" s="34" t="s">
        <v>361</v>
      </c>
      <c r="I26" s="28" t="s">
        <v>10</v>
      </c>
      <c r="J26" s="11"/>
      <c r="K26" s="33"/>
      <c r="L26" s="29"/>
    </row>
    <row r="27" spans="2:12" ht="173" customHeight="1" x14ac:dyDescent="0.2">
      <c r="B27" s="152"/>
      <c r="C27" s="152"/>
      <c r="D27" s="154"/>
      <c r="E27" s="154"/>
      <c r="F27" s="22" t="s">
        <v>142</v>
      </c>
      <c r="G27" s="12" t="s">
        <v>110</v>
      </c>
      <c r="H27" s="34" t="s">
        <v>362</v>
      </c>
      <c r="I27" s="28" t="s">
        <v>10</v>
      </c>
      <c r="J27" s="11"/>
      <c r="K27" s="33"/>
      <c r="L27" s="29"/>
    </row>
    <row r="28" spans="2:12" ht="70" customHeight="1" x14ac:dyDescent="0.2">
      <c r="B28" s="152"/>
      <c r="C28" s="152"/>
      <c r="D28" s="154"/>
      <c r="E28" s="154"/>
      <c r="F28" s="22" t="s">
        <v>143</v>
      </c>
      <c r="G28" s="12" t="s">
        <v>110</v>
      </c>
      <c r="H28" s="34" t="s">
        <v>363</v>
      </c>
      <c r="I28" s="28" t="s">
        <v>10</v>
      </c>
      <c r="J28" s="11"/>
      <c r="K28" s="33"/>
      <c r="L28" s="29"/>
    </row>
    <row r="29" spans="2:12" ht="54" customHeight="1" x14ac:dyDescent="0.2">
      <c r="B29" s="152"/>
      <c r="C29" s="152"/>
      <c r="D29" s="154"/>
      <c r="E29" s="154"/>
      <c r="F29" s="22" t="s">
        <v>144</v>
      </c>
      <c r="G29" s="12" t="s">
        <v>39</v>
      </c>
      <c r="H29" s="34" t="s">
        <v>145</v>
      </c>
      <c r="I29" s="28" t="s">
        <v>10</v>
      </c>
      <c r="J29" s="11"/>
      <c r="K29" s="33"/>
      <c r="L29" s="29"/>
    </row>
    <row r="30" spans="2:12" ht="54" customHeight="1" x14ac:dyDescent="0.2">
      <c r="B30" s="143" t="s">
        <v>314</v>
      </c>
      <c r="C30" s="143" t="s">
        <v>24</v>
      </c>
      <c r="D30" s="145" t="s">
        <v>334</v>
      </c>
      <c r="E30" s="145" t="s">
        <v>146</v>
      </c>
      <c r="F30" s="23" t="s">
        <v>364</v>
      </c>
      <c r="G30" s="41" t="s">
        <v>43</v>
      </c>
      <c r="H30" s="35" t="s">
        <v>365</v>
      </c>
      <c r="I30" s="28" t="s">
        <v>10</v>
      </c>
      <c r="J30" s="36"/>
      <c r="K30" s="37"/>
      <c r="L30" s="38"/>
    </row>
    <row r="31" spans="2:12" ht="107" customHeight="1" x14ac:dyDescent="0.2">
      <c r="B31" s="144"/>
      <c r="C31" s="144"/>
      <c r="D31" s="146"/>
      <c r="E31" s="146"/>
      <c r="F31" s="23" t="s">
        <v>366</v>
      </c>
      <c r="G31" s="41" t="s">
        <v>35</v>
      </c>
      <c r="H31" s="35" t="s">
        <v>367</v>
      </c>
      <c r="I31" s="28" t="s">
        <v>10</v>
      </c>
      <c r="J31" s="36"/>
      <c r="K31" s="37"/>
      <c r="L31" s="38"/>
    </row>
    <row r="32" spans="2:12" ht="54" customHeight="1" x14ac:dyDescent="0.2">
      <c r="B32" s="144"/>
      <c r="C32" s="144"/>
      <c r="D32" s="146"/>
      <c r="E32" s="146"/>
      <c r="F32" s="23" t="s">
        <v>147</v>
      </c>
      <c r="G32" s="41" t="s">
        <v>35</v>
      </c>
      <c r="H32" s="35" t="s">
        <v>148</v>
      </c>
      <c r="I32" s="28" t="s">
        <v>10</v>
      </c>
      <c r="J32" s="36"/>
      <c r="K32" s="37"/>
      <c r="L32" s="38"/>
    </row>
    <row r="33" spans="2:12" ht="74" customHeight="1" x14ac:dyDescent="0.2">
      <c r="B33" s="144"/>
      <c r="C33" s="144"/>
      <c r="D33" s="146"/>
      <c r="E33" s="146"/>
      <c r="F33" s="23" t="s">
        <v>149</v>
      </c>
      <c r="G33" s="41" t="s">
        <v>39</v>
      </c>
      <c r="H33" s="35" t="s">
        <v>150</v>
      </c>
      <c r="I33" s="28" t="s">
        <v>10</v>
      </c>
      <c r="J33" s="36"/>
      <c r="K33" s="37"/>
      <c r="L33" s="38"/>
    </row>
    <row r="34" spans="2:12" ht="54" customHeight="1" x14ac:dyDescent="0.2">
      <c r="B34" s="144"/>
      <c r="C34" s="144"/>
      <c r="D34" s="146"/>
      <c r="E34" s="146"/>
      <c r="F34" s="23" t="s">
        <v>151</v>
      </c>
      <c r="G34" s="41" t="s">
        <v>35</v>
      </c>
      <c r="H34" s="35" t="s">
        <v>368</v>
      </c>
      <c r="I34" s="28" t="s">
        <v>10</v>
      </c>
      <c r="J34" s="36"/>
      <c r="K34" s="37"/>
      <c r="L34" s="38"/>
    </row>
    <row r="35" spans="2:12" ht="54" customHeight="1" x14ac:dyDescent="0.2">
      <c r="B35" s="144"/>
      <c r="C35" s="144"/>
      <c r="D35" s="146"/>
      <c r="E35" s="146"/>
      <c r="F35" s="23" t="s">
        <v>369</v>
      </c>
      <c r="G35" s="41" t="s">
        <v>36</v>
      </c>
      <c r="H35" s="35" t="s">
        <v>370</v>
      </c>
      <c r="I35" s="28" t="s">
        <v>10</v>
      </c>
      <c r="J35" s="36"/>
      <c r="K35" s="37"/>
      <c r="L35" s="38"/>
    </row>
    <row r="36" spans="2:12" ht="54" customHeight="1" x14ac:dyDescent="0.2">
      <c r="B36" s="151" t="s">
        <v>314</v>
      </c>
      <c r="C36" s="151" t="s">
        <v>25</v>
      </c>
      <c r="D36" s="167" t="s">
        <v>335</v>
      </c>
      <c r="E36" s="167" t="s">
        <v>152</v>
      </c>
      <c r="F36" s="22" t="s">
        <v>153</v>
      </c>
      <c r="G36" s="12" t="s">
        <v>43</v>
      </c>
      <c r="H36" s="34" t="s">
        <v>154</v>
      </c>
      <c r="I36" s="28" t="s">
        <v>10</v>
      </c>
      <c r="J36" s="11"/>
      <c r="K36" s="33"/>
      <c r="L36" s="29"/>
    </row>
    <row r="37" spans="2:12" ht="54" customHeight="1" x14ac:dyDescent="0.2">
      <c r="B37" s="152"/>
      <c r="C37" s="152"/>
      <c r="D37" s="168"/>
      <c r="E37" s="168"/>
      <c r="F37" s="22" t="s">
        <v>155</v>
      </c>
      <c r="G37" s="12" t="s">
        <v>43</v>
      </c>
      <c r="H37" s="34" t="s">
        <v>156</v>
      </c>
      <c r="I37" s="28" t="s">
        <v>10</v>
      </c>
      <c r="J37" s="11"/>
      <c r="K37" s="33"/>
      <c r="L37" s="29"/>
    </row>
    <row r="38" spans="2:12" ht="54" customHeight="1" x14ac:dyDescent="0.2">
      <c r="B38" s="152"/>
      <c r="C38" s="152"/>
      <c r="D38" s="168"/>
      <c r="E38" s="168"/>
      <c r="F38" s="22" t="s">
        <v>371</v>
      </c>
      <c r="G38" s="12" t="s">
        <v>43</v>
      </c>
      <c r="H38" s="34" t="s">
        <v>372</v>
      </c>
      <c r="I38" s="28" t="s">
        <v>10</v>
      </c>
      <c r="J38" s="11"/>
      <c r="K38" s="33"/>
      <c r="L38" s="29"/>
    </row>
    <row r="39" spans="2:12" ht="54" customHeight="1" x14ac:dyDescent="0.2">
      <c r="B39" s="152"/>
      <c r="C39" s="152"/>
      <c r="D39" s="168"/>
      <c r="E39" s="168"/>
      <c r="F39" s="22" t="s">
        <v>157</v>
      </c>
      <c r="G39" s="12" t="s">
        <v>35</v>
      </c>
      <c r="H39" s="34" t="s">
        <v>373</v>
      </c>
      <c r="I39" s="28" t="s">
        <v>10</v>
      </c>
      <c r="J39" s="11"/>
      <c r="K39" s="33"/>
      <c r="L39" s="29"/>
    </row>
    <row r="40" spans="2:12" ht="54" customHeight="1" x14ac:dyDescent="0.2">
      <c r="B40" s="152"/>
      <c r="C40" s="152"/>
      <c r="D40" s="168"/>
      <c r="E40" s="168"/>
      <c r="F40" s="22" t="s">
        <v>374</v>
      </c>
      <c r="G40" s="12" t="s">
        <v>35</v>
      </c>
      <c r="H40" s="34" t="s">
        <v>158</v>
      </c>
      <c r="I40" s="28" t="s">
        <v>10</v>
      </c>
      <c r="J40" s="11"/>
      <c r="K40" s="33"/>
      <c r="L40" s="29"/>
    </row>
    <row r="41" spans="2:12" ht="5.25" customHeight="1" x14ac:dyDescent="0.2">
      <c r="B41" s="3"/>
    </row>
    <row r="42" spans="2:12" ht="31" customHeight="1" x14ac:dyDescent="0.2">
      <c r="B42" s="69" t="s">
        <v>34</v>
      </c>
      <c r="C42" s="69" t="s">
        <v>258</v>
      </c>
      <c r="D42" s="69" t="s">
        <v>259</v>
      </c>
      <c r="E42" s="169" t="s">
        <v>32</v>
      </c>
      <c r="F42" s="170"/>
      <c r="G42" s="169" t="s">
        <v>16</v>
      </c>
      <c r="H42" s="170"/>
      <c r="I42" s="71" t="s">
        <v>8</v>
      </c>
      <c r="J42" s="69" t="s">
        <v>17</v>
      </c>
      <c r="K42" s="72" t="s">
        <v>44</v>
      </c>
      <c r="L42" s="69" t="s">
        <v>45</v>
      </c>
    </row>
    <row r="43" spans="2:12" ht="54" customHeight="1" x14ac:dyDescent="0.2">
      <c r="B43" s="151" t="s">
        <v>314</v>
      </c>
      <c r="C43" s="151" t="s">
        <v>260</v>
      </c>
      <c r="D43" s="153" t="s">
        <v>336</v>
      </c>
      <c r="E43" s="129" t="s">
        <v>383</v>
      </c>
      <c r="F43" s="130"/>
      <c r="G43" s="127" t="s">
        <v>384</v>
      </c>
      <c r="H43" s="128"/>
      <c r="I43" s="28" t="s">
        <v>10</v>
      </c>
      <c r="J43" s="11"/>
      <c r="K43" s="33"/>
      <c r="L43" s="29"/>
    </row>
    <row r="44" spans="2:12" ht="54" customHeight="1" x14ac:dyDescent="0.2">
      <c r="B44" s="152"/>
      <c r="C44" s="152"/>
      <c r="D44" s="154"/>
      <c r="E44" s="131"/>
      <c r="F44" s="132"/>
      <c r="G44" s="127" t="s">
        <v>385</v>
      </c>
      <c r="H44" s="128"/>
      <c r="I44" s="28" t="s">
        <v>10</v>
      </c>
      <c r="J44" s="11"/>
      <c r="K44" s="33"/>
      <c r="L44" s="29"/>
    </row>
    <row r="45" spans="2:12" ht="54" customHeight="1" x14ac:dyDescent="0.2">
      <c r="B45" s="152"/>
      <c r="C45" s="152"/>
      <c r="D45" s="154"/>
      <c r="E45" s="133"/>
      <c r="F45" s="134"/>
      <c r="G45" s="127" t="s">
        <v>386</v>
      </c>
      <c r="H45" s="128"/>
      <c r="I45" s="28" t="s">
        <v>10</v>
      </c>
      <c r="J45" s="11"/>
      <c r="K45" s="33"/>
      <c r="L45" s="29"/>
    </row>
    <row r="46" spans="2:12" ht="54" customHeight="1" x14ac:dyDescent="0.2">
      <c r="B46" s="143" t="s">
        <v>314</v>
      </c>
      <c r="C46" s="143" t="s">
        <v>261</v>
      </c>
      <c r="D46" s="145" t="s">
        <v>337</v>
      </c>
      <c r="E46" s="135" t="s">
        <v>387</v>
      </c>
      <c r="F46" s="136"/>
      <c r="G46" s="141" t="s">
        <v>388</v>
      </c>
      <c r="H46" s="142"/>
      <c r="I46" s="28" t="s">
        <v>10</v>
      </c>
      <c r="J46" s="36"/>
      <c r="K46" s="37"/>
      <c r="L46" s="38"/>
    </row>
    <row r="47" spans="2:12" ht="54" customHeight="1" x14ac:dyDescent="0.2">
      <c r="B47" s="144"/>
      <c r="C47" s="144"/>
      <c r="D47" s="146"/>
      <c r="E47" s="137"/>
      <c r="F47" s="138"/>
      <c r="G47" s="141" t="s">
        <v>389</v>
      </c>
      <c r="H47" s="142"/>
      <c r="I47" s="28" t="s">
        <v>10</v>
      </c>
      <c r="J47" s="36"/>
      <c r="K47" s="37"/>
      <c r="L47" s="38"/>
    </row>
    <row r="48" spans="2:12" ht="54" customHeight="1" x14ac:dyDescent="0.2">
      <c r="B48" s="144"/>
      <c r="C48" s="144"/>
      <c r="D48" s="146"/>
      <c r="E48" s="139"/>
      <c r="F48" s="140"/>
      <c r="G48" s="141" t="s">
        <v>390</v>
      </c>
      <c r="H48" s="142"/>
      <c r="I48" s="28" t="s">
        <v>10</v>
      </c>
      <c r="J48" s="36"/>
      <c r="K48" s="37"/>
      <c r="L48" s="38"/>
    </row>
    <row r="49" spans="2:12" ht="54" customHeight="1" x14ac:dyDescent="0.2">
      <c r="B49" s="151" t="s">
        <v>314</v>
      </c>
      <c r="C49" s="151" t="s">
        <v>262</v>
      </c>
      <c r="D49" s="153" t="s">
        <v>338</v>
      </c>
      <c r="E49" s="129" t="s">
        <v>375</v>
      </c>
      <c r="F49" s="130"/>
      <c r="G49" s="127" t="s">
        <v>376</v>
      </c>
      <c r="H49" s="128"/>
      <c r="I49" s="28" t="s">
        <v>10</v>
      </c>
      <c r="J49" s="11"/>
      <c r="K49" s="33"/>
      <c r="L49" s="29"/>
    </row>
    <row r="50" spans="2:12" ht="54" customHeight="1" x14ac:dyDescent="0.2">
      <c r="B50" s="152"/>
      <c r="C50" s="152"/>
      <c r="D50" s="154"/>
      <c r="E50" s="131"/>
      <c r="F50" s="132"/>
      <c r="G50" s="127" t="s">
        <v>377</v>
      </c>
      <c r="H50" s="128"/>
      <c r="I50" s="28" t="s">
        <v>10</v>
      </c>
      <c r="J50" s="11"/>
      <c r="K50" s="33"/>
      <c r="L50" s="29"/>
    </row>
    <row r="51" spans="2:12" ht="54" customHeight="1" x14ac:dyDescent="0.2">
      <c r="B51" s="152"/>
      <c r="C51" s="152"/>
      <c r="D51" s="154"/>
      <c r="E51" s="133"/>
      <c r="F51" s="134"/>
      <c r="G51" s="127" t="s">
        <v>378</v>
      </c>
      <c r="H51" s="128"/>
      <c r="I51" s="28" t="s">
        <v>10</v>
      </c>
      <c r="J51" s="11"/>
      <c r="K51" s="33"/>
      <c r="L51" s="29"/>
    </row>
    <row r="52" spans="2:12" ht="54" customHeight="1" x14ac:dyDescent="0.2">
      <c r="B52" s="143" t="s">
        <v>314</v>
      </c>
      <c r="C52" s="143" t="s">
        <v>263</v>
      </c>
      <c r="D52" s="145" t="s">
        <v>339</v>
      </c>
      <c r="E52" s="135" t="s">
        <v>391</v>
      </c>
      <c r="F52" s="136"/>
      <c r="G52" s="141" t="s">
        <v>392</v>
      </c>
      <c r="H52" s="142"/>
      <c r="I52" s="28" t="s">
        <v>10</v>
      </c>
      <c r="J52" s="36"/>
      <c r="K52" s="37"/>
      <c r="L52" s="38"/>
    </row>
    <row r="53" spans="2:12" ht="54" customHeight="1" x14ac:dyDescent="0.2">
      <c r="B53" s="144"/>
      <c r="C53" s="144"/>
      <c r="D53" s="146"/>
      <c r="E53" s="137"/>
      <c r="F53" s="138"/>
      <c r="G53" s="141" t="s">
        <v>393</v>
      </c>
      <c r="H53" s="142"/>
      <c r="I53" s="28" t="s">
        <v>10</v>
      </c>
      <c r="J53" s="36"/>
      <c r="K53" s="37"/>
      <c r="L53" s="38"/>
    </row>
    <row r="54" spans="2:12" ht="54" customHeight="1" x14ac:dyDescent="0.2">
      <c r="B54" s="144"/>
      <c r="C54" s="144"/>
      <c r="D54" s="146"/>
      <c r="E54" s="139"/>
      <c r="F54" s="140"/>
      <c r="G54" s="141" t="s">
        <v>394</v>
      </c>
      <c r="H54" s="142"/>
      <c r="I54" s="28" t="s">
        <v>10</v>
      </c>
      <c r="J54" s="36"/>
      <c r="K54" s="37"/>
      <c r="L54" s="38"/>
    </row>
    <row r="55" spans="2:12" ht="54" customHeight="1" x14ac:dyDescent="0.2">
      <c r="B55" s="151" t="s">
        <v>314</v>
      </c>
      <c r="C55" s="151" t="s">
        <v>264</v>
      </c>
      <c r="D55" s="153" t="s">
        <v>340</v>
      </c>
      <c r="E55" s="129" t="s">
        <v>379</v>
      </c>
      <c r="F55" s="130"/>
      <c r="G55" s="127" t="s">
        <v>380</v>
      </c>
      <c r="H55" s="128"/>
      <c r="I55" s="28" t="s">
        <v>10</v>
      </c>
      <c r="J55" s="11"/>
      <c r="K55" s="33"/>
      <c r="L55" s="29"/>
    </row>
    <row r="56" spans="2:12" ht="54" customHeight="1" x14ac:dyDescent="0.2">
      <c r="B56" s="152"/>
      <c r="C56" s="152"/>
      <c r="D56" s="154"/>
      <c r="E56" s="131"/>
      <c r="F56" s="132"/>
      <c r="G56" s="127" t="s">
        <v>381</v>
      </c>
      <c r="H56" s="128"/>
      <c r="I56" s="28" t="s">
        <v>10</v>
      </c>
      <c r="J56" s="11"/>
      <c r="K56" s="33"/>
      <c r="L56" s="29"/>
    </row>
    <row r="57" spans="2:12" ht="54" customHeight="1" x14ac:dyDescent="0.2">
      <c r="B57" s="152"/>
      <c r="C57" s="152"/>
      <c r="D57" s="154"/>
      <c r="E57" s="133"/>
      <c r="F57" s="134"/>
      <c r="G57" s="127" t="s">
        <v>382</v>
      </c>
      <c r="H57" s="128"/>
      <c r="I57" s="28" t="s">
        <v>10</v>
      </c>
      <c r="J57" s="11"/>
      <c r="K57" s="33"/>
      <c r="L57" s="29"/>
    </row>
    <row r="58" spans="2:12" ht="54" customHeight="1" x14ac:dyDescent="0.2">
      <c r="B58" s="143" t="s">
        <v>314</v>
      </c>
      <c r="C58" s="143" t="s">
        <v>267</v>
      </c>
      <c r="D58" s="145" t="s">
        <v>341</v>
      </c>
      <c r="E58" s="135" t="s">
        <v>395</v>
      </c>
      <c r="F58" s="136"/>
      <c r="G58" s="141" t="s">
        <v>396</v>
      </c>
      <c r="H58" s="142"/>
      <c r="I58" s="28" t="s">
        <v>10</v>
      </c>
      <c r="J58" s="36"/>
      <c r="K58" s="37"/>
      <c r="L58" s="38"/>
    </row>
    <row r="59" spans="2:12" ht="54" customHeight="1" x14ac:dyDescent="0.2">
      <c r="B59" s="144"/>
      <c r="C59" s="144"/>
      <c r="D59" s="146"/>
      <c r="E59" s="137"/>
      <c r="F59" s="138"/>
      <c r="G59" s="141" t="s">
        <v>397</v>
      </c>
      <c r="H59" s="142"/>
      <c r="I59" s="28" t="s">
        <v>10</v>
      </c>
      <c r="J59" s="36"/>
      <c r="K59" s="37"/>
      <c r="L59" s="38"/>
    </row>
    <row r="60" spans="2:12" ht="54" customHeight="1" x14ac:dyDescent="0.2">
      <c r="B60" s="144"/>
      <c r="C60" s="144"/>
      <c r="D60" s="146"/>
      <c r="E60" s="137"/>
      <c r="F60" s="138"/>
      <c r="G60" s="141" t="s">
        <v>398</v>
      </c>
      <c r="H60" s="142"/>
      <c r="I60" s="28" t="s">
        <v>10</v>
      </c>
      <c r="J60" s="36"/>
      <c r="K60" s="37"/>
      <c r="L60" s="38"/>
    </row>
    <row r="236" spans="1:13" s="4" customFormat="1" x14ac:dyDescent="0.2">
      <c r="A236" s="1"/>
      <c r="B236" s="2"/>
      <c r="C236" s="3"/>
      <c r="D236" s="3"/>
      <c r="E236" s="3"/>
      <c r="G236" s="2"/>
      <c r="I236" s="6"/>
      <c r="J236" s="1"/>
      <c r="K236" s="30"/>
      <c r="L236" s="1"/>
      <c r="M236" s="1"/>
    </row>
    <row r="237" spans="1:13" s="4" customFormat="1" x14ac:dyDescent="0.2">
      <c r="A237" s="1"/>
      <c r="B237" s="2"/>
      <c r="C237" s="3"/>
      <c r="D237" s="3"/>
      <c r="E237" s="3"/>
      <c r="G237" s="2"/>
      <c r="I237" s="6"/>
      <c r="J237" s="1"/>
      <c r="K237" s="30"/>
      <c r="L237" s="1"/>
      <c r="M237" s="1"/>
    </row>
    <row r="238" spans="1:13" s="4" customFormat="1" x14ac:dyDescent="0.2">
      <c r="A238" s="1"/>
      <c r="B238" s="2"/>
      <c r="C238" s="3"/>
      <c r="D238" s="3"/>
      <c r="E238" s="3"/>
      <c r="G238" s="2"/>
      <c r="I238" s="6"/>
      <c r="J238" s="1"/>
      <c r="K238" s="30"/>
      <c r="L238" s="1"/>
      <c r="M238" s="1"/>
    </row>
    <row r="239" spans="1:13" s="4" customFormat="1" x14ac:dyDescent="0.2">
      <c r="A239" s="1"/>
      <c r="B239" s="2"/>
      <c r="C239" s="3"/>
      <c r="D239" s="3"/>
      <c r="E239" s="3"/>
      <c r="G239" s="2"/>
      <c r="I239" s="6"/>
      <c r="J239" s="1"/>
      <c r="K239" s="30"/>
      <c r="L239" s="1"/>
      <c r="M239" s="1"/>
    </row>
    <row r="240" spans="1:13" s="4" customFormat="1" x14ac:dyDescent="0.2">
      <c r="A240" s="1"/>
      <c r="B240" s="2"/>
      <c r="C240" s="3"/>
      <c r="D240" s="3"/>
      <c r="E240" s="3"/>
      <c r="G240" s="2"/>
      <c r="I240" s="6"/>
      <c r="J240" s="1"/>
      <c r="K240" s="30"/>
      <c r="L240" s="1"/>
      <c r="M240" s="1"/>
    </row>
    <row r="241" spans="1:13" s="4" customFormat="1" x14ac:dyDescent="0.2">
      <c r="A241" s="1"/>
      <c r="B241" s="2"/>
      <c r="C241" s="3"/>
      <c r="D241" s="3"/>
      <c r="E241" s="3"/>
      <c r="G241" s="2"/>
      <c r="I241" s="6"/>
      <c r="J241" s="1"/>
      <c r="K241" s="30"/>
      <c r="L241" s="1"/>
      <c r="M241" s="1"/>
    </row>
    <row r="245" spans="1:13" s="4" customFormat="1" x14ac:dyDescent="0.2">
      <c r="A245" s="1"/>
      <c r="B245" s="2"/>
      <c r="C245" s="3"/>
      <c r="D245" s="3"/>
      <c r="E245" s="3"/>
      <c r="G245" s="2"/>
      <c r="I245" s="6"/>
      <c r="J245" s="1"/>
      <c r="K245" s="30"/>
      <c r="L245" s="1"/>
      <c r="M245" s="1"/>
    </row>
    <row r="246" spans="1:13" s="4" customFormat="1" x14ac:dyDescent="0.2">
      <c r="A246" s="1"/>
      <c r="B246" s="2"/>
      <c r="C246" s="3"/>
      <c r="D246" s="3"/>
      <c r="E246" s="3"/>
      <c r="G246" s="2"/>
      <c r="I246" s="6"/>
      <c r="J246" s="1"/>
      <c r="K246" s="30"/>
      <c r="L246" s="1"/>
      <c r="M246" s="1"/>
    </row>
    <row r="247" spans="1:13" s="4" customFormat="1" x14ac:dyDescent="0.2">
      <c r="A247" s="1"/>
      <c r="B247" s="2"/>
      <c r="C247" s="3"/>
      <c r="D247" s="3"/>
      <c r="E247" s="3"/>
      <c r="G247" s="2"/>
      <c r="I247" s="6"/>
      <c r="J247" s="1"/>
      <c r="K247" s="30"/>
      <c r="L247" s="1"/>
      <c r="M247" s="1"/>
    </row>
    <row r="248" spans="1:13" s="4" customFormat="1" x14ac:dyDescent="0.2">
      <c r="A248" s="1"/>
      <c r="B248" s="2"/>
      <c r="C248" s="3"/>
      <c r="D248" s="3"/>
      <c r="E248" s="3"/>
      <c r="G248" s="2"/>
      <c r="I248" s="6"/>
      <c r="J248" s="1"/>
      <c r="K248" s="30"/>
      <c r="L248" s="1"/>
      <c r="M248" s="1"/>
    </row>
    <row r="249" spans="1:13" s="4" customFormat="1" x14ac:dyDescent="0.2">
      <c r="A249" s="1"/>
      <c r="B249" s="2"/>
      <c r="C249" s="3"/>
      <c r="D249" s="3"/>
      <c r="E249" s="3"/>
      <c r="G249" s="2"/>
      <c r="I249" s="6"/>
      <c r="J249" s="1"/>
      <c r="K249" s="30"/>
      <c r="L249" s="1"/>
      <c r="M249" s="1"/>
    </row>
    <row r="253" spans="1:13" s="4" customFormat="1" x14ac:dyDescent="0.2">
      <c r="A253" s="1"/>
      <c r="B253" s="2"/>
      <c r="C253" s="3"/>
      <c r="D253" s="3"/>
      <c r="E253" s="3"/>
      <c r="G253" s="2"/>
      <c r="I253" s="6"/>
      <c r="J253" s="1"/>
      <c r="K253" s="30"/>
      <c r="L253" s="1"/>
      <c r="M253" s="1"/>
    </row>
    <row r="254" spans="1:13" s="4" customFormat="1" x14ac:dyDescent="0.2">
      <c r="A254" s="1"/>
      <c r="B254" s="2"/>
      <c r="C254" s="3"/>
      <c r="D254" s="3"/>
      <c r="E254" s="3"/>
      <c r="G254" s="2"/>
      <c r="I254" s="6"/>
      <c r="J254" s="1"/>
      <c r="K254" s="30"/>
      <c r="L254" s="1"/>
      <c r="M254" s="1"/>
    </row>
    <row r="255" spans="1:13" s="4" customFormat="1" x14ac:dyDescent="0.2">
      <c r="A255" s="1"/>
      <c r="B255" s="2"/>
      <c r="C255" s="3"/>
      <c r="D255" s="3"/>
      <c r="E255" s="3"/>
      <c r="G255" s="2"/>
      <c r="I255" s="6"/>
      <c r="J255" s="1"/>
      <c r="K255" s="30"/>
      <c r="L255" s="1"/>
      <c r="M255" s="1"/>
    </row>
    <row r="256" spans="1:13" s="4" customFormat="1" x14ac:dyDescent="0.2">
      <c r="A256" s="1"/>
      <c r="B256" s="2"/>
      <c r="C256" s="3"/>
      <c r="D256" s="3"/>
      <c r="E256" s="3"/>
      <c r="G256" s="2"/>
      <c r="I256" s="6"/>
      <c r="J256" s="1"/>
      <c r="K256" s="30"/>
      <c r="L256" s="1"/>
      <c r="M256" s="1"/>
    </row>
    <row r="257" spans="1:13" s="4" customFormat="1" x14ac:dyDescent="0.2">
      <c r="A257" s="1"/>
      <c r="B257" s="2"/>
      <c r="C257" s="3"/>
      <c r="D257" s="3"/>
      <c r="E257" s="3"/>
      <c r="G257" s="2"/>
      <c r="I257" s="6"/>
      <c r="J257" s="1"/>
      <c r="K257" s="30"/>
      <c r="L257" s="1"/>
      <c r="M257" s="1"/>
    </row>
    <row r="258" spans="1:13" s="4" customFormat="1" x14ac:dyDescent="0.2">
      <c r="A258" s="1"/>
      <c r="B258" s="2"/>
      <c r="C258" s="3"/>
      <c r="D258" s="3"/>
      <c r="E258" s="3"/>
      <c r="G258" s="2"/>
      <c r="I258" s="6"/>
      <c r="J258" s="1"/>
      <c r="K258" s="30"/>
      <c r="L258" s="1"/>
      <c r="M258" s="1"/>
    </row>
    <row r="259" spans="1:13" s="4" customFormat="1" x14ac:dyDescent="0.2">
      <c r="A259" s="1"/>
      <c r="B259" s="2"/>
      <c r="C259" s="3"/>
      <c r="D259" s="3"/>
      <c r="E259" s="3"/>
      <c r="G259" s="2"/>
      <c r="I259" s="6"/>
      <c r="J259" s="1"/>
      <c r="K259" s="30"/>
      <c r="L259" s="1"/>
      <c r="M259" s="1"/>
    </row>
  </sheetData>
  <mergeCells count="71">
    <mergeCell ref="B19:B24"/>
    <mergeCell ref="C19:C24"/>
    <mergeCell ref="D19:D24"/>
    <mergeCell ref="E19:E24"/>
    <mergeCell ref="B2:J2"/>
    <mergeCell ref="B4:J4"/>
    <mergeCell ref="B6:H8"/>
    <mergeCell ref="I6:J6"/>
    <mergeCell ref="I7:J8"/>
    <mergeCell ref="C10:J10"/>
    <mergeCell ref="C11:J11"/>
    <mergeCell ref="B14:B18"/>
    <mergeCell ref="C14:C18"/>
    <mergeCell ref="D14:D18"/>
    <mergeCell ref="E14:E18"/>
    <mergeCell ref="B36:B40"/>
    <mergeCell ref="C36:C40"/>
    <mergeCell ref="D36:D40"/>
    <mergeCell ref="E36:E40"/>
    <mergeCell ref="B25:B29"/>
    <mergeCell ref="C25:C29"/>
    <mergeCell ref="D25:D29"/>
    <mergeCell ref="E25:E29"/>
    <mergeCell ref="B30:B35"/>
    <mergeCell ref="C30:C35"/>
    <mergeCell ref="D30:D35"/>
    <mergeCell ref="E30:E35"/>
    <mergeCell ref="G42:H42"/>
    <mergeCell ref="E42:F42"/>
    <mergeCell ref="G43:H43"/>
    <mergeCell ref="G44:H44"/>
    <mergeCell ref="G45:H45"/>
    <mergeCell ref="G49:H49"/>
    <mergeCell ref="G50:H50"/>
    <mergeCell ref="B43:B45"/>
    <mergeCell ref="C43:C45"/>
    <mergeCell ref="D43:D45"/>
    <mergeCell ref="B46:B48"/>
    <mergeCell ref="C46:C48"/>
    <mergeCell ref="D46:D48"/>
    <mergeCell ref="G46:H46"/>
    <mergeCell ref="G47:H47"/>
    <mergeCell ref="G48:H48"/>
    <mergeCell ref="B52:B54"/>
    <mergeCell ref="C52:C54"/>
    <mergeCell ref="D52:D54"/>
    <mergeCell ref="B49:B51"/>
    <mergeCell ref="C49:C51"/>
    <mergeCell ref="D49:D51"/>
    <mergeCell ref="B58:B60"/>
    <mergeCell ref="C58:C60"/>
    <mergeCell ref="D58:D60"/>
    <mergeCell ref="G56:H56"/>
    <mergeCell ref="G57:H57"/>
    <mergeCell ref="G58:H58"/>
    <mergeCell ref="G59:H59"/>
    <mergeCell ref="G60:H60"/>
    <mergeCell ref="E58:F60"/>
    <mergeCell ref="B55:B57"/>
    <mergeCell ref="C55:C57"/>
    <mergeCell ref="D55:D57"/>
    <mergeCell ref="G51:H51"/>
    <mergeCell ref="G52:H52"/>
    <mergeCell ref="G53:H53"/>
    <mergeCell ref="G54:H54"/>
    <mergeCell ref="G55:H55"/>
    <mergeCell ref="E55:F57"/>
    <mergeCell ref="E52:F54"/>
    <mergeCell ref="E49:F51"/>
    <mergeCell ref="E46:F48"/>
    <mergeCell ref="E43:F45"/>
  </mergeCells>
  <conditionalFormatting sqref="I1">
    <cfRule type="cellIs" dxfId="376" priority="11" operator="equal">
      <formula>1</formula>
    </cfRule>
  </conditionalFormatting>
  <conditionalFormatting sqref="I7">
    <cfRule type="cellIs" dxfId="375" priority="9" operator="equal">
      <formula>1</formula>
    </cfRule>
  </conditionalFormatting>
  <conditionalFormatting sqref="I43:I60 I14:I40">
    <cfRule type="expression" dxfId="374" priority="5" stopIfTrue="1">
      <formula>TRIM(UPPER(I14))="N/A"</formula>
    </cfRule>
    <cfRule type="expression" dxfId="373" priority="6">
      <formula>I14&gt;=0.9</formula>
    </cfRule>
    <cfRule type="expression" dxfId="372" priority="7">
      <formula>AND(I14&gt;=0.8, I14&lt;0.9)</formula>
    </cfRule>
    <cfRule type="expression" dxfId="371" priority="8">
      <formula>I14&lt;0.8</formula>
    </cfRule>
  </conditionalFormatting>
  <conditionalFormatting sqref="I61:I1048576">
    <cfRule type="cellIs" dxfId="370" priority="10" operator="equal">
      <formula>1</formula>
    </cfRule>
  </conditionalFormatting>
  <printOptions horizontalCentered="1"/>
  <pageMargins left="0.51181102362204722" right="0.51181102362204722" top="0.55118110236220474" bottom="0.55118110236220474" header="0.31496062992125984" footer="0.31496062992125984"/>
  <pageSetup scale="45"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E605F9D-0B75-A84B-B4A5-4138FAEA6F0A}">
          <x14:formula1>
            <xm:f>'Listas desplegables'!$C$4:$C$15</xm:f>
          </x14:formula1>
          <xm:sqref>I43:I60 I14:I40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9CDEA-10D8-6143-AADB-6D2C2A7F8F67}">
  <sheetPr>
    <tabColor rgb="FF0098AA"/>
  </sheetPr>
  <dimension ref="A1:M276"/>
  <sheetViews>
    <sheetView showGridLines="0" zoomScale="70" zoomScaleNormal="70" workbookViewId="0">
      <selection activeCell="I14" sqref="I14:I18"/>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57" t="s">
        <v>159</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f>AVERAGEIF(I14:I77,"&lt;&gt;N/A")</f>
        <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108" customHeight="1" x14ac:dyDescent="0.2">
      <c r="B10" s="40" t="s">
        <v>13</v>
      </c>
      <c r="C10" s="147" t="s">
        <v>399</v>
      </c>
      <c r="D10" s="148"/>
      <c r="E10" s="148"/>
      <c r="F10" s="148"/>
      <c r="G10" s="148"/>
      <c r="H10" s="148"/>
      <c r="I10" s="148"/>
      <c r="J10" s="149"/>
    </row>
    <row r="11" spans="2:12" ht="87" customHeight="1" x14ac:dyDescent="0.2">
      <c r="B11" s="39" t="s">
        <v>14</v>
      </c>
      <c r="C11" s="150" t="s">
        <v>400</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54" customHeight="1" x14ac:dyDescent="0.2">
      <c r="B14" s="151" t="s">
        <v>348</v>
      </c>
      <c r="C14" s="151" t="s">
        <v>19</v>
      </c>
      <c r="D14" s="153" t="s">
        <v>402</v>
      </c>
      <c r="E14" s="153" t="s">
        <v>414</v>
      </c>
      <c r="F14" s="22" t="s">
        <v>415</v>
      </c>
      <c r="G14" s="12" t="s">
        <v>35</v>
      </c>
      <c r="H14" s="34" t="s">
        <v>160</v>
      </c>
      <c r="I14" s="28">
        <v>0</v>
      </c>
      <c r="J14" s="11"/>
      <c r="K14" s="33"/>
      <c r="L14" s="29"/>
    </row>
    <row r="15" spans="2:12" ht="54" customHeight="1" x14ac:dyDescent="0.2">
      <c r="B15" s="152"/>
      <c r="C15" s="152"/>
      <c r="D15" s="154"/>
      <c r="E15" s="154"/>
      <c r="F15" s="22" t="s">
        <v>416</v>
      </c>
      <c r="G15" s="12" t="s">
        <v>36</v>
      </c>
      <c r="H15" s="34" t="s">
        <v>420</v>
      </c>
      <c r="I15" s="28" t="s">
        <v>10</v>
      </c>
      <c r="J15" s="11"/>
      <c r="K15" s="33"/>
      <c r="L15" s="29"/>
    </row>
    <row r="16" spans="2:12" ht="54" customHeight="1" x14ac:dyDescent="0.2">
      <c r="B16" s="152"/>
      <c r="C16" s="152"/>
      <c r="D16" s="154"/>
      <c r="E16" s="154"/>
      <c r="F16" s="22" t="s">
        <v>161</v>
      </c>
      <c r="G16" s="12" t="s">
        <v>110</v>
      </c>
      <c r="H16" s="34" t="s">
        <v>162</v>
      </c>
      <c r="I16" s="28" t="s">
        <v>10</v>
      </c>
      <c r="J16" s="11"/>
      <c r="K16" s="33"/>
      <c r="L16" s="29"/>
    </row>
    <row r="17" spans="2:12" ht="54" customHeight="1" x14ac:dyDescent="0.2">
      <c r="B17" s="152"/>
      <c r="C17" s="152"/>
      <c r="D17" s="154"/>
      <c r="E17" s="154"/>
      <c r="F17" s="22" t="s">
        <v>417</v>
      </c>
      <c r="G17" s="12" t="s">
        <v>43</v>
      </c>
      <c r="H17" s="34" t="s">
        <v>421</v>
      </c>
      <c r="I17" s="28" t="s">
        <v>10</v>
      </c>
      <c r="J17" s="11"/>
      <c r="K17" s="33"/>
      <c r="L17" s="29"/>
    </row>
    <row r="18" spans="2:12" ht="54" customHeight="1" x14ac:dyDescent="0.2">
      <c r="B18" s="152"/>
      <c r="C18" s="152"/>
      <c r="D18" s="154"/>
      <c r="E18" s="154"/>
      <c r="F18" s="22" t="s">
        <v>163</v>
      </c>
      <c r="G18" s="12" t="s">
        <v>35</v>
      </c>
      <c r="H18" s="34" t="s">
        <v>164</v>
      </c>
      <c r="I18" s="28" t="s">
        <v>10</v>
      </c>
      <c r="J18" s="11"/>
      <c r="K18" s="33"/>
      <c r="L18" s="29"/>
    </row>
    <row r="19" spans="2:12" ht="54" customHeight="1" x14ac:dyDescent="0.2">
      <c r="B19" s="152"/>
      <c r="C19" s="152"/>
      <c r="D19" s="154"/>
      <c r="E19" s="154"/>
      <c r="F19" s="22" t="s">
        <v>418</v>
      </c>
      <c r="G19" s="12" t="s">
        <v>36</v>
      </c>
      <c r="H19" s="34" t="s">
        <v>422</v>
      </c>
      <c r="I19" s="28" t="s">
        <v>10</v>
      </c>
      <c r="J19" s="11"/>
      <c r="K19" s="33"/>
      <c r="L19" s="29"/>
    </row>
    <row r="20" spans="2:12" ht="93" customHeight="1" x14ac:dyDescent="0.2">
      <c r="B20" s="152"/>
      <c r="C20" s="152"/>
      <c r="D20" s="154"/>
      <c r="E20" s="154"/>
      <c r="F20" s="22" t="s">
        <v>419</v>
      </c>
      <c r="G20" s="12" t="s">
        <v>43</v>
      </c>
      <c r="H20" s="34" t="s">
        <v>423</v>
      </c>
      <c r="I20" s="28" t="s">
        <v>10</v>
      </c>
      <c r="J20" s="11"/>
      <c r="K20" s="33"/>
      <c r="L20" s="29"/>
    </row>
    <row r="21" spans="2:12" ht="54" customHeight="1" x14ac:dyDescent="0.2">
      <c r="B21" s="143" t="s">
        <v>348</v>
      </c>
      <c r="C21" s="143" t="s">
        <v>20</v>
      </c>
      <c r="D21" s="145" t="s">
        <v>403</v>
      </c>
      <c r="E21" s="145" t="s">
        <v>424</v>
      </c>
      <c r="F21" s="23" t="s">
        <v>425</v>
      </c>
      <c r="G21" s="41" t="s">
        <v>110</v>
      </c>
      <c r="H21" s="35" t="s">
        <v>431</v>
      </c>
      <c r="I21" s="28" t="s">
        <v>10</v>
      </c>
      <c r="J21" s="36"/>
      <c r="K21" s="37"/>
      <c r="L21" s="38"/>
    </row>
    <row r="22" spans="2:12" ht="54" customHeight="1" x14ac:dyDescent="0.2">
      <c r="B22" s="144"/>
      <c r="C22" s="144"/>
      <c r="D22" s="146"/>
      <c r="E22" s="146"/>
      <c r="F22" s="23" t="s">
        <v>165</v>
      </c>
      <c r="G22" s="41" t="s">
        <v>110</v>
      </c>
      <c r="H22" s="35" t="s">
        <v>166</v>
      </c>
      <c r="I22" s="28" t="s">
        <v>10</v>
      </c>
      <c r="J22" s="36"/>
      <c r="K22" s="37"/>
      <c r="L22" s="38"/>
    </row>
    <row r="23" spans="2:12" ht="54" customHeight="1" x14ac:dyDescent="0.2">
      <c r="B23" s="144"/>
      <c r="C23" s="144"/>
      <c r="D23" s="146"/>
      <c r="E23" s="146"/>
      <c r="F23" s="23" t="s">
        <v>426</v>
      </c>
      <c r="G23" s="41" t="s">
        <v>110</v>
      </c>
      <c r="H23" s="35" t="s">
        <v>432</v>
      </c>
      <c r="I23" s="28" t="s">
        <v>10</v>
      </c>
      <c r="J23" s="36"/>
      <c r="K23" s="37"/>
      <c r="L23" s="38"/>
    </row>
    <row r="24" spans="2:12" ht="54" customHeight="1" x14ac:dyDescent="0.2">
      <c r="B24" s="144"/>
      <c r="C24" s="144"/>
      <c r="D24" s="146"/>
      <c r="E24" s="146"/>
      <c r="F24" s="23" t="s">
        <v>427</v>
      </c>
      <c r="G24" s="41" t="s">
        <v>110</v>
      </c>
      <c r="H24" s="35" t="s">
        <v>167</v>
      </c>
      <c r="I24" s="28" t="s">
        <v>10</v>
      </c>
      <c r="J24" s="36"/>
      <c r="K24" s="37"/>
      <c r="L24" s="38"/>
    </row>
    <row r="25" spans="2:12" ht="72" customHeight="1" x14ac:dyDescent="0.2">
      <c r="B25" s="144"/>
      <c r="C25" s="144"/>
      <c r="D25" s="146"/>
      <c r="E25" s="146"/>
      <c r="F25" s="23" t="s">
        <v>428</v>
      </c>
      <c r="G25" s="41" t="s">
        <v>110</v>
      </c>
      <c r="H25" s="35" t="s">
        <v>433</v>
      </c>
      <c r="I25" s="28" t="s">
        <v>10</v>
      </c>
      <c r="J25" s="36"/>
      <c r="K25" s="37"/>
      <c r="L25" s="38"/>
    </row>
    <row r="26" spans="2:12" ht="54" customHeight="1" x14ac:dyDescent="0.2">
      <c r="B26" s="144"/>
      <c r="C26" s="144"/>
      <c r="D26" s="146"/>
      <c r="E26" s="146"/>
      <c r="F26" s="23" t="s">
        <v>429</v>
      </c>
      <c r="G26" s="41" t="s">
        <v>110</v>
      </c>
      <c r="H26" s="35" t="s">
        <v>168</v>
      </c>
      <c r="I26" s="28" t="s">
        <v>10</v>
      </c>
      <c r="J26" s="36"/>
      <c r="K26" s="37"/>
      <c r="L26" s="38"/>
    </row>
    <row r="27" spans="2:12" ht="54" customHeight="1" x14ac:dyDescent="0.2">
      <c r="B27" s="144"/>
      <c r="C27" s="144"/>
      <c r="D27" s="146"/>
      <c r="E27" s="146"/>
      <c r="F27" s="23" t="s">
        <v>430</v>
      </c>
      <c r="G27" s="41" t="s">
        <v>43</v>
      </c>
      <c r="H27" s="35" t="s">
        <v>434</v>
      </c>
      <c r="I27" s="28" t="s">
        <v>10</v>
      </c>
      <c r="J27" s="36"/>
      <c r="K27" s="37"/>
      <c r="L27" s="38"/>
    </row>
    <row r="28" spans="2:12" ht="71" customHeight="1" x14ac:dyDescent="0.2">
      <c r="B28" s="151" t="s">
        <v>348</v>
      </c>
      <c r="C28" s="151" t="s">
        <v>21</v>
      </c>
      <c r="D28" s="153" t="s">
        <v>404</v>
      </c>
      <c r="E28" s="153" t="s">
        <v>435</v>
      </c>
      <c r="F28" s="22" t="s">
        <v>436</v>
      </c>
      <c r="G28" s="12" t="s">
        <v>35</v>
      </c>
      <c r="H28" s="34" t="s">
        <v>437</v>
      </c>
      <c r="I28" s="28" t="s">
        <v>10</v>
      </c>
      <c r="J28" s="11"/>
      <c r="K28" s="33"/>
      <c r="L28" s="29"/>
    </row>
    <row r="29" spans="2:12" ht="54" customHeight="1" x14ac:dyDescent="0.2">
      <c r="B29" s="152"/>
      <c r="C29" s="152"/>
      <c r="D29" s="154"/>
      <c r="E29" s="154"/>
      <c r="F29" s="22" t="s">
        <v>438</v>
      </c>
      <c r="G29" s="12" t="s">
        <v>36</v>
      </c>
      <c r="H29" s="34" t="s">
        <v>441</v>
      </c>
      <c r="I29" s="28" t="s">
        <v>10</v>
      </c>
      <c r="J29" s="11"/>
      <c r="K29" s="33"/>
      <c r="L29" s="29"/>
    </row>
    <row r="30" spans="2:12" ht="54" customHeight="1" x14ac:dyDescent="0.2">
      <c r="B30" s="152"/>
      <c r="C30" s="152"/>
      <c r="D30" s="154"/>
      <c r="E30" s="154"/>
      <c r="F30" s="22" t="s">
        <v>439</v>
      </c>
      <c r="G30" s="12" t="s">
        <v>36</v>
      </c>
      <c r="H30" s="34" t="s">
        <v>169</v>
      </c>
      <c r="I30" s="28" t="s">
        <v>10</v>
      </c>
      <c r="J30" s="11"/>
      <c r="K30" s="33"/>
      <c r="L30" s="29"/>
    </row>
    <row r="31" spans="2:12" ht="293" customHeight="1" x14ac:dyDescent="0.2">
      <c r="B31" s="152"/>
      <c r="C31" s="152"/>
      <c r="D31" s="154"/>
      <c r="E31" s="154"/>
      <c r="F31" s="22" t="s">
        <v>440</v>
      </c>
      <c r="G31" s="12" t="s">
        <v>36</v>
      </c>
      <c r="H31" s="77" t="s">
        <v>442</v>
      </c>
      <c r="I31" s="28" t="s">
        <v>10</v>
      </c>
      <c r="J31" s="11"/>
      <c r="K31" s="33"/>
      <c r="L31" s="29"/>
    </row>
    <row r="32" spans="2:12" ht="54" customHeight="1" x14ac:dyDescent="0.2">
      <c r="B32" s="143" t="s">
        <v>348</v>
      </c>
      <c r="C32" s="143" t="s">
        <v>22</v>
      </c>
      <c r="D32" s="145" t="s">
        <v>170</v>
      </c>
      <c r="E32" s="145" t="s">
        <v>443</v>
      </c>
      <c r="F32" s="23" t="s">
        <v>171</v>
      </c>
      <c r="G32" s="41" t="s">
        <v>36</v>
      </c>
      <c r="H32" s="35" t="s">
        <v>172</v>
      </c>
      <c r="I32" s="28" t="s">
        <v>10</v>
      </c>
      <c r="J32" s="36"/>
      <c r="K32" s="37"/>
      <c r="L32" s="38"/>
    </row>
    <row r="33" spans="2:12" ht="54" customHeight="1" x14ac:dyDescent="0.2">
      <c r="B33" s="144"/>
      <c r="C33" s="144"/>
      <c r="D33" s="146"/>
      <c r="E33" s="146"/>
      <c r="F33" s="23" t="s">
        <v>444</v>
      </c>
      <c r="G33" s="41" t="s">
        <v>41</v>
      </c>
      <c r="H33" s="35" t="s">
        <v>173</v>
      </c>
      <c r="I33" s="28" t="s">
        <v>10</v>
      </c>
      <c r="J33" s="36"/>
      <c r="K33" s="37"/>
      <c r="L33" s="38"/>
    </row>
    <row r="34" spans="2:12" ht="54" customHeight="1" x14ac:dyDescent="0.2">
      <c r="B34" s="144"/>
      <c r="C34" s="144"/>
      <c r="D34" s="146"/>
      <c r="E34" s="146"/>
      <c r="F34" s="23" t="s">
        <v>174</v>
      </c>
      <c r="G34" s="41" t="s">
        <v>37</v>
      </c>
      <c r="H34" s="35" t="s">
        <v>175</v>
      </c>
      <c r="I34" s="28" t="s">
        <v>10</v>
      </c>
      <c r="J34" s="36"/>
      <c r="K34" s="37"/>
      <c r="L34" s="38"/>
    </row>
    <row r="35" spans="2:12" ht="54" customHeight="1" x14ac:dyDescent="0.2">
      <c r="B35" s="144"/>
      <c r="C35" s="144"/>
      <c r="D35" s="146"/>
      <c r="E35" s="146"/>
      <c r="F35" s="23" t="s">
        <v>445</v>
      </c>
      <c r="G35" s="41" t="s">
        <v>37</v>
      </c>
      <c r="H35" s="35" t="s">
        <v>176</v>
      </c>
      <c r="I35" s="28" t="s">
        <v>10</v>
      </c>
      <c r="J35" s="36"/>
      <c r="K35" s="37"/>
      <c r="L35" s="38"/>
    </row>
    <row r="36" spans="2:12" ht="54" customHeight="1" x14ac:dyDescent="0.2">
      <c r="B36" s="144"/>
      <c r="C36" s="144"/>
      <c r="D36" s="146"/>
      <c r="E36" s="146"/>
      <c r="F36" s="23" t="s">
        <v>177</v>
      </c>
      <c r="G36" s="41" t="s">
        <v>39</v>
      </c>
      <c r="H36" s="35" t="s">
        <v>178</v>
      </c>
      <c r="I36" s="28" t="s">
        <v>10</v>
      </c>
      <c r="J36" s="36"/>
      <c r="K36" s="37"/>
      <c r="L36" s="38"/>
    </row>
    <row r="37" spans="2:12" ht="54" customHeight="1" x14ac:dyDescent="0.2">
      <c r="B37" s="144"/>
      <c r="C37" s="144"/>
      <c r="D37" s="146"/>
      <c r="E37" s="146"/>
      <c r="F37" s="23" t="s">
        <v>446</v>
      </c>
      <c r="G37" s="41" t="s">
        <v>36</v>
      </c>
      <c r="H37" s="35" t="s">
        <v>447</v>
      </c>
      <c r="I37" s="28" t="s">
        <v>10</v>
      </c>
      <c r="J37" s="36"/>
      <c r="K37" s="37"/>
      <c r="L37" s="38"/>
    </row>
    <row r="38" spans="2:12" ht="84" customHeight="1" x14ac:dyDescent="0.2">
      <c r="B38" s="151" t="s">
        <v>348</v>
      </c>
      <c r="C38" s="151" t="s">
        <v>401</v>
      </c>
      <c r="D38" s="167" t="s">
        <v>405</v>
      </c>
      <c r="E38" s="167" t="s">
        <v>448</v>
      </c>
      <c r="F38" s="22" t="s">
        <v>449</v>
      </c>
      <c r="G38" s="12" t="s">
        <v>110</v>
      </c>
      <c r="H38" s="34" t="s">
        <v>455</v>
      </c>
      <c r="I38" s="28" t="s">
        <v>10</v>
      </c>
      <c r="J38" s="11"/>
      <c r="K38" s="33"/>
      <c r="L38" s="29"/>
    </row>
    <row r="39" spans="2:12" ht="271" customHeight="1" x14ac:dyDescent="0.2">
      <c r="B39" s="152"/>
      <c r="C39" s="152"/>
      <c r="D39" s="168"/>
      <c r="E39" s="168"/>
      <c r="F39" s="22" t="s">
        <v>450</v>
      </c>
      <c r="G39" s="41"/>
      <c r="H39" s="34" t="s">
        <v>456</v>
      </c>
      <c r="I39" s="28" t="s">
        <v>10</v>
      </c>
      <c r="J39" s="11"/>
      <c r="K39" s="33"/>
      <c r="L39" s="29"/>
    </row>
    <row r="40" spans="2:12" ht="71" customHeight="1" x14ac:dyDescent="0.2">
      <c r="B40" s="152"/>
      <c r="C40" s="152"/>
      <c r="D40" s="168"/>
      <c r="E40" s="168"/>
      <c r="F40" s="22" t="s">
        <v>451</v>
      </c>
      <c r="G40" s="12" t="s">
        <v>43</v>
      </c>
      <c r="H40" s="34" t="s">
        <v>457</v>
      </c>
      <c r="I40" s="28" t="s">
        <v>10</v>
      </c>
      <c r="J40" s="11"/>
      <c r="K40" s="33"/>
      <c r="L40" s="29"/>
    </row>
    <row r="41" spans="2:12" ht="71" customHeight="1" x14ac:dyDescent="0.2">
      <c r="B41" s="152"/>
      <c r="C41" s="152"/>
      <c r="D41" s="168"/>
      <c r="E41" s="168"/>
      <c r="F41" s="22" t="s">
        <v>452</v>
      </c>
      <c r="G41" s="12" t="s">
        <v>110</v>
      </c>
      <c r="H41" s="34" t="s">
        <v>458</v>
      </c>
      <c r="I41" s="28" t="s">
        <v>10</v>
      </c>
      <c r="J41" s="11"/>
      <c r="K41" s="33"/>
      <c r="L41" s="29"/>
    </row>
    <row r="42" spans="2:12" ht="74" customHeight="1" x14ac:dyDescent="0.2">
      <c r="B42" s="152"/>
      <c r="C42" s="152"/>
      <c r="D42" s="168"/>
      <c r="E42" s="168"/>
      <c r="F42" s="22" t="s">
        <v>453</v>
      </c>
      <c r="G42" s="12" t="s">
        <v>110</v>
      </c>
      <c r="H42" s="34" t="s">
        <v>459</v>
      </c>
      <c r="I42" s="28" t="s">
        <v>10</v>
      </c>
      <c r="J42" s="11"/>
      <c r="K42" s="33"/>
      <c r="L42" s="29"/>
    </row>
    <row r="43" spans="2:12" ht="73" customHeight="1" x14ac:dyDescent="0.2">
      <c r="B43" s="152"/>
      <c r="C43" s="152"/>
      <c r="D43" s="168"/>
      <c r="E43" s="168"/>
      <c r="F43" s="22" t="s">
        <v>454</v>
      </c>
      <c r="G43" s="12" t="s">
        <v>110</v>
      </c>
      <c r="H43" s="34" t="s">
        <v>460</v>
      </c>
      <c r="I43" s="28" t="s">
        <v>10</v>
      </c>
      <c r="J43" s="11"/>
      <c r="K43" s="33"/>
      <c r="L43" s="29"/>
    </row>
    <row r="44" spans="2:12" ht="54" customHeight="1" x14ac:dyDescent="0.2">
      <c r="B44" s="165" t="s">
        <v>348</v>
      </c>
      <c r="C44" s="135" t="s">
        <v>23</v>
      </c>
      <c r="D44" s="166" t="s">
        <v>179</v>
      </c>
      <c r="E44" s="166" t="s">
        <v>180</v>
      </c>
      <c r="F44" s="74" t="s">
        <v>181</v>
      </c>
      <c r="G44" s="41" t="s">
        <v>110</v>
      </c>
      <c r="H44" s="35" t="s">
        <v>182</v>
      </c>
      <c r="I44" s="28" t="s">
        <v>10</v>
      </c>
      <c r="J44" s="36"/>
      <c r="K44" s="37"/>
      <c r="L44" s="38"/>
    </row>
    <row r="45" spans="2:12" ht="54" customHeight="1" x14ac:dyDescent="0.2">
      <c r="B45" s="165"/>
      <c r="C45" s="137"/>
      <c r="D45" s="166"/>
      <c r="E45" s="166"/>
      <c r="F45" s="74" t="s">
        <v>461</v>
      </c>
      <c r="G45" s="41" t="s">
        <v>110</v>
      </c>
      <c r="H45" s="35" t="s">
        <v>183</v>
      </c>
      <c r="I45" s="28" t="s">
        <v>10</v>
      </c>
      <c r="J45" s="36"/>
      <c r="K45" s="37"/>
      <c r="L45" s="38"/>
    </row>
    <row r="46" spans="2:12" ht="54" customHeight="1" x14ac:dyDescent="0.2">
      <c r="B46" s="165"/>
      <c r="C46" s="137"/>
      <c r="D46" s="166"/>
      <c r="E46" s="166"/>
      <c r="F46" s="74" t="s">
        <v>184</v>
      </c>
      <c r="G46" s="41" t="s">
        <v>110</v>
      </c>
      <c r="H46" s="35" t="s">
        <v>185</v>
      </c>
      <c r="I46" s="28" t="s">
        <v>10</v>
      </c>
      <c r="J46" s="36"/>
      <c r="K46" s="37"/>
      <c r="L46" s="38"/>
    </row>
    <row r="47" spans="2:12" ht="54" customHeight="1" x14ac:dyDescent="0.2">
      <c r="B47" s="165"/>
      <c r="C47" s="137"/>
      <c r="D47" s="166"/>
      <c r="E47" s="166"/>
      <c r="F47" s="74" t="s">
        <v>186</v>
      </c>
      <c r="G47" s="41" t="s">
        <v>110</v>
      </c>
      <c r="H47" s="35" t="s">
        <v>124</v>
      </c>
      <c r="I47" s="28" t="s">
        <v>10</v>
      </c>
      <c r="J47" s="36"/>
      <c r="K47" s="37"/>
      <c r="L47" s="38"/>
    </row>
    <row r="48" spans="2:12" ht="54" customHeight="1" x14ac:dyDescent="0.2">
      <c r="B48" s="165"/>
      <c r="C48" s="137"/>
      <c r="D48" s="166"/>
      <c r="E48" s="166"/>
      <c r="F48" s="74" t="s">
        <v>462</v>
      </c>
      <c r="G48" s="41" t="s">
        <v>110</v>
      </c>
      <c r="H48" s="35" t="s">
        <v>187</v>
      </c>
      <c r="I48" s="28" t="s">
        <v>10</v>
      </c>
      <c r="J48" s="36"/>
      <c r="K48" s="37"/>
      <c r="L48" s="38"/>
    </row>
    <row r="49" spans="2:12" ht="111" customHeight="1" x14ac:dyDescent="0.2">
      <c r="B49" s="165"/>
      <c r="C49" s="137"/>
      <c r="D49" s="166"/>
      <c r="E49" s="166"/>
      <c r="F49" s="74" t="s">
        <v>463</v>
      </c>
      <c r="G49" s="41" t="s">
        <v>43</v>
      </c>
      <c r="H49" s="35" t="s">
        <v>464</v>
      </c>
      <c r="I49" s="28" t="s">
        <v>10</v>
      </c>
      <c r="J49" s="36"/>
      <c r="K49" s="37"/>
      <c r="L49" s="38"/>
    </row>
    <row r="50" spans="2:12" ht="75" customHeight="1" x14ac:dyDescent="0.2">
      <c r="B50" s="151" t="s">
        <v>348</v>
      </c>
      <c r="C50" s="151" t="s">
        <v>24</v>
      </c>
      <c r="D50" s="167" t="s">
        <v>406</v>
      </c>
      <c r="E50" s="167" t="s">
        <v>465</v>
      </c>
      <c r="F50" s="22" t="s">
        <v>188</v>
      </c>
      <c r="G50" s="12" t="s">
        <v>41</v>
      </c>
      <c r="H50" s="34" t="s">
        <v>467</v>
      </c>
      <c r="I50" s="28" t="s">
        <v>10</v>
      </c>
      <c r="J50" s="11"/>
      <c r="K50" s="33"/>
      <c r="L50" s="29"/>
    </row>
    <row r="51" spans="2:12" ht="71" customHeight="1" x14ac:dyDescent="0.2">
      <c r="B51" s="152"/>
      <c r="C51" s="152"/>
      <c r="D51" s="168"/>
      <c r="E51" s="168"/>
      <c r="F51" s="22" t="s">
        <v>189</v>
      </c>
      <c r="G51" s="12" t="s">
        <v>36</v>
      </c>
      <c r="H51" s="34" t="s">
        <v>468</v>
      </c>
      <c r="I51" s="28" t="s">
        <v>10</v>
      </c>
      <c r="J51" s="11"/>
      <c r="K51" s="33"/>
      <c r="L51" s="29"/>
    </row>
    <row r="52" spans="2:12" ht="54" customHeight="1" x14ac:dyDescent="0.2">
      <c r="B52" s="152"/>
      <c r="C52" s="152"/>
      <c r="D52" s="168"/>
      <c r="E52" s="168"/>
      <c r="F52" s="22" t="s">
        <v>190</v>
      </c>
      <c r="G52" s="12" t="s">
        <v>43</v>
      </c>
      <c r="H52" s="34" t="s">
        <v>191</v>
      </c>
      <c r="I52" s="28" t="s">
        <v>10</v>
      </c>
      <c r="J52" s="11"/>
      <c r="K52" s="33"/>
      <c r="L52" s="29"/>
    </row>
    <row r="53" spans="2:12" ht="54" customHeight="1" x14ac:dyDescent="0.2">
      <c r="B53" s="152"/>
      <c r="C53" s="152"/>
      <c r="D53" s="168"/>
      <c r="E53" s="168"/>
      <c r="F53" s="22" t="s">
        <v>466</v>
      </c>
      <c r="G53" s="12" t="s">
        <v>39</v>
      </c>
      <c r="H53" s="34" t="s">
        <v>469</v>
      </c>
      <c r="I53" s="28" t="s">
        <v>10</v>
      </c>
      <c r="J53" s="11"/>
      <c r="K53" s="33"/>
      <c r="L53" s="29"/>
    </row>
    <row r="54" spans="2:12" ht="54" customHeight="1" x14ac:dyDescent="0.2">
      <c r="B54" s="152"/>
      <c r="C54" s="152"/>
      <c r="D54" s="168"/>
      <c r="E54" s="168"/>
      <c r="F54" s="22" t="s">
        <v>192</v>
      </c>
      <c r="G54" s="12" t="s">
        <v>39</v>
      </c>
      <c r="H54" s="34" t="s">
        <v>193</v>
      </c>
      <c r="I54" s="28" t="s">
        <v>10</v>
      </c>
      <c r="J54" s="11"/>
      <c r="K54" s="33"/>
      <c r="L54" s="29"/>
    </row>
    <row r="55" spans="2:12" ht="5.25" customHeight="1" x14ac:dyDescent="0.2"/>
    <row r="56" spans="2:12" ht="31" customHeight="1" x14ac:dyDescent="0.2">
      <c r="B56" s="69" t="s">
        <v>34</v>
      </c>
      <c r="C56" s="69" t="s">
        <v>258</v>
      </c>
      <c r="D56" s="69" t="s">
        <v>259</v>
      </c>
      <c r="E56" s="169" t="s">
        <v>32</v>
      </c>
      <c r="F56" s="170"/>
      <c r="G56" s="169" t="s">
        <v>16</v>
      </c>
      <c r="H56" s="170"/>
      <c r="I56" s="71" t="s">
        <v>8</v>
      </c>
      <c r="J56" s="69" t="s">
        <v>17</v>
      </c>
      <c r="K56" s="72" t="s">
        <v>44</v>
      </c>
      <c r="L56" s="69" t="s">
        <v>45</v>
      </c>
    </row>
    <row r="57" spans="2:12" ht="54" customHeight="1" x14ac:dyDescent="0.2">
      <c r="B57" s="151" t="s">
        <v>348</v>
      </c>
      <c r="C57" s="151" t="s">
        <v>260</v>
      </c>
      <c r="D57" s="153" t="s">
        <v>407</v>
      </c>
      <c r="E57" s="129" t="s">
        <v>470</v>
      </c>
      <c r="F57" s="130"/>
      <c r="G57" s="127" t="s">
        <v>471</v>
      </c>
      <c r="H57" s="128"/>
      <c r="I57" s="28" t="s">
        <v>10</v>
      </c>
      <c r="J57" s="11"/>
      <c r="K57" s="33"/>
      <c r="L57" s="29"/>
    </row>
    <row r="58" spans="2:12" ht="66" customHeight="1" x14ac:dyDescent="0.2">
      <c r="B58" s="152"/>
      <c r="C58" s="152"/>
      <c r="D58" s="154"/>
      <c r="E58" s="131"/>
      <c r="F58" s="132"/>
      <c r="G58" s="127" t="s">
        <v>472</v>
      </c>
      <c r="H58" s="128"/>
      <c r="I58" s="28" t="s">
        <v>10</v>
      </c>
      <c r="J58" s="11"/>
      <c r="K58" s="33"/>
      <c r="L58" s="29"/>
    </row>
    <row r="59" spans="2:12" ht="54" customHeight="1" x14ac:dyDescent="0.2">
      <c r="B59" s="152"/>
      <c r="C59" s="152"/>
      <c r="D59" s="154"/>
      <c r="E59" s="133"/>
      <c r="F59" s="134"/>
      <c r="G59" s="127" t="s">
        <v>473</v>
      </c>
      <c r="H59" s="128"/>
      <c r="I59" s="28" t="s">
        <v>10</v>
      </c>
      <c r="J59" s="11"/>
      <c r="K59" s="33"/>
      <c r="L59" s="29"/>
    </row>
    <row r="60" spans="2:12" ht="54" customHeight="1" x14ac:dyDescent="0.2">
      <c r="B60" s="143" t="s">
        <v>348</v>
      </c>
      <c r="C60" s="143" t="s">
        <v>261</v>
      </c>
      <c r="D60" s="145" t="s">
        <v>408</v>
      </c>
      <c r="E60" s="135" t="s">
        <v>474</v>
      </c>
      <c r="F60" s="136"/>
      <c r="G60" s="141" t="s">
        <v>475</v>
      </c>
      <c r="H60" s="142"/>
      <c r="I60" s="28" t="s">
        <v>10</v>
      </c>
      <c r="J60" s="36"/>
      <c r="K60" s="37"/>
      <c r="L60" s="38"/>
    </row>
    <row r="61" spans="2:12" ht="54" customHeight="1" x14ac:dyDescent="0.2">
      <c r="B61" s="144"/>
      <c r="C61" s="144"/>
      <c r="D61" s="146"/>
      <c r="E61" s="137"/>
      <c r="F61" s="138"/>
      <c r="G61" s="141" t="s">
        <v>476</v>
      </c>
      <c r="H61" s="142"/>
      <c r="I61" s="28" t="s">
        <v>10</v>
      </c>
      <c r="J61" s="36"/>
      <c r="K61" s="37"/>
      <c r="L61" s="38"/>
    </row>
    <row r="62" spans="2:12" ht="54" customHeight="1" x14ac:dyDescent="0.2">
      <c r="B62" s="144"/>
      <c r="C62" s="144"/>
      <c r="D62" s="146"/>
      <c r="E62" s="139"/>
      <c r="F62" s="140"/>
      <c r="G62" s="141" t="s">
        <v>477</v>
      </c>
      <c r="H62" s="142"/>
      <c r="I62" s="28" t="s">
        <v>10</v>
      </c>
      <c r="J62" s="36"/>
      <c r="K62" s="37"/>
      <c r="L62" s="38"/>
    </row>
    <row r="63" spans="2:12" ht="54" customHeight="1" x14ac:dyDescent="0.2">
      <c r="B63" s="151" t="s">
        <v>348</v>
      </c>
      <c r="C63" s="151" t="s">
        <v>262</v>
      </c>
      <c r="D63" s="153" t="s">
        <v>409</v>
      </c>
      <c r="E63" s="129" t="s">
        <v>478</v>
      </c>
      <c r="F63" s="130"/>
      <c r="G63" s="127" t="s">
        <v>479</v>
      </c>
      <c r="H63" s="128"/>
      <c r="I63" s="28" t="s">
        <v>10</v>
      </c>
      <c r="J63" s="11"/>
      <c r="K63" s="33"/>
      <c r="L63" s="29"/>
    </row>
    <row r="64" spans="2:12" ht="63" customHeight="1" x14ac:dyDescent="0.2">
      <c r="B64" s="152"/>
      <c r="C64" s="152"/>
      <c r="D64" s="154"/>
      <c r="E64" s="131"/>
      <c r="F64" s="132"/>
      <c r="G64" s="127" t="s">
        <v>480</v>
      </c>
      <c r="H64" s="128"/>
      <c r="I64" s="28" t="s">
        <v>10</v>
      </c>
      <c r="J64" s="11"/>
      <c r="K64" s="33"/>
      <c r="L64" s="29"/>
    </row>
    <row r="65" spans="2:12" ht="63" customHeight="1" x14ac:dyDescent="0.2">
      <c r="B65" s="152"/>
      <c r="C65" s="152"/>
      <c r="D65" s="154"/>
      <c r="E65" s="133"/>
      <c r="F65" s="134"/>
      <c r="G65" s="127" t="s">
        <v>481</v>
      </c>
      <c r="H65" s="128"/>
      <c r="I65" s="28" t="s">
        <v>10</v>
      </c>
      <c r="J65" s="11"/>
      <c r="K65" s="33"/>
      <c r="L65" s="29"/>
    </row>
    <row r="66" spans="2:12" ht="54" customHeight="1" x14ac:dyDescent="0.2">
      <c r="B66" s="143" t="s">
        <v>348</v>
      </c>
      <c r="C66" s="143" t="s">
        <v>263</v>
      </c>
      <c r="D66" s="145" t="s">
        <v>410</v>
      </c>
      <c r="E66" s="135" t="s">
        <v>482</v>
      </c>
      <c r="F66" s="136"/>
      <c r="G66" s="141" t="s">
        <v>483</v>
      </c>
      <c r="H66" s="142"/>
      <c r="I66" s="28" t="s">
        <v>10</v>
      </c>
      <c r="J66" s="36"/>
      <c r="K66" s="37"/>
      <c r="L66" s="38"/>
    </row>
    <row r="67" spans="2:12" ht="61" customHeight="1" x14ac:dyDescent="0.2">
      <c r="B67" s="144"/>
      <c r="C67" s="144"/>
      <c r="D67" s="146"/>
      <c r="E67" s="137"/>
      <c r="F67" s="138"/>
      <c r="G67" s="141" t="s">
        <v>484</v>
      </c>
      <c r="H67" s="142"/>
      <c r="I67" s="28" t="s">
        <v>10</v>
      </c>
      <c r="J67" s="36"/>
      <c r="K67" s="37"/>
      <c r="L67" s="38"/>
    </row>
    <row r="68" spans="2:12" ht="54" customHeight="1" x14ac:dyDescent="0.2">
      <c r="B68" s="144"/>
      <c r="C68" s="144"/>
      <c r="D68" s="146"/>
      <c r="E68" s="139"/>
      <c r="F68" s="140"/>
      <c r="G68" s="141" t="s">
        <v>485</v>
      </c>
      <c r="H68" s="142"/>
      <c r="I68" s="28" t="s">
        <v>10</v>
      </c>
      <c r="J68" s="36"/>
      <c r="K68" s="37"/>
      <c r="L68" s="38"/>
    </row>
    <row r="69" spans="2:12" ht="54" customHeight="1" x14ac:dyDescent="0.2">
      <c r="B69" s="151" t="s">
        <v>348</v>
      </c>
      <c r="C69" s="151" t="s">
        <v>264</v>
      </c>
      <c r="D69" s="153" t="s">
        <v>411</v>
      </c>
      <c r="E69" s="129" t="s">
        <v>486</v>
      </c>
      <c r="F69" s="130"/>
      <c r="G69" s="127" t="s">
        <v>487</v>
      </c>
      <c r="H69" s="128"/>
      <c r="I69" s="28" t="s">
        <v>10</v>
      </c>
      <c r="J69" s="11"/>
      <c r="K69" s="33"/>
      <c r="L69" s="29"/>
    </row>
    <row r="70" spans="2:12" ht="54" customHeight="1" x14ac:dyDescent="0.2">
      <c r="B70" s="152"/>
      <c r="C70" s="152"/>
      <c r="D70" s="154"/>
      <c r="E70" s="131"/>
      <c r="F70" s="132"/>
      <c r="G70" s="127" t="s">
        <v>488</v>
      </c>
      <c r="H70" s="128"/>
      <c r="I70" s="28" t="s">
        <v>10</v>
      </c>
      <c r="J70" s="11"/>
      <c r="K70" s="33"/>
      <c r="L70" s="29"/>
    </row>
    <row r="71" spans="2:12" ht="54" customHeight="1" x14ac:dyDescent="0.2">
      <c r="B71" s="152"/>
      <c r="C71" s="152"/>
      <c r="D71" s="154"/>
      <c r="E71" s="133"/>
      <c r="F71" s="134"/>
      <c r="G71" s="127" t="s">
        <v>489</v>
      </c>
      <c r="H71" s="128"/>
      <c r="I71" s="28" t="s">
        <v>10</v>
      </c>
      <c r="J71" s="11"/>
      <c r="K71" s="33"/>
      <c r="L71" s="29"/>
    </row>
    <row r="72" spans="2:12" ht="54" customHeight="1" x14ac:dyDescent="0.2">
      <c r="B72" s="143" t="s">
        <v>348</v>
      </c>
      <c r="C72" s="143" t="s">
        <v>265</v>
      </c>
      <c r="D72" s="145" t="s">
        <v>412</v>
      </c>
      <c r="E72" s="135" t="s">
        <v>490</v>
      </c>
      <c r="F72" s="136"/>
      <c r="G72" s="141" t="s">
        <v>491</v>
      </c>
      <c r="H72" s="142"/>
      <c r="I72" s="28" t="s">
        <v>10</v>
      </c>
      <c r="J72" s="36"/>
      <c r="K72" s="37"/>
      <c r="L72" s="38"/>
    </row>
    <row r="73" spans="2:12" ht="61" customHeight="1" x14ac:dyDescent="0.2">
      <c r="B73" s="144"/>
      <c r="C73" s="144"/>
      <c r="D73" s="146"/>
      <c r="E73" s="137"/>
      <c r="F73" s="138"/>
      <c r="G73" s="141" t="s">
        <v>492</v>
      </c>
      <c r="H73" s="142"/>
      <c r="I73" s="28" t="s">
        <v>10</v>
      </c>
      <c r="J73" s="36"/>
      <c r="K73" s="37"/>
      <c r="L73" s="38"/>
    </row>
    <row r="74" spans="2:12" ht="54" customHeight="1" x14ac:dyDescent="0.2">
      <c r="B74" s="144"/>
      <c r="C74" s="144"/>
      <c r="D74" s="146"/>
      <c r="E74" s="139"/>
      <c r="F74" s="140"/>
      <c r="G74" s="141" t="s">
        <v>493</v>
      </c>
      <c r="H74" s="142"/>
      <c r="I74" s="28" t="s">
        <v>10</v>
      </c>
      <c r="J74" s="36"/>
      <c r="K74" s="37"/>
      <c r="L74" s="38"/>
    </row>
    <row r="75" spans="2:12" ht="65" customHeight="1" x14ac:dyDescent="0.2">
      <c r="B75" s="151" t="s">
        <v>348</v>
      </c>
      <c r="C75" s="151" t="s">
        <v>268</v>
      </c>
      <c r="D75" s="153" t="s">
        <v>413</v>
      </c>
      <c r="E75" s="129" t="s">
        <v>494</v>
      </c>
      <c r="F75" s="130"/>
      <c r="G75" s="127" t="s">
        <v>495</v>
      </c>
      <c r="H75" s="128"/>
      <c r="I75" s="28" t="s">
        <v>10</v>
      </c>
      <c r="J75" s="11"/>
      <c r="K75" s="33"/>
      <c r="L75" s="29"/>
    </row>
    <row r="76" spans="2:12" ht="65" customHeight="1" x14ac:dyDescent="0.2">
      <c r="B76" s="152"/>
      <c r="C76" s="152"/>
      <c r="D76" s="154"/>
      <c r="E76" s="131"/>
      <c r="F76" s="132"/>
      <c r="G76" s="127" t="s">
        <v>496</v>
      </c>
      <c r="H76" s="128"/>
      <c r="I76" s="28" t="s">
        <v>10</v>
      </c>
      <c r="J76" s="11"/>
      <c r="K76" s="33"/>
      <c r="L76" s="29"/>
    </row>
    <row r="77" spans="2:12" ht="54" customHeight="1" x14ac:dyDescent="0.2">
      <c r="B77" s="152"/>
      <c r="C77" s="152"/>
      <c r="D77" s="154"/>
      <c r="E77" s="133"/>
      <c r="F77" s="134"/>
      <c r="G77" s="127" t="s">
        <v>497</v>
      </c>
      <c r="H77" s="128"/>
      <c r="I77" s="28" t="s">
        <v>10</v>
      </c>
      <c r="J77" s="11"/>
      <c r="K77" s="33"/>
      <c r="L77" s="29"/>
    </row>
    <row r="253" spans="1:13" s="4" customFormat="1" x14ac:dyDescent="0.2">
      <c r="A253" s="1"/>
      <c r="B253" s="2"/>
      <c r="C253" s="3"/>
      <c r="D253" s="3"/>
      <c r="E253" s="3"/>
      <c r="G253" s="2"/>
      <c r="I253" s="6"/>
      <c r="J253" s="1"/>
      <c r="K253" s="30"/>
      <c r="L253" s="1"/>
      <c r="M253" s="1"/>
    </row>
    <row r="254" spans="1:13" s="4" customFormat="1" x14ac:dyDescent="0.2">
      <c r="A254" s="1"/>
      <c r="B254" s="2"/>
      <c r="C254" s="3"/>
      <c r="D254" s="3"/>
      <c r="E254" s="3"/>
      <c r="G254" s="2"/>
      <c r="I254" s="6"/>
      <c r="J254" s="1"/>
      <c r="K254" s="30"/>
      <c r="L254" s="1"/>
      <c r="M254" s="1"/>
    </row>
    <row r="255" spans="1:13" s="4" customFormat="1" x14ac:dyDescent="0.2">
      <c r="A255" s="1"/>
      <c r="B255" s="2"/>
      <c r="C255" s="3"/>
      <c r="D255" s="3"/>
      <c r="E255" s="3"/>
      <c r="G255" s="2"/>
      <c r="I255" s="6"/>
      <c r="J255" s="1"/>
      <c r="K255" s="30"/>
      <c r="L255" s="1"/>
      <c r="M255" s="1"/>
    </row>
    <row r="256" spans="1:13" s="4" customFormat="1" x14ac:dyDescent="0.2">
      <c r="A256" s="1"/>
      <c r="B256" s="2"/>
      <c r="C256" s="3"/>
      <c r="D256" s="3"/>
      <c r="E256" s="3"/>
      <c r="G256" s="2"/>
      <c r="I256" s="6"/>
      <c r="J256" s="1"/>
      <c r="K256" s="30"/>
      <c r="L256" s="1"/>
      <c r="M256" s="1"/>
    </row>
    <row r="257" spans="1:13" s="4" customFormat="1" x14ac:dyDescent="0.2">
      <c r="A257" s="1"/>
      <c r="B257" s="2"/>
      <c r="C257" s="3"/>
      <c r="D257" s="3"/>
      <c r="E257" s="3"/>
      <c r="G257" s="2"/>
      <c r="I257" s="6"/>
      <c r="J257" s="1"/>
      <c r="K257" s="30"/>
      <c r="L257" s="1"/>
      <c r="M257" s="1"/>
    </row>
    <row r="258" spans="1:13" s="4" customFormat="1" x14ac:dyDescent="0.2">
      <c r="A258" s="1"/>
      <c r="B258" s="2"/>
      <c r="C258" s="3"/>
      <c r="D258" s="3"/>
      <c r="E258" s="3"/>
      <c r="G258" s="2"/>
      <c r="I258" s="6"/>
      <c r="J258" s="1"/>
      <c r="K258" s="30"/>
      <c r="L258" s="1"/>
      <c r="M258" s="1"/>
    </row>
    <row r="262" spans="1:13" s="4" customFormat="1" x14ac:dyDescent="0.2">
      <c r="A262" s="1"/>
      <c r="B262" s="2"/>
      <c r="C262" s="3"/>
      <c r="D262" s="3"/>
      <c r="E262" s="3"/>
      <c r="G262" s="2"/>
      <c r="I262" s="6"/>
      <c r="J262" s="1"/>
      <c r="K262" s="30"/>
      <c r="L262" s="1"/>
      <c r="M262" s="1"/>
    </row>
    <row r="263" spans="1:13" s="4" customFormat="1" x14ac:dyDescent="0.2">
      <c r="A263" s="1"/>
      <c r="B263" s="2"/>
      <c r="C263" s="3"/>
      <c r="D263" s="3"/>
      <c r="E263" s="3"/>
      <c r="G263" s="2"/>
      <c r="I263" s="6"/>
      <c r="J263" s="1"/>
      <c r="K263" s="30"/>
      <c r="L263" s="1"/>
      <c r="M263" s="1"/>
    </row>
    <row r="264" spans="1:13" s="4" customFormat="1" x14ac:dyDescent="0.2">
      <c r="A264" s="1"/>
      <c r="B264" s="2"/>
      <c r="C264" s="3"/>
      <c r="D264" s="3"/>
      <c r="E264" s="3"/>
      <c r="G264" s="2"/>
      <c r="I264" s="6"/>
      <c r="J264" s="1"/>
      <c r="K264" s="30"/>
      <c r="L264" s="1"/>
      <c r="M264" s="1"/>
    </row>
    <row r="265" spans="1:13" s="4" customFormat="1" x14ac:dyDescent="0.2">
      <c r="A265" s="1"/>
      <c r="B265" s="2"/>
      <c r="C265" s="3"/>
      <c r="D265" s="3"/>
      <c r="E265" s="3"/>
      <c r="G265" s="2"/>
      <c r="I265" s="6"/>
      <c r="J265" s="1"/>
      <c r="K265" s="30"/>
      <c r="L265" s="1"/>
      <c r="M265" s="1"/>
    </row>
    <row r="266" spans="1:13" s="4" customFormat="1" x14ac:dyDescent="0.2">
      <c r="A266" s="1"/>
      <c r="B266" s="2"/>
      <c r="C266" s="3"/>
      <c r="D266" s="3"/>
      <c r="E266" s="3"/>
      <c r="G266" s="2"/>
      <c r="I266" s="6"/>
      <c r="J266" s="1"/>
      <c r="K266" s="30"/>
      <c r="L266" s="1"/>
      <c r="M266" s="1"/>
    </row>
    <row r="270" spans="1:13" s="4" customFormat="1" x14ac:dyDescent="0.2">
      <c r="A270" s="1"/>
      <c r="B270" s="2"/>
      <c r="C270" s="3"/>
      <c r="D270" s="3"/>
      <c r="E270" s="3"/>
      <c r="G270" s="2"/>
      <c r="I270" s="6"/>
      <c r="J270" s="1"/>
      <c r="K270" s="30"/>
      <c r="L270" s="1"/>
      <c r="M270" s="1"/>
    </row>
    <row r="271" spans="1:13" s="4" customFormat="1" x14ac:dyDescent="0.2">
      <c r="A271" s="1"/>
      <c r="B271" s="2"/>
      <c r="C271" s="3"/>
      <c r="D271" s="3"/>
      <c r="E271" s="3"/>
      <c r="G271" s="2"/>
      <c r="I271" s="6"/>
      <c r="J271" s="1"/>
      <c r="K271" s="30"/>
      <c r="L271" s="1"/>
      <c r="M271" s="1"/>
    </row>
    <row r="272" spans="1:13" s="4" customFormat="1" x14ac:dyDescent="0.2">
      <c r="A272" s="1"/>
      <c r="B272" s="2"/>
      <c r="C272" s="3"/>
      <c r="D272" s="3"/>
      <c r="E272" s="3"/>
      <c r="G272" s="2"/>
      <c r="I272" s="6"/>
      <c r="J272" s="1"/>
      <c r="K272" s="30"/>
      <c r="L272" s="1"/>
      <c r="M272" s="1"/>
    </row>
    <row r="273" spans="1:13" s="4" customFormat="1" x14ac:dyDescent="0.2">
      <c r="A273" s="1"/>
      <c r="B273" s="2"/>
      <c r="C273" s="3"/>
      <c r="D273" s="3"/>
      <c r="E273" s="3"/>
      <c r="G273" s="2"/>
      <c r="I273" s="6"/>
      <c r="J273" s="1"/>
      <c r="K273" s="30"/>
      <c r="L273" s="1"/>
      <c r="M273" s="1"/>
    </row>
    <row r="274" spans="1:13" s="4" customFormat="1" x14ac:dyDescent="0.2">
      <c r="A274" s="1"/>
      <c r="B274" s="2"/>
      <c r="C274" s="3"/>
      <c r="D274" s="3"/>
      <c r="E274" s="3"/>
      <c r="G274" s="2"/>
      <c r="I274" s="6"/>
      <c r="J274" s="1"/>
      <c r="K274" s="30"/>
      <c r="L274" s="1"/>
      <c r="M274" s="1"/>
    </row>
    <row r="275" spans="1:13" s="4" customFormat="1" x14ac:dyDescent="0.2">
      <c r="A275" s="1"/>
      <c r="B275" s="2"/>
      <c r="C275" s="3"/>
      <c r="D275" s="3"/>
      <c r="E275" s="3"/>
      <c r="G275" s="2"/>
      <c r="I275" s="6"/>
      <c r="J275" s="1"/>
      <c r="K275" s="30"/>
      <c r="L275" s="1"/>
      <c r="M275" s="1"/>
    </row>
    <row r="276" spans="1:13" s="4" customFormat="1" x14ac:dyDescent="0.2">
      <c r="A276" s="1"/>
      <c r="B276" s="2"/>
      <c r="C276" s="3"/>
      <c r="D276" s="3"/>
      <c r="E276" s="3"/>
      <c r="G276" s="2"/>
      <c r="I276" s="6"/>
      <c r="J276" s="1"/>
      <c r="K276" s="30"/>
      <c r="L276" s="1"/>
      <c r="M276" s="1"/>
    </row>
  </sheetData>
  <mergeCells count="86">
    <mergeCell ref="G73:H73"/>
    <mergeCell ref="G74:H74"/>
    <mergeCell ref="G61:H61"/>
    <mergeCell ref="G62:H62"/>
    <mergeCell ref="E66:F68"/>
    <mergeCell ref="G66:H66"/>
    <mergeCell ref="G67:H67"/>
    <mergeCell ref="G68:H68"/>
    <mergeCell ref="B21:B27"/>
    <mergeCell ref="C21:C27"/>
    <mergeCell ref="D21:D27"/>
    <mergeCell ref="E21:E27"/>
    <mergeCell ref="B2:J2"/>
    <mergeCell ref="B4:J4"/>
    <mergeCell ref="B6:H8"/>
    <mergeCell ref="I6:J6"/>
    <mergeCell ref="I7:J8"/>
    <mergeCell ref="C10:J10"/>
    <mergeCell ref="C11:J11"/>
    <mergeCell ref="B14:B20"/>
    <mergeCell ref="C14:C20"/>
    <mergeCell ref="D14:D20"/>
    <mergeCell ref="E14:E20"/>
    <mergeCell ref="B28:B31"/>
    <mergeCell ref="C28:C31"/>
    <mergeCell ref="D28:D31"/>
    <mergeCell ref="E28:E31"/>
    <mergeCell ref="B32:B37"/>
    <mergeCell ref="C32:C37"/>
    <mergeCell ref="D32:D37"/>
    <mergeCell ref="E32:E37"/>
    <mergeCell ref="B38:B43"/>
    <mergeCell ref="C38:C43"/>
    <mergeCell ref="D38:D43"/>
    <mergeCell ref="E38:E43"/>
    <mergeCell ref="B44:B49"/>
    <mergeCell ref="C44:C49"/>
    <mergeCell ref="D44:D49"/>
    <mergeCell ref="E44:E49"/>
    <mergeCell ref="B57:B59"/>
    <mergeCell ref="C57:C59"/>
    <mergeCell ref="D57:D59"/>
    <mergeCell ref="E57:F59"/>
    <mergeCell ref="E56:F56"/>
    <mergeCell ref="G56:H56"/>
    <mergeCell ref="G57:H57"/>
    <mergeCell ref="G58:H58"/>
    <mergeCell ref="G59:H59"/>
    <mergeCell ref="B60:B62"/>
    <mergeCell ref="C60:C62"/>
    <mergeCell ref="D60:D62"/>
    <mergeCell ref="E63:F65"/>
    <mergeCell ref="G63:H63"/>
    <mergeCell ref="G64:H64"/>
    <mergeCell ref="G65:H65"/>
    <mergeCell ref="E60:F62"/>
    <mergeCell ref="G60:H60"/>
    <mergeCell ref="B66:B68"/>
    <mergeCell ref="C66:C68"/>
    <mergeCell ref="D66:D68"/>
    <mergeCell ref="E69:F71"/>
    <mergeCell ref="G69:H69"/>
    <mergeCell ref="G70:H70"/>
    <mergeCell ref="G71:H71"/>
    <mergeCell ref="B72:B74"/>
    <mergeCell ref="C72:C74"/>
    <mergeCell ref="D72:D74"/>
    <mergeCell ref="E75:F77"/>
    <mergeCell ref="G75:H75"/>
    <mergeCell ref="G76:H76"/>
    <mergeCell ref="G77:H77"/>
    <mergeCell ref="E72:F74"/>
    <mergeCell ref="G72:H72"/>
    <mergeCell ref="B50:B54"/>
    <mergeCell ref="C50:C54"/>
    <mergeCell ref="D50:D54"/>
    <mergeCell ref="E50:E54"/>
    <mergeCell ref="B75:B77"/>
    <mergeCell ref="C75:C77"/>
    <mergeCell ref="D75:D77"/>
    <mergeCell ref="B69:B71"/>
    <mergeCell ref="C69:C71"/>
    <mergeCell ref="D69:D71"/>
    <mergeCell ref="B63:B65"/>
    <mergeCell ref="C63:C65"/>
    <mergeCell ref="D63:D65"/>
  </mergeCells>
  <conditionalFormatting sqref="I1">
    <cfRule type="cellIs" dxfId="369" priority="11" operator="equal">
      <formula>1</formula>
    </cfRule>
  </conditionalFormatting>
  <conditionalFormatting sqref="I7">
    <cfRule type="cellIs" dxfId="368" priority="9" operator="equal">
      <formula>1</formula>
    </cfRule>
  </conditionalFormatting>
  <conditionalFormatting sqref="I57:I77 I14:I54">
    <cfRule type="expression" dxfId="367" priority="5" stopIfTrue="1">
      <formula>TRIM(UPPER(I14))="N/A"</formula>
    </cfRule>
    <cfRule type="expression" dxfId="366" priority="6">
      <formula>I14&gt;=0.9</formula>
    </cfRule>
    <cfRule type="expression" dxfId="365" priority="7">
      <formula>AND(I14&gt;=0.8, I14&lt;0.9)</formula>
    </cfRule>
    <cfRule type="expression" dxfId="364" priority="8">
      <formula>I14&lt;0.8</formula>
    </cfRule>
  </conditionalFormatting>
  <conditionalFormatting sqref="I78:I1048576">
    <cfRule type="cellIs" dxfId="363" priority="10" operator="equal">
      <formula>1</formula>
    </cfRule>
  </conditionalFormatting>
  <printOptions horizontalCentered="1"/>
  <pageMargins left="0.51181102362204722" right="0.51181102362204722" top="0.55118110236220474" bottom="0.55118110236220474" header="0.31496062992125984" footer="0.31496062992125984"/>
  <pageSetup scale="45"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D9BF57F-0232-724A-9E24-7BAC8FB38227}">
          <x14:formula1>
            <xm:f>'Listas desplegables'!$C$4:$C$15</xm:f>
          </x14:formula1>
          <xm:sqref>I57:I77 I14:I54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75FB-2EEA-B64A-A579-E2C9AD599786}">
  <sheetPr>
    <tabColor rgb="FF0098AA"/>
  </sheetPr>
  <dimension ref="A1:M261"/>
  <sheetViews>
    <sheetView showGridLines="0" zoomScale="70" zoomScaleNormal="70" workbookViewId="0">
      <selection activeCell="I14" sqref="I14"/>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57" t="s">
        <v>313</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f>AVERAGEIF(I14:I62,"&lt;&gt;N/A")</f>
        <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133" customHeight="1" x14ac:dyDescent="0.2">
      <c r="B10" s="40" t="s">
        <v>13</v>
      </c>
      <c r="C10" s="147" t="s">
        <v>498</v>
      </c>
      <c r="D10" s="148"/>
      <c r="E10" s="148"/>
      <c r="F10" s="148"/>
      <c r="G10" s="148"/>
      <c r="H10" s="148"/>
      <c r="I10" s="148"/>
      <c r="J10" s="149"/>
    </row>
    <row r="11" spans="2:12" ht="169" customHeight="1" x14ac:dyDescent="0.2">
      <c r="B11" s="39" t="s">
        <v>14</v>
      </c>
      <c r="C11" s="150" t="s">
        <v>499</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54" customHeight="1" x14ac:dyDescent="0.2">
      <c r="B14" s="151" t="s">
        <v>349</v>
      </c>
      <c r="C14" s="151" t="s">
        <v>19</v>
      </c>
      <c r="D14" s="153" t="s">
        <v>500</v>
      </c>
      <c r="E14" s="153" t="s">
        <v>510</v>
      </c>
      <c r="F14" s="22" t="s">
        <v>194</v>
      </c>
      <c r="G14" s="12" t="s">
        <v>36</v>
      </c>
      <c r="H14" s="34" t="s">
        <v>118</v>
      </c>
      <c r="I14" s="28">
        <v>0</v>
      </c>
      <c r="J14" s="11"/>
      <c r="K14" s="33"/>
      <c r="L14" s="29"/>
    </row>
    <row r="15" spans="2:12" ht="54" customHeight="1" x14ac:dyDescent="0.2">
      <c r="B15" s="152"/>
      <c r="C15" s="152"/>
      <c r="D15" s="154"/>
      <c r="E15" s="154"/>
      <c r="F15" s="22" t="s">
        <v>511</v>
      </c>
      <c r="G15" s="12" t="s">
        <v>43</v>
      </c>
      <c r="H15" s="34" t="s">
        <v>515</v>
      </c>
      <c r="I15" s="28" t="s">
        <v>10</v>
      </c>
      <c r="J15" s="11"/>
      <c r="K15" s="33"/>
      <c r="L15" s="29"/>
    </row>
    <row r="16" spans="2:12" ht="54" customHeight="1" x14ac:dyDescent="0.2">
      <c r="B16" s="152"/>
      <c r="C16" s="152"/>
      <c r="D16" s="154"/>
      <c r="E16" s="154"/>
      <c r="F16" s="22" t="s">
        <v>512</v>
      </c>
      <c r="G16" s="12" t="s">
        <v>36</v>
      </c>
      <c r="H16" s="34" t="s">
        <v>516</v>
      </c>
      <c r="I16" s="28" t="s">
        <v>10</v>
      </c>
      <c r="J16" s="11"/>
      <c r="K16" s="33"/>
      <c r="L16" s="29"/>
    </row>
    <row r="17" spans="2:12" ht="54" customHeight="1" x14ac:dyDescent="0.2">
      <c r="B17" s="152"/>
      <c r="C17" s="152"/>
      <c r="D17" s="154"/>
      <c r="E17" s="154"/>
      <c r="F17" s="22" t="s">
        <v>513</v>
      </c>
      <c r="G17" s="12" t="s">
        <v>35</v>
      </c>
      <c r="H17" s="34" t="s">
        <v>517</v>
      </c>
      <c r="I17" s="28" t="s">
        <v>10</v>
      </c>
      <c r="J17" s="11"/>
      <c r="K17" s="33"/>
      <c r="L17" s="29"/>
    </row>
    <row r="18" spans="2:12" ht="54" customHeight="1" x14ac:dyDescent="0.2">
      <c r="B18" s="152"/>
      <c r="C18" s="152"/>
      <c r="D18" s="154"/>
      <c r="E18" s="154"/>
      <c r="F18" s="22" t="s">
        <v>514</v>
      </c>
      <c r="G18" s="12" t="s">
        <v>43</v>
      </c>
      <c r="H18" s="34" t="s">
        <v>518</v>
      </c>
      <c r="I18" s="28" t="s">
        <v>10</v>
      </c>
      <c r="J18" s="11"/>
      <c r="K18" s="33"/>
      <c r="L18" s="29"/>
    </row>
    <row r="19" spans="2:12" ht="54" customHeight="1" x14ac:dyDescent="0.2">
      <c r="B19" s="152"/>
      <c r="C19" s="152"/>
      <c r="D19" s="154"/>
      <c r="E19" s="154"/>
      <c r="F19" s="22" t="s">
        <v>115</v>
      </c>
      <c r="G19" s="12" t="s">
        <v>39</v>
      </c>
      <c r="H19" s="34" t="s">
        <v>519</v>
      </c>
      <c r="I19" s="28" t="s">
        <v>10</v>
      </c>
      <c r="J19" s="11"/>
      <c r="K19" s="33"/>
      <c r="L19" s="29"/>
    </row>
    <row r="20" spans="2:12" ht="75" customHeight="1" x14ac:dyDescent="0.2">
      <c r="B20" s="143" t="s">
        <v>349</v>
      </c>
      <c r="C20" s="143" t="s">
        <v>20</v>
      </c>
      <c r="D20" s="145" t="s">
        <v>501</v>
      </c>
      <c r="E20" s="145" t="s">
        <v>520</v>
      </c>
      <c r="F20" s="23" t="s">
        <v>521</v>
      </c>
      <c r="G20" s="41" t="s">
        <v>36</v>
      </c>
      <c r="H20" s="35" t="s">
        <v>527</v>
      </c>
      <c r="I20" s="28" t="s">
        <v>10</v>
      </c>
      <c r="J20" s="36"/>
      <c r="K20" s="37"/>
      <c r="L20" s="38"/>
    </row>
    <row r="21" spans="2:12" ht="54" customHeight="1" x14ac:dyDescent="0.2">
      <c r="B21" s="144"/>
      <c r="C21" s="144"/>
      <c r="D21" s="146"/>
      <c r="E21" s="146"/>
      <c r="F21" s="23" t="s">
        <v>522</v>
      </c>
      <c r="G21" s="41" t="s">
        <v>39</v>
      </c>
      <c r="H21" s="35" t="s">
        <v>528</v>
      </c>
      <c r="I21" s="28" t="s">
        <v>10</v>
      </c>
      <c r="J21" s="36"/>
      <c r="K21" s="37"/>
      <c r="L21" s="38"/>
    </row>
    <row r="22" spans="2:12" ht="54" customHeight="1" x14ac:dyDescent="0.2">
      <c r="B22" s="144"/>
      <c r="C22" s="144"/>
      <c r="D22" s="146"/>
      <c r="E22" s="146"/>
      <c r="F22" s="23" t="s">
        <v>523</v>
      </c>
      <c r="G22" s="41" t="s">
        <v>35</v>
      </c>
      <c r="H22" s="35" t="s">
        <v>529</v>
      </c>
      <c r="I22" s="28" t="s">
        <v>10</v>
      </c>
      <c r="J22" s="36"/>
      <c r="K22" s="37"/>
      <c r="L22" s="38"/>
    </row>
    <row r="23" spans="2:12" ht="54" customHeight="1" x14ac:dyDescent="0.2">
      <c r="B23" s="144"/>
      <c r="C23" s="144"/>
      <c r="D23" s="146"/>
      <c r="E23" s="146"/>
      <c r="F23" s="23" t="s">
        <v>524</v>
      </c>
      <c r="G23" s="41" t="s">
        <v>43</v>
      </c>
      <c r="H23" s="35" t="s">
        <v>530</v>
      </c>
      <c r="I23" s="28" t="s">
        <v>10</v>
      </c>
      <c r="J23" s="36"/>
      <c r="K23" s="37"/>
      <c r="L23" s="38"/>
    </row>
    <row r="24" spans="2:12" ht="54" customHeight="1" x14ac:dyDescent="0.2">
      <c r="B24" s="144"/>
      <c r="C24" s="144"/>
      <c r="D24" s="146"/>
      <c r="E24" s="146"/>
      <c r="F24" s="23" t="s">
        <v>525</v>
      </c>
      <c r="G24" s="41" t="s">
        <v>36</v>
      </c>
      <c r="H24" s="35" t="s">
        <v>531</v>
      </c>
      <c r="I24" s="28" t="s">
        <v>10</v>
      </c>
      <c r="J24" s="36"/>
      <c r="K24" s="37"/>
      <c r="L24" s="38"/>
    </row>
    <row r="25" spans="2:12" ht="54" customHeight="1" x14ac:dyDescent="0.2">
      <c r="B25" s="144"/>
      <c r="C25" s="144"/>
      <c r="D25" s="146"/>
      <c r="E25" s="146"/>
      <c r="F25" s="23" t="s">
        <v>526</v>
      </c>
      <c r="G25" s="41" t="s">
        <v>39</v>
      </c>
      <c r="H25" s="35" t="s">
        <v>532</v>
      </c>
      <c r="I25" s="28" t="s">
        <v>10</v>
      </c>
      <c r="J25" s="36"/>
      <c r="K25" s="37"/>
      <c r="L25" s="38"/>
    </row>
    <row r="26" spans="2:12" ht="54" customHeight="1" x14ac:dyDescent="0.2">
      <c r="B26" s="151" t="s">
        <v>349</v>
      </c>
      <c r="C26" s="151" t="s">
        <v>21</v>
      </c>
      <c r="D26" s="153" t="s">
        <v>502</v>
      </c>
      <c r="E26" s="153" t="s">
        <v>533</v>
      </c>
      <c r="F26" s="22" t="s">
        <v>534</v>
      </c>
      <c r="G26" s="12" t="s">
        <v>36</v>
      </c>
      <c r="H26" s="34" t="s">
        <v>116</v>
      </c>
      <c r="I26" s="28" t="s">
        <v>10</v>
      </c>
      <c r="J26" s="11"/>
      <c r="K26" s="33"/>
      <c r="L26" s="29"/>
    </row>
    <row r="27" spans="2:12" ht="54" customHeight="1" x14ac:dyDescent="0.2">
      <c r="B27" s="152"/>
      <c r="C27" s="152"/>
      <c r="D27" s="154"/>
      <c r="E27" s="154"/>
      <c r="F27" s="22" t="s">
        <v>535</v>
      </c>
      <c r="G27" s="12" t="s">
        <v>43</v>
      </c>
      <c r="H27" s="34" t="s">
        <v>119</v>
      </c>
      <c r="I27" s="28" t="s">
        <v>10</v>
      </c>
      <c r="J27" s="11"/>
      <c r="K27" s="33"/>
      <c r="L27" s="29"/>
    </row>
    <row r="28" spans="2:12" ht="54" customHeight="1" x14ac:dyDescent="0.2">
      <c r="B28" s="152"/>
      <c r="C28" s="152"/>
      <c r="D28" s="154"/>
      <c r="E28" s="154"/>
      <c r="F28" s="22" t="s">
        <v>536</v>
      </c>
      <c r="G28" s="12" t="s">
        <v>39</v>
      </c>
      <c r="H28" s="34" t="s">
        <v>120</v>
      </c>
      <c r="I28" s="28" t="s">
        <v>10</v>
      </c>
      <c r="J28" s="11"/>
      <c r="K28" s="33"/>
      <c r="L28" s="29"/>
    </row>
    <row r="29" spans="2:12" ht="54" customHeight="1" x14ac:dyDescent="0.2">
      <c r="B29" s="152"/>
      <c r="C29" s="152"/>
      <c r="D29" s="154"/>
      <c r="E29" s="154"/>
      <c r="F29" s="22" t="s">
        <v>537</v>
      </c>
      <c r="G29" s="12" t="s">
        <v>35</v>
      </c>
      <c r="H29" s="34" t="s">
        <v>132</v>
      </c>
      <c r="I29" s="28" t="s">
        <v>10</v>
      </c>
      <c r="J29" s="11"/>
      <c r="K29" s="33"/>
      <c r="L29" s="29"/>
    </row>
    <row r="30" spans="2:12" ht="54" customHeight="1" x14ac:dyDescent="0.2">
      <c r="B30" s="152"/>
      <c r="C30" s="152"/>
      <c r="D30" s="154"/>
      <c r="E30" s="154"/>
      <c r="F30" s="22" t="s">
        <v>538</v>
      </c>
      <c r="G30" s="12" t="s">
        <v>36</v>
      </c>
      <c r="H30" s="34" t="s">
        <v>121</v>
      </c>
      <c r="I30" s="28" t="s">
        <v>10</v>
      </c>
      <c r="J30" s="11"/>
      <c r="K30" s="33"/>
      <c r="L30" s="29"/>
    </row>
    <row r="31" spans="2:12" ht="54" customHeight="1" x14ac:dyDescent="0.2">
      <c r="B31" s="152"/>
      <c r="C31" s="152"/>
      <c r="D31" s="154"/>
      <c r="E31" s="154"/>
      <c r="F31" s="22" t="s">
        <v>539</v>
      </c>
      <c r="G31" s="12" t="s">
        <v>41</v>
      </c>
      <c r="H31" s="34" t="s">
        <v>540</v>
      </c>
      <c r="I31" s="28" t="s">
        <v>10</v>
      </c>
      <c r="J31" s="11"/>
      <c r="K31" s="33"/>
      <c r="L31" s="29"/>
    </row>
    <row r="32" spans="2:12" ht="54" customHeight="1" x14ac:dyDescent="0.2">
      <c r="B32" s="143" t="s">
        <v>349</v>
      </c>
      <c r="C32" s="143" t="s">
        <v>23</v>
      </c>
      <c r="D32" s="145" t="s">
        <v>503</v>
      </c>
      <c r="E32" s="145" t="s">
        <v>131</v>
      </c>
      <c r="F32" s="23" t="s">
        <v>541</v>
      </c>
      <c r="G32" s="41" t="s">
        <v>36</v>
      </c>
      <c r="H32" s="35" t="s">
        <v>122</v>
      </c>
      <c r="I32" s="28" t="s">
        <v>10</v>
      </c>
      <c r="J32" s="36"/>
      <c r="K32" s="37"/>
      <c r="L32" s="38"/>
    </row>
    <row r="33" spans="2:12" ht="54" customHeight="1" x14ac:dyDescent="0.2">
      <c r="B33" s="144"/>
      <c r="C33" s="144"/>
      <c r="D33" s="146"/>
      <c r="E33" s="146"/>
      <c r="F33" s="23" t="s">
        <v>42</v>
      </c>
      <c r="G33" s="41" t="s">
        <v>41</v>
      </c>
      <c r="H33" s="35" t="s">
        <v>544</v>
      </c>
      <c r="I33" s="28" t="s">
        <v>10</v>
      </c>
      <c r="J33" s="36"/>
      <c r="K33" s="37"/>
      <c r="L33" s="38"/>
    </row>
    <row r="34" spans="2:12" ht="54" customHeight="1" x14ac:dyDescent="0.2">
      <c r="B34" s="144"/>
      <c r="C34" s="144"/>
      <c r="D34" s="146"/>
      <c r="E34" s="146"/>
      <c r="F34" s="23" t="s">
        <v>184</v>
      </c>
      <c r="G34" s="41" t="s">
        <v>41</v>
      </c>
      <c r="H34" s="35" t="s">
        <v>123</v>
      </c>
      <c r="I34" s="28" t="s">
        <v>10</v>
      </c>
      <c r="J34" s="36"/>
      <c r="K34" s="37"/>
      <c r="L34" s="38"/>
    </row>
    <row r="35" spans="2:12" ht="54" customHeight="1" x14ac:dyDescent="0.2">
      <c r="B35" s="144"/>
      <c r="C35" s="144"/>
      <c r="D35" s="146"/>
      <c r="E35" s="146"/>
      <c r="F35" s="23" t="s">
        <v>186</v>
      </c>
      <c r="G35" s="41" t="s">
        <v>41</v>
      </c>
      <c r="H35" s="35" t="s">
        <v>124</v>
      </c>
      <c r="I35" s="28" t="s">
        <v>10</v>
      </c>
      <c r="J35" s="36"/>
      <c r="K35" s="37"/>
      <c r="L35" s="38"/>
    </row>
    <row r="36" spans="2:12" ht="54" customHeight="1" x14ac:dyDescent="0.2">
      <c r="B36" s="144"/>
      <c r="C36" s="144"/>
      <c r="D36" s="146"/>
      <c r="E36" s="146"/>
      <c r="F36" s="23" t="s">
        <v>542</v>
      </c>
      <c r="G36" s="41" t="s">
        <v>41</v>
      </c>
      <c r="H36" s="35" t="s">
        <v>125</v>
      </c>
      <c r="I36" s="28" t="s">
        <v>10</v>
      </c>
      <c r="J36" s="36"/>
      <c r="K36" s="37"/>
      <c r="L36" s="38"/>
    </row>
    <row r="37" spans="2:12" ht="54" customHeight="1" x14ac:dyDescent="0.2">
      <c r="B37" s="144"/>
      <c r="C37" s="144"/>
      <c r="D37" s="146"/>
      <c r="E37" s="146"/>
      <c r="F37" s="23" t="s">
        <v>543</v>
      </c>
      <c r="G37" s="41" t="s">
        <v>35</v>
      </c>
      <c r="H37" s="35" t="s">
        <v>545</v>
      </c>
      <c r="I37" s="28" t="s">
        <v>10</v>
      </c>
      <c r="J37" s="36"/>
      <c r="K37" s="37"/>
      <c r="L37" s="38"/>
    </row>
    <row r="38" spans="2:12" ht="54" customHeight="1" x14ac:dyDescent="0.2">
      <c r="B38" s="151" t="s">
        <v>349</v>
      </c>
      <c r="C38" s="151" t="s">
        <v>24</v>
      </c>
      <c r="D38" s="167" t="s">
        <v>105</v>
      </c>
      <c r="E38" s="167" t="s">
        <v>546</v>
      </c>
      <c r="F38" s="22" t="s">
        <v>117</v>
      </c>
      <c r="G38" s="12" t="s">
        <v>36</v>
      </c>
      <c r="H38" s="34" t="s">
        <v>548</v>
      </c>
      <c r="I38" s="28" t="s">
        <v>10</v>
      </c>
      <c r="J38" s="11"/>
      <c r="K38" s="33"/>
      <c r="L38" s="29"/>
    </row>
    <row r="39" spans="2:12" ht="54" customHeight="1" x14ac:dyDescent="0.2">
      <c r="B39" s="152"/>
      <c r="C39" s="152"/>
      <c r="D39" s="168"/>
      <c r="E39" s="168"/>
      <c r="F39" s="22" t="s">
        <v>547</v>
      </c>
      <c r="G39" s="12" t="s">
        <v>43</v>
      </c>
      <c r="H39" s="34" t="s">
        <v>549</v>
      </c>
      <c r="I39" s="28" t="s">
        <v>10</v>
      </c>
      <c r="J39" s="11"/>
      <c r="K39" s="33"/>
      <c r="L39" s="29"/>
    </row>
    <row r="40" spans="2:12" ht="54" customHeight="1" x14ac:dyDescent="0.2">
      <c r="B40" s="152"/>
      <c r="C40" s="152"/>
      <c r="D40" s="168"/>
      <c r="E40" s="168"/>
      <c r="F40" s="22" t="s">
        <v>111</v>
      </c>
      <c r="G40" s="12" t="s">
        <v>35</v>
      </c>
      <c r="H40" s="34" t="s">
        <v>126</v>
      </c>
      <c r="I40" s="28" t="s">
        <v>10</v>
      </c>
      <c r="J40" s="11"/>
      <c r="K40" s="33"/>
      <c r="L40" s="29"/>
    </row>
    <row r="41" spans="2:12" ht="54" customHeight="1" x14ac:dyDescent="0.2">
      <c r="B41" s="152"/>
      <c r="C41" s="152"/>
      <c r="D41" s="168"/>
      <c r="E41" s="168"/>
      <c r="F41" s="22" t="s">
        <v>33</v>
      </c>
      <c r="G41" s="12" t="s">
        <v>43</v>
      </c>
      <c r="H41" s="34" t="s">
        <v>550</v>
      </c>
      <c r="I41" s="28" t="s">
        <v>10</v>
      </c>
      <c r="J41" s="11"/>
      <c r="K41" s="33"/>
      <c r="L41" s="29"/>
    </row>
    <row r="42" spans="2:12" ht="54" customHeight="1" x14ac:dyDescent="0.2">
      <c r="B42" s="152"/>
      <c r="C42" s="152"/>
      <c r="D42" s="168"/>
      <c r="E42" s="168"/>
      <c r="F42" s="22" t="s">
        <v>112</v>
      </c>
      <c r="G42" s="12" t="s">
        <v>35</v>
      </c>
      <c r="H42" s="34" t="s">
        <v>127</v>
      </c>
      <c r="I42" s="28" t="s">
        <v>10</v>
      </c>
      <c r="J42" s="11"/>
      <c r="K42" s="33"/>
      <c r="L42" s="29"/>
    </row>
    <row r="43" spans="2:12" ht="5.25" customHeight="1" x14ac:dyDescent="0.2"/>
    <row r="44" spans="2:12" ht="31" customHeight="1" x14ac:dyDescent="0.2">
      <c r="B44" s="69" t="s">
        <v>34</v>
      </c>
      <c r="C44" s="69" t="s">
        <v>258</v>
      </c>
      <c r="D44" s="69" t="s">
        <v>259</v>
      </c>
      <c r="E44" s="169" t="s">
        <v>32</v>
      </c>
      <c r="F44" s="170"/>
      <c r="G44" s="169" t="s">
        <v>16</v>
      </c>
      <c r="H44" s="170"/>
      <c r="I44" s="71" t="s">
        <v>8</v>
      </c>
      <c r="J44" s="69" t="s">
        <v>17</v>
      </c>
      <c r="K44" s="72" t="s">
        <v>44</v>
      </c>
      <c r="L44" s="69" t="s">
        <v>45</v>
      </c>
    </row>
    <row r="45" spans="2:12" ht="54" customHeight="1" x14ac:dyDescent="0.2">
      <c r="B45" s="151" t="s">
        <v>349</v>
      </c>
      <c r="C45" s="151" t="s">
        <v>260</v>
      </c>
      <c r="D45" s="153" t="s">
        <v>504</v>
      </c>
      <c r="E45" s="129" t="s">
        <v>551</v>
      </c>
      <c r="F45" s="130"/>
      <c r="G45" s="127" t="s">
        <v>552</v>
      </c>
      <c r="H45" s="128"/>
      <c r="I45" s="28" t="s">
        <v>10</v>
      </c>
      <c r="J45" s="11"/>
      <c r="K45" s="33"/>
      <c r="L45" s="29"/>
    </row>
    <row r="46" spans="2:12" ht="63" customHeight="1" x14ac:dyDescent="0.2">
      <c r="B46" s="152"/>
      <c r="C46" s="152"/>
      <c r="D46" s="154"/>
      <c r="E46" s="131"/>
      <c r="F46" s="132"/>
      <c r="G46" s="127" t="s">
        <v>553</v>
      </c>
      <c r="H46" s="128"/>
      <c r="I46" s="28" t="s">
        <v>10</v>
      </c>
      <c r="J46" s="11"/>
      <c r="K46" s="33"/>
      <c r="L46" s="29"/>
    </row>
    <row r="47" spans="2:12" ht="54" customHeight="1" x14ac:dyDescent="0.2">
      <c r="B47" s="152"/>
      <c r="C47" s="152"/>
      <c r="D47" s="154"/>
      <c r="E47" s="133"/>
      <c r="F47" s="134"/>
      <c r="G47" s="127" t="s">
        <v>554</v>
      </c>
      <c r="H47" s="128"/>
      <c r="I47" s="28" t="s">
        <v>10</v>
      </c>
      <c r="J47" s="11"/>
      <c r="K47" s="33"/>
      <c r="L47" s="29"/>
    </row>
    <row r="48" spans="2:12" ht="54" customHeight="1" x14ac:dyDescent="0.2">
      <c r="B48" s="143" t="s">
        <v>349</v>
      </c>
      <c r="C48" s="143" t="s">
        <v>261</v>
      </c>
      <c r="D48" s="145" t="s">
        <v>505</v>
      </c>
      <c r="E48" s="135" t="s">
        <v>555</v>
      </c>
      <c r="F48" s="136"/>
      <c r="G48" s="141" t="s">
        <v>556</v>
      </c>
      <c r="H48" s="142"/>
      <c r="I48" s="28" t="s">
        <v>10</v>
      </c>
      <c r="J48" s="36"/>
      <c r="K48" s="37"/>
      <c r="L48" s="38"/>
    </row>
    <row r="49" spans="2:12" ht="54" customHeight="1" x14ac:dyDescent="0.2">
      <c r="B49" s="144"/>
      <c r="C49" s="144"/>
      <c r="D49" s="146"/>
      <c r="E49" s="137"/>
      <c r="F49" s="138"/>
      <c r="G49" s="141" t="s">
        <v>557</v>
      </c>
      <c r="H49" s="142"/>
      <c r="I49" s="28" t="s">
        <v>10</v>
      </c>
      <c r="J49" s="36"/>
      <c r="K49" s="37"/>
      <c r="L49" s="38"/>
    </row>
    <row r="50" spans="2:12" ht="54" customHeight="1" x14ac:dyDescent="0.2">
      <c r="B50" s="144"/>
      <c r="C50" s="144"/>
      <c r="D50" s="146"/>
      <c r="E50" s="139"/>
      <c r="F50" s="140"/>
      <c r="G50" s="141" t="s">
        <v>558</v>
      </c>
      <c r="H50" s="142"/>
      <c r="I50" s="28" t="s">
        <v>10</v>
      </c>
      <c r="J50" s="36"/>
      <c r="K50" s="37"/>
      <c r="L50" s="38"/>
    </row>
    <row r="51" spans="2:12" ht="54" customHeight="1" x14ac:dyDescent="0.2">
      <c r="B51" s="151" t="s">
        <v>349</v>
      </c>
      <c r="C51" s="151" t="s">
        <v>262</v>
      </c>
      <c r="D51" s="153" t="s">
        <v>506</v>
      </c>
      <c r="E51" s="129" t="s">
        <v>559</v>
      </c>
      <c r="F51" s="130"/>
      <c r="G51" s="127" t="s">
        <v>560</v>
      </c>
      <c r="H51" s="128"/>
      <c r="I51" s="28" t="s">
        <v>10</v>
      </c>
      <c r="J51" s="11"/>
      <c r="K51" s="33"/>
      <c r="L51" s="29"/>
    </row>
    <row r="52" spans="2:12" ht="54" customHeight="1" x14ac:dyDescent="0.2">
      <c r="B52" s="152"/>
      <c r="C52" s="152"/>
      <c r="D52" s="154"/>
      <c r="E52" s="131"/>
      <c r="F52" s="132"/>
      <c r="G52" s="127" t="s">
        <v>561</v>
      </c>
      <c r="H52" s="128"/>
      <c r="I52" s="28" t="s">
        <v>10</v>
      </c>
      <c r="J52" s="11"/>
      <c r="K52" s="33"/>
      <c r="L52" s="29"/>
    </row>
    <row r="53" spans="2:12" ht="54" customHeight="1" x14ac:dyDescent="0.2">
      <c r="B53" s="152"/>
      <c r="C53" s="152"/>
      <c r="D53" s="154"/>
      <c r="E53" s="133"/>
      <c r="F53" s="134"/>
      <c r="G53" s="127" t="s">
        <v>562</v>
      </c>
      <c r="H53" s="128"/>
      <c r="I53" s="28" t="s">
        <v>10</v>
      </c>
      <c r="J53" s="11"/>
      <c r="K53" s="33"/>
      <c r="L53" s="29"/>
    </row>
    <row r="54" spans="2:12" ht="54" customHeight="1" x14ac:dyDescent="0.2">
      <c r="B54" s="143" t="s">
        <v>349</v>
      </c>
      <c r="C54" s="143" t="s">
        <v>263</v>
      </c>
      <c r="D54" s="145" t="s">
        <v>507</v>
      </c>
      <c r="E54" s="135" t="s">
        <v>563</v>
      </c>
      <c r="F54" s="136"/>
      <c r="G54" s="141" t="s">
        <v>564</v>
      </c>
      <c r="H54" s="142"/>
      <c r="I54" s="28" t="s">
        <v>10</v>
      </c>
      <c r="J54" s="36"/>
      <c r="K54" s="37"/>
      <c r="L54" s="38"/>
    </row>
    <row r="55" spans="2:12" ht="54" customHeight="1" x14ac:dyDescent="0.2">
      <c r="B55" s="144"/>
      <c r="C55" s="144"/>
      <c r="D55" s="146"/>
      <c r="E55" s="137"/>
      <c r="F55" s="138"/>
      <c r="G55" s="141" t="s">
        <v>565</v>
      </c>
      <c r="H55" s="142"/>
      <c r="I55" s="28" t="s">
        <v>10</v>
      </c>
      <c r="J55" s="36"/>
      <c r="K55" s="37"/>
      <c r="L55" s="38"/>
    </row>
    <row r="56" spans="2:12" ht="54" customHeight="1" x14ac:dyDescent="0.2">
      <c r="B56" s="144"/>
      <c r="C56" s="144"/>
      <c r="D56" s="146"/>
      <c r="E56" s="139"/>
      <c r="F56" s="140"/>
      <c r="G56" s="141" t="s">
        <v>566</v>
      </c>
      <c r="H56" s="142"/>
      <c r="I56" s="28" t="s">
        <v>10</v>
      </c>
      <c r="J56" s="36"/>
      <c r="K56" s="37"/>
      <c r="L56" s="38"/>
    </row>
    <row r="57" spans="2:12" ht="67" customHeight="1" x14ac:dyDescent="0.2">
      <c r="B57" s="151" t="s">
        <v>349</v>
      </c>
      <c r="C57" s="151" t="s">
        <v>264</v>
      </c>
      <c r="D57" s="153" t="s">
        <v>508</v>
      </c>
      <c r="E57" s="129" t="s">
        <v>567</v>
      </c>
      <c r="F57" s="130"/>
      <c r="G57" s="127" t="s">
        <v>568</v>
      </c>
      <c r="H57" s="128"/>
      <c r="I57" s="28" t="s">
        <v>10</v>
      </c>
      <c r="J57" s="11"/>
      <c r="K57" s="33"/>
      <c r="L57" s="29"/>
    </row>
    <row r="58" spans="2:12" ht="54" customHeight="1" x14ac:dyDescent="0.2">
      <c r="B58" s="152"/>
      <c r="C58" s="152"/>
      <c r="D58" s="154"/>
      <c r="E58" s="131"/>
      <c r="F58" s="132"/>
      <c r="G58" s="127" t="s">
        <v>569</v>
      </c>
      <c r="H58" s="128"/>
      <c r="I58" s="28" t="s">
        <v>10</v>
      </c>
      <c r="J58" s="11"/>
      <c r="K58" s="33"/>
      <c r="L58" s="29"/>
    </row>
    <row r="59" spans="2:12" ht="54" customHeight="1" x14ac:dyDescent="0.2">
      <c r="B59" s="152"/>
      <c r="C59" s="152"/>
      <c r="D59" s="154"/>
      <c r="E59" s="133"/>
      <c r="F59" s="134"/>
      <c r="G59" s="127" t="s">
        <v>570</v>
      </c>
      <c r="H59" s="128"/>
      <c r="I59" s="28" t="s">
        <v>10</v>
      </c>
      <c r="J59" s="11"/>
      <c r="K59" s="33"/>
      <c r="L59" s="29"/>
    </row>
    <row r="60" spans="2:12" ht="62" customHeight="1" x14ac:dyDescent="0.2">
      <c r="B60" s="143" t="s">
        <v>349</v>
      </c>
      <c r="C60" s="143" t="s">
        <v>267</v>
      </c>
      <c r="D60" s="145" t="s">
        <v>509</v>
      </c>
      <c r="E60" s="135" t="s">
        <v>571</v>
      </c>
      <c r="F60" s="136"/>
      <c r="G60" s="141" t="s">
        <v>572</v>
      </c>
      <c r="H60" s="142"/>
      <c r="I60" s="28" t="s">
        <v>10</v>
      </c>
      <c r="J60" s="36"/>
      <c r="K60" s="37"/>
      <c r="L60" s="38"/>
    </row>
    <row r="61" spans="2:12" ht="62" customHeight="1" x14ac:dyDescent="0.2">
      <c r="B61" s="144"/>
      <c r="C61" s="144"/>
      <c r="D61" s="146"/>
      <c r="E61" s="137"/>
      <c r="F61" s="138"/>
      <c r="G61" s="141" t="s">
        <v>2243</v>
      </c>
      <c r="H61" s="142"/>
      <c r="I61" s="28" t="s">
        <v>10</v>
      </c>
      <c r="J61" s="36"/>
      <c r="K61" s="37"/>
      <c r="L61" s="38"/>
    </row>
    <row r="62" spans="2:12" ht="54" customHeight="1" x14ac:dyDescent="0.2">
      <c r="B62" s="144"/>
      <c r="C62" s="144"/>
      <c r="D62" s="146"/>
      <c r="E62" s="139"/>
      <c r="F62" s="140"/>
      <c r="G62" s="141" t="s">
        <v>573</v>
      </c>
      <c r="H62" s="142"/>
      <c r="I62" s="28" t="s">
        <v>10</v>
      </c>
      <c r="J62" s="36"/>
      <c r="K62" s="37"/>
      <c r="L62" s="38"/>
    </row>
    <row r="238" spans="1:13" s="4" customFormat="1" x14ac:dyDescent="0.2">
      <c r="A238" s="1"/>
      <c r="B238" s="2"/>
      <c r="C238" s="3"/>
      <c r="D238" s="3"/>
      <c r="E238" s="3"/>
      <c r="G238" s="2"/>
      <c r="I238" s="6"/>
      <c r="J238" s="1"/>
      <c r="K238" s="30"/>
      <c r="L238" s="1"/>
      <c r="M238" s="1"/>
    </row>
    <row r="239" spans="1:13" s="4" customFormat="1" x14ac:dyDescent="0.2">
      <c r="A239" s="1"/>
      <c r="B239" s="2"/>
      <c r="C239" s="3"/>
      <c r="D239" s="3"/>
      <c r="E239" s="3"/>
      <c r="G239" s="2"/>
      <c r="I239" s="6"/>
      <c r="J239" s="1"/>
      <c r="K239" s="30"/>
      <c r="L239" s="1"/>
      <c r="M239" s="1"/>
    </row>
    <row r="240" spans="1:13" s="4" customFormat="1" x14ac:dyDescent="0.2">
      <c r="A240" s="1"/>
      <c r="B240" s="2"/>
      <c r="C240" s="3"/>
      <c r="D240" s="3"/>
      <c r="E240" s="3"/>
      <c r="G240" s="2"/>
      <c r="I240" s="6"/>
      <c r="J240" s="1"/>
      <c r="K240" s="30"/>
      <c r="L240" s="1"/>
      <c r="M240" s="1"/>
    </row>
    <row r="241" spans="1:13" s="4" customFormat="1" x14ac:dyDescent="0.2">
      <c r="A241" s="1"/>
      <c r="B241" s="2"/>
      <c r="C241" s="3"/>
      <c r="D241" s="3"/>
      <c r="E241" s="3"/>
      <c r="G241" s="2"/>
      <c r="I241" s="6"/>
      <c r="J241" s="1"/>
      <c r="K241" s="30"/>
      <c r="L241" s="1"/>
      <c r="M241" s="1"/>
    </row>
    <row r="242" spans="1:13" s="4" customFormat="1" x14ac:dyDescent="0.2">
      <c r="A242" s="1"/>
      <c r="B242" s="2"/>
      <c r="C242" s="3"/>
      <c r="D242" s="3"/>
      <c r="E242" s="3"/>
      <c r="G242" s="2"/>
      <c r="I242" s="6"/>
      <c r="J242" s="1"/>
      <c r="K242" s="30"/>
      <c r="L242" s="1"/>
      <c r="M242" s="1"/>
    </row>
    <row r="243" spans="1:13" s="4" customFormat="1" x14ac:dyDescent="0.2">
      <c r="A243" s="1"/>
      <c r="B243" s="2"/>
      <c r="C243" s="3"/>
      <c r="D243" s="3"/>
      <c r="E243" s="3"/>
      <c r="G243" s="2"/>
      <c r="I243" s="6"/>
      <c r="J243" s="1"/>
      <c r="K243" s="30"/>
      <c r="L243" s="1"/>
      <c r="M243" s="1"/>
    </row>
    <row r="247" spans="1:13" s="4" customFormat="1" x14ac:dyDescent="0.2">
      <c r="A247" s="1"/>
      <c r="B247" s="2"/>
      <c r="C247" s="3"/>
      <c r="D247" s="3"/>
      <c r="E247" s="3"/>
      <c r="G247" s="2"/>
      <c r="I247" s="6"/>
      <c r="J247" s="1"/>
      <c r="K247" s="30"/>
      <c r="L247" s="1"/>
      <c r="M247" s="1"/>
    </row>
    <row r="248" spans="1:13" s="4" customFormat="1" x14ac:dyDescent="0.2">
      <c r="A248" s="1"/>
      <c r="B248" s="2"/>
      <c r="C248" s="3"/>
      <c r="D248" s="3"/>
      <c r="E248" s="3"/>
      <c r="G248" s="2"/>
      <c r="I248" s="6"/>
      <c r="J248" s="1"/>
      <c r="K248" s="30"/>
      <c r="L248" s="1"/>
      <c r="M248" s="1"/>
    </row>
    <row r="249" spans="1:13" s="4" customFormat="1" x14ac:dyDescent="0.2">
      <c r="A249" s="1"/>
      <c r="B249" s="2"/>
      <c r="C249" s="3"/>
      <c r="D249" s="3"/>
      <c r="E249" s="3"/>
      <c r="G249" s="2"/>
      <c r="I249" s="6"/>
      <c r="J249" s="1"/>
      <c r="K249" s="30"/>
      <c r="L249" s="1"/>
      <c r="M249" s="1"/>
    </row>
    <row r="250" spans="1:13" s="4" customFormat="1" x14ac:dyDescent="0.2">
      <c r="A250" s="1"/>
      <c r="B250" s="2"/>
      <c r="C250" s="3"/>
      <c r="D250" s="3"/>
      <c r="E250" s="3"/>
      <c r="G250" s="2"/>
      <c r="I250" s="6"/>
      <c r="J250" s="1"/>
      <c r="K250" s="30"/>
      <c r="L250" s="1"/>
      <c r="M250" s="1"/>
    </row>
    <row r="251" spans="1:13" s="4" customFormat="1" x14ac:dyDescent="0.2">
      <c r="A251" s="1"/>
      <c r="B251" s="2"/>
      <c r="C251" s="3"/>
      <c r="D251" s="3"/>
      <c r="E251" s="3"/>
      <c r="G251" s="2"/>
      <c r="I251" s="6"/>
      <c r="J251" s="1"/>
      <c r="K251" s="30"/>
      <c r="L251" s="1"/>
      <c r="M251" s="1"/>
    </row>
    <row r="255" spans="1:13" s="4" customFormat="1" x14ac:dyDescent="0.2">
      <c r="A255" s="1"/>
      <c r="B255" s="2"/>
      <c r="C255" s="3"/>
      <c r="D255" s="3"/>
      <c r="E255" s="3"/>
      <c r="G255" s="2"/>
      <c r="I255" s="6"/>
      <c r="J255" s="1"/>
      <c r="K255" s="30"/>
      <c r="L255" s="1"/>
      <c r="M255" s="1"/>
    </row>
    <row r="256" spans="1:13" s="4" customFormat="1" x14ac:dyDescent="0.2">
      <c r="A256" s="1"/>
      <c r="B256" s="2"/>
      <c r="C256" s="3"/>
      <c r="D256" s="3"/>
      <c r="E256" s="3"/>
      <c r="G256" s="2"/>
      <c r="I256" s="6"/>
      <c r="J256" s="1"/>
      <c r="K256" s="30"/>
      <c r="L256" s="1"/>
      <c r="M256" s="1"/>
    </row>
    <row r="257" spans="1:13" s="4" customFormat="1" x14ac:dyDescent="0.2">
      <c r="A257" s="1"/>
      <c r="B257" s="2"/>
      <c r="C257" s="3"/>
      <c r="D257" s="3"/>
      <c r="E257" s="3"/>
      <c r="G257" s="2"/>
      <c r="I257" s="6"/>
      <c r="J257" s="1"/>
      <c r="K257" s="30"/>
      <c r="L257" s="1"/>
      <c r="M257" s="1"/>
    </row>
    <row r="258" spans="1:13" s="4" customFormat="1" x14ac:dyDescent="0.2">
      <c r="A258" s="1"/>
      <c r="B258" s="2"/>
      <c r="C258" s="3"/>
      <c r="D258" s="3"/>
      <c r="E258" s="3"/>
      <c r="G258" s="2"/>
      <c r="I258" s="6"/>
      <c r="J258" s="1"/>
      <c r="K258" s="30"/>
      <c r="L258" s="1"/>
      <c r="M258" s="1"/>
    </row>
    <row r="259" spans="1:13" s="4" customFormat="1" x14ac:dyDescent="0.2">
      <c r="A259" s="1"/>
      <c r="B259" s="2"/>
      <c r="C259" s="3"/>
      <c r="D259" s="3"/>
      <c r="E259" s="3"/>
      <c r="G259" s="2"/>
      <c r="I259" s="6"/>
      <c r="J259" s="1"/>
      <c r="K259" s="30"/>
      <c r="L259" s="1"/>
      <c r="M259" s="1"/>
    </row>
    <row r="260" spans="1:13" s="4" customFormat="1" x14ac:dyDescent="0.2">
      <c r="A260" s="1"/>
      <c r="B260" s="2"/>
      <c r="C260" s="3"/>
      <c r="D260" s="3"/>
      <c r="E260" s="3"/>
      <c r="G260" s="2"/>
      <c r="I260" s="6"/>
      <c r="J260" s="1"/>
      <c r="K260" s="30"/>
      <c r="L260" s="1"/>
      <c r="M260" s="1"/>
    </row>
    <row r="261" spans="1:13" s="4" customFormat="1" x14ac:dyDescent="0.2">
      <c r="A261" s="1"/>
      <c r="B261" s="2"/>
      <c r="C261" s="3"/>
      <c r="D261" s="3"/>
      <c r="E261" s="3"/>
      <c r="G261" s="2"/>
      <c r="I261" s="6"/>
      <c r="J261" s="1"/>
      <c r="K261" s="30"/>
      <c r="L261" s="1"/>
      <c r="M261" s="1"/>
    </row>
  </sheetData>
  <mergeCells count="71">
    <mergeCell ref="B20:B25"/>
    <mergeCell ref="C20:C25"/>
    <mergeCell ref="D20:D25"/>
    <mergeCell ref="E20:E25"/>
    <mergeCell ref="B2:J2"/>
    <mergeCell ref="B4:J4"/>
    <mergeCell ref="B6:H8"/>
    <mergeCell ref="I6:J6"/>
    <mergeCell ref="I7:J8"/>
    <mergeCell ref="C10:J10"/>
    <mergeCell ref="C11:J11"/>
    <mergeCell ref="B14:B19"/>
    <mergeCell ref="C14:C19"/>
    <mergeCell ref="D14:D19"/>
    <mergeCell ref="E14:E19"/>
    <mergeCell ref="B38:B42"/>
    <mergeCell ref="C38:C42"/>
    <mergeCell ref="D38:D42"/>
    <mergeCell ref="E38:E42"/>
    <mergeCell ref="B26:B31"/>
    <mergeCell ref="C26:C31"/>
    <mergeCell ref="D26:D31"/>
    <mergeCell ref="E26:E31"/>
    <mergeCell ref="B32:B37"/>
    <mergeCell ref="C32:C37"/>
    <mergeCell ref="D32:D37"/>
    <mergeCell ref="E32:E37"/>
    <mergeCell ref="B45:B47"/>
    <mergeCell ref="C45:C47"/>
    <mergeCell ref="D45:D47"/>
    <mergeCell ref="E44:F44"/>
    <mergeCell ref="G44:H44"/>
    <mergeCell ref="E45:F47"/>
    <mergeCell ref="G45:H45"/>
    <mergeCell ref="G46:H46"/>
    <mergeCell ref="G47:H47"/>
    <mergeCell ref="B48:B50"/>
    <mergeCell ref="C48:C50"/>
    <mergeCell ref="D48:D50"/>
    <mergeCell ref="E48:F50"/>
    <mergeCell ref="G48:H48"/>
    <mergeCell ref="G49:H49"/>
    <mergeCell ref="G50:H50"/>
    <mergeCell ref="B51:B53"/>
    <mergeCell ref="C51:C53"/>
    <mergeCell ref="D51:D53"/>
    <mergeCell ref="E51:F53"/>
    <mergeCell ref="G51:H51"/>
    <mergeCell ref="G52:H52"/>
    <mergeCell ref="G53:H53"/>
    <mergeCell ref="B54:B56"/>
    <mergeCell ref="C54:C56"/>
    <mergeCell ref="D54:D56"/>
    <mergeCell ref="E54:F56"/>
    <mergeCell ref="G54:H54"/>
    <mergeCell ref="G55:H55"/>
    <mergeCell ref="G56:H56"/>
    <mergeCell ref="B57:B59"/>
    <mergeCell ref="C57:C59"/>
    <mergeCell ref="D57:D59"/>
    <mergeCell ref="E57:F59"/>
    <mergeCell ref="G57:H57"/>
    <mergeCell ref="G58:H58"/>
    <mergeCell ref="G59:H59"/>
    <mergeCell ref="B60:B62"/>
    <mergeCell ref="C60:C62"/>
    <mergeCell ref="D60:D62"/>
    <mergeCell ref="E60:F62"/>
    <mergeCell ref="G60:H60"/>
    <mergeCell ref="G61:H61"/>
    <mergeCell ref="G62:H62"/>
  </mergeCells>
  <conditionalFormatting sqref="I1">
    <cfRule type="cellIs" dxfId="362" priority="11" operator="equal">
      <formula>1</formula>
    </cfRule>
  </conditionalFormatting>
  <conditionalFormatting sqref="I7">
    <cfRule type="cellIs" dxfId="361" priority="9" operator="equal">
      <formula>1</formula>
    </cfRule>
  </conditionalFormatting>
  <conditionalFormatting sqref="I14:I42 I45:I62">
    <cfRule type="expression" dxfId="360" priority="5" stopIfTrue="1">
      <formula>TRIM(UPPER(I14))="N/A"</formula>
    </cfRule>
    <cfRule type="expression" dxfId="359" priority="6">
      <formula>I14&gt;=0.9</formula>
    </cfRule>
    <cfRule type="expression" dxfId="358" priority="7">
      <formula>AND(I14&gt;=0.8, I14&lt;0.9)</formula>
    </cfRule>
    <cfRule type="expression" dxfId="357" priority="8">
      <formula>I14&lt;0.8</formula>
    </cfRule>
  </conditionalFormatting>
  <conditionalFormatting sqref="I63:I1048576">
    <cfRule type="cellIs" dxfId="356" priority="10" operator="equal">
      <formula>1</formula>
    </cfRule>
  </conditionalFormatting>
  <printOptions horizontalCentered="1"/>
  <pageMargins left="0.51181102362204722" right="0.51181102362204722" top="0.55118110236220474" bottom="0.55118110236220474" header="0.31496062992125984" footer="0.31496062992125984"/>
  <pageSetup scale="45"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3D75442-3D7F-C14A-A45A-5B4A148DB948}">
          <x14:formula1>
            <xm:f>'Listas desplegables'!$C$4:$C$15</xm:f>
          </x14:formula1>
          <xm:sqref>I45:I62 I14:I42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F3155-DFBD-4C23-9358-DDC2216FC824}">
  <sheetPr>
    <tabColor rgb="FF0993A5"/>
  </sheetPr>
  <dimension ref="A1:AR326"/>
  <sheetViews>
    <sheetView zoomScale="70" zoomScaleNormal="70" workbookViewId="0">
      <selection activeCell="I14" sqref="I14"/>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8" style="30" customWidth="1"/>
    <col min="12" max="12" width="31.83203125" style="1" customWidth="1"/>
    <col min="13" max="13" width="17.6640625" style="13" customWidth="1"/>
    <col min="14" max="44" width="10.6640625" style="13"/>
    <col min="45" max="16384" width="10.6640625" style="1"/>
  </cols>
  <sheetData>
    <row r="1" spans="2:44" ht="5.25" customHeight="1" x14ac:dyDescent="0.2"/>
    <row r="2" spans="2:44" ht="60" customHeight="1" x14ac:dyDescent="0.2">
      <c r="B2" s="155" t="s">
        <v>28</v>
      </c>
      <c r="C2" s="155"/>
      <c r="D2" s="155"/>
      <c r="E2" s="155"/>
      <c r="F2" s="155"/>
      <c r="G2" s="155"/>
      <c r="H2" s="155"/>
      <c r="I2" s="155"/>
      <c r="J2" s="156"/>
      <c r="K2" s="13"/>
      <c r="L2" s="13"/>
    </row>
    <row r="3" spans="2:44" s="13" customFormat="1" ht="4.5" customHeight="1" x14ac:dyDescent="0.2">
      <c r="B3" s="14"/>
      <c r="C3" s="14"/>
      <c r="D3" s="14"/>
      <c r="E3" s="14"/>
      <c r="F3" s="14"/>
      <c r="G3" s="45"/>
      <c r="H3" s="14"/>
      <c r="I3" s="14"/>
    </row>
    <row r="4" spans="2:44" s="2" customFormat="1" ht="45" customHeight="1" x14ac:dyDescent="0.2">
      <c r="B4" s="157" t="s">
        <v>576</v>
      </c>
      <c r="C4" s="158"/>
      <c r="D4" s="158"/>
      <c r="E4" s="158"/>
      <c r="F4" s="158"/>
      <c r="G4" s="158"/>
      <c r="H4" s="158"/>
      <c r="I4" s="158"/>
      <c r="J4" s="159"/>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row>
    <row r="5" spans="2:44" ht="4.5" customHeight="1" x14ac:dyDescent="0.2">
      <c r="B5" s="7"/>
      <c r="C5" s="7"/>
      <c r="D5" s="7"/>
      <c r="E5" s="7"/>
      <c r="F5" s="8"/>
      <c r="G5" s="46"/>
      <c r="H5" s="8"/>
      <c r="I5" s="8"/>
      <c r="J5" s="8"/>
      <c r="K5" s="13"/>
      <c r="L5" s="13"/>
    </row>
    <row r="6" spans="2:44" ht="23" customHeight="1" x14ac:dyDescent="0.2">
      <c r="B6" s="160" t="s">
        <v>12</v>
      </c>
      <c r="C6" s="160"/>
      <c r="D6" s="160"/>
      <c r="E6" s="160"/>
      <c r="F6" s="160"/>
      <c r="G6" s="160"/>
      <c r="H6" s="160"/>
      <c r="I6" s="162" t="s">
        <v>11</v>
      </c>
      <c r="J6" s="108"/>
      <c r="K6" s="13"/>
      <c r="L6" s="13"/>
    </row>
    <row r="7" spans="2:44" ht="15.75" customHeight="1" x14ac:dyDescent="0.2">
      <c r="B7" s="160"/>
      <c r="C7" s="160"/>
      <c r="D7" s="160"/>
      <c r="E7" s="160"/>
      <c r="F7" s="160"/>
      <c r="G7" s="160"/>
      <c r="H7" s="160"/>
      <c r="I7" s="163">
        <f>AVERAGEIF(I14:I44,"&lt;&gt;N/A")</f>
        <v>0</v>
      </c>
      <c r="J7" s="164"/>
      <c r="K7" s="13"/>
      <c r="L7" s="13"/>
    </row>
    <row r="8" spans="2:44" ht="15.75" customHeight="1" x14ac:dyDescent="0.2">
      <c r="B8" s="161"/>
      <c r="C8" s="161"/>
      <c r="D8" s="161"/>
      <c r="E8" s="161"/>
      <c r="F8" s="161"/>
      <c r="G8" s="161"/>
      <c r="H8" s="161"/>
      <c r="I8" s="163"/>
      <c r="J8" s="164"/>
      <c r="K8" s="13"/>
      <c r="L8" s="13"/>
    </row>
    <row r="9" spans="2:44" ht="5.25" customHeight="1" x14ac:dyDescent="0.2">
      <c r="F9" s="5"/>
      <c r="G9" s="47"/>
      <c r="K9" s="13"/>
      <c r="L9" s="13"/>
    </row>
    <row r="10" spans="2:44" ht="154.75" customHeight="1" x14ac:dyDescent="0.2">
      <c r="B10" s="40" t="s">
        <v>13</v>
      </c>
      <c r="C10" s="147" t="s">
        <v>2500</v>
      </c>
      <c r="D10" s="148"/>
      <c r="E10" s="148"/>
      <c r="F10" s="148"/>
      <c r="G10" s="148"/>
      <c r="H10" s="148"/>
      <c r="I10" s="148"/>
      <c r="J10" s="149"/>
      <c r="K10" s="13"/>
      <c r="L10" s="13"/>
    </row>
    <row r="11" spans="2:44" ht="141" customHeight="1" x14ac:dyDescent="0.2">
      <c r="B11" s="39" t="s">
        <v>14</v>
      </c>
      <c r="C11" s="150" t="s">
        <v>2499</v>
      </c>
      <c r="D11" s="150"/>
      <c r="E11" s="150"/>
      <c r="F11" s="150"/>
      <c r="G11" s="150"/>
      <c r="H11" s="150"/>
      <c r="I11" s="150"/>
      <c r="J11" s="150"/>
      <c r="K11" s="13"/>
      <c r="L11" s="13"/>
    </row>
    <row r="12" spans="2:44" ht="5.25" customHeight="1" x14ac:dyDescent="0.2"/>
    <row r="13" spans="2:44" s="73" customFormat="1" ht="32" x14ac:dyDescent="0.2">
      <c r="B13" s="69" t="s">
        <v>34</v>
      </c>
      <c r="C13" s="69" t="s">
        <v>15</v>
      </c>
      <c r="D13" s="69" t="s">
        <v>108</v>
      </c>
      <c r="E13" s="69" t="s">
        <v>109</v>
      </c>
      <c r="F13" s="70" t="s">
        <v>32</v>
      </c>
      <c r="G13" s="69" t="s">
        <v>40</v>
      </c>
      <c r="H13" s="70" t="s">
        <v>16</v>
      </c>
      <c r="I13" s="71" t="s">
        <v>8</v>
      </c>
      <c r="J13" s="69" t="s">
        <v>17</v>
      </c>
      <c r="K13" s="72" t="s">
        <v>44</v>
      </c>
      <c r="L13" s="69" t="s">
        <v>45</v>
      </c>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row>
    <row r="14" spans="2:44" ht="80.5" customHeight="1" x14ac:dyDescent="0.2">
      <c r="B14" s="151" t="s">
        <v>82</v>
      </c>
      <c r="C14" s="151" t="s">
        <v>19</v>
      </c>
      <c r="D14" s="153" t="s">
        <v>577</v>
      </c>
      <c r="E14" s="153" t="s">
        <v>578</v>
      </c>
      <c r="F14" s="78" t="s">
        <v>1710</v>
      </c>
      <c r="G14" s="12" t="s">
        <v>35</v>
      </c>
      <c r="H14" s="34" t="s">
        <v>579</v>
      </c>
      <c r="I14" s="28">
        <v>0</v>
      </c>
      <c r="J14" s="11"/>
      <c r="K14" s="33"/>
      <c r="L14" s="29"/>
    </row>
    <row r="15" spans="2:44" ht="80.5" customHeight="1" x14ac:dyDescent="0.2">
      <c r="B15" s="152"/>
      <c r="C15" s="152"/>
      <c r="D15" s="154"/>
      <c r="E15" s="154"/>
      <c r="F15" s="78" t="s">
        <v>580</v>
      </c>
      <c r="G15" s="12" t="s">
        <v>36</v>
      </c>
      <c r="H15" s="34" t="s">
        <v>581</v>
      </c>
      <c r="I15" s="28" t="s">
        <v>10</v>
      </c>
      <c r="J15" s="11"/>
      <c r="K15" s="33"/>
      <c r="L15" s="29"/>
    </row>
    <row r="16" spans="2:44" ht="80.5" customHeight="1" x14ac:dyDescent="0.2">
      <c r="B16" s="152"/>
      <c r="C16" s="152"/>
      <c r="D16" s="154"/>
      <c r="E16" s="154"/>
      <c r="F16" s="78" t="s">
        <v>2497</v>
      </c>
      <c r="G16" s="12" t="s">
        <v>37</v>
      </c>
      <c r="H16" s="34" t="s">
        <v>582</v>
      </c>
      <c r="I16" s="28" t="s">
        <v>10</v>
      </c>
      <c r="J16" s="11"/>
      <c r="K16" s="33"/>
      <c r="L16" s="29"/>
    </row>
    <row r="17" spans="2:12" ht="80.5" customHeight="1" x14ac:dyDescent="0.2">
      <c r="B17" s="152"/>
      <c r="C17" s="152"/>
      <c r="D17" s="154"/>
      <c r="E17" s="154"/>
      <c r="F17" s="78" t="s">
        <v>583</v>
      </c>
      <c r="G17" s="12" t="s">
        <v>38</v>
      </c>
      <c r="H17" s="34" t="s">
        <v>584</v>
      </c>
      <c r="I17" s="28" t="s">
        <v>10</v>
      </c>
      <c r="J17" s="11"/>
      <c r="K17" s="33"/>
      <c r="L17" s="29"/>
    </row>
    <row r="18" spans="2:12" ht="80.5" customHeight="1" x14ac:dyDescent="0.2">
      <c r="B18" s="152"/>
      <c r="C18" s="152"/>
      <c r="D18" s="154"/>
      <c r="E18" s="154"/>
      <c r="F18" s="78" t="s">
        <v>585</v>
      </c>
      <c r="G18" s="12" t="s">
        <v>37</v>
      </c>
      <c r="H18" s="34" t="s">
        <v>586</v>
      </c>
      <c r="I18" s="28" t="s">
        <v>10</v>
      </c>
      <c r="J18" s="11"/>
      <c r="K18" s="33"/>
      <c r="L18" s="29"/>
    </row>
    <row r="19" spans="2:12" ht="80.5" customHeight="1" x14ac:dyDescent="0.2">
      <c r="B19" s="152"/>
      <c r="C19" s="152"/>
      <c r="D19" s="154"/>
      <c r="E19" s="154"/>
      <c r="F19" s="78" t="s">
        <v>587</v>
      </c>
      <c r="G19" s="12" t="s">
        <v>39</v>
      </c>
      <c r="H19" s="34" t="s">
        <v>588</v>
      </c>
      <c r="I19" s="28" t="s">
        <v>10</v>
      </c>
      <c r="J19" s="11"/>
      <c r="K19" s="33"/>
      <c r="L19" s="29"/>
    </row>
    <row r="20" spans="2:12" ht="80.5" customHeight="1" x14ac:dyDescent="0.2">
      <c r="B20" s="152"/>
      <c r="C20" s="152"/>
      <c r="D20" s="154"/>
      <c r="E20" s="154"/>
      <c r="F20" s="78" t="s">
        <v>589</v>
      </c>
      <c r="G20" s="12" t="s">
        <v>36</v>
      </c>
      <c r="H20" s="34" t="s">
        <v>590</v>
      </c>
      <c r="I20" s="28" t="s">
        <v>10</v>
      </c>
      <c r="J20" s="11"/>
      <c r="K20" s="33"/>
      <c r="L20" s="29"/>
    </row>
    <row r="21" spans="2:12" ht="54" customHeight="1" x14ac:dyDescent="0.2">
      <c r="B21" s="143" t="s">
        <v>82</v>
      </c>
      <c r="C21" s="143" t="s">
        <v>20</v>
      </c>
      <c r="D21" s="145" t="s">
        <v>591</v>
      </c>
      <c r="E21" s="145" t="s">
        <v>592</v>
      </c>
      <c r="F21" s="23" t="s">
        <v>593</v>
      </c>
      <c r="G21" s="41" t="s">
        <v>39</v>
      </c>
      <c r="H21" s="35" t="s">
        <v>594</v>
      </c>
      <c r="I21" s="28" t="s">
        <v>10</v>
      </c>
      <c r="J21" s="36"/>
      <c r="K21" s="37"/>
      <c r="L21" s="38"/>
    </row>
    <row r="22" spans="2:12" ht="54" customHeight="1" x14ac:dyDescent="0.2">
      <c r="B22" s="144"/>
      <c r="C22" s="144"/>
      <c r="D22" s="146"/>
      <c r="E22" s="146"/>
      <c r="F22" s="23" t="s">
        <v>595</v>
      </c>
      <c r="G22" s="41" t="s">
        <v>35</v>
      </c>
      <c r="H22" s="35" t="s">
        <v>596</v>
      </c>
      <c r="I22" s="28" t="s">
        <v>10</v>
      </c>
      <c r="J22" s="36"/>
      <c r="K22" s="37"/>
      <c r="L22" s="38"/>
    </row>
    <row r="23" spans="2:12" ht="54" customHeight="1" x14ac:dyDescent="0.2">
      <c r="B23" s="144"/>
      <c r="C23" s="144"/>
      <c r="D23" s="146"/>
      <c r="E23" s="146"/>
      <c r="F23" s="23" t="s">
        <v>597</v>
      </c>
      <c r="G23" s="41" t="s">
        <v>36</v>
      </c>
      <c r="H23" s="35" t="s">
        <v>598</v>
      </c>
      <c r="I23" s="28" t="s">
        <v>10</v>
      </c>
      <c r="J23" s="36"/>
      <c r="K23" s="37"/>
      <c r="L23" s="38"/>
    </row>
    <row r="24" spans="2:12" ht="54" customHeight="1" x14ac:dyDescent="0.2">
      <c r="B24" s="144"/>
      <c r="C24" s="144"/>
      <c r="D24" s="146"/>
      <c r="E24" s="146"/>
      <c r="F24" s="23" t="s">
        <v>599</v>
      </c>
      <c r="G24" s="41" t="s">
        <v>38</v>
      </c>
      <c r="H24" s="35" t="s">
        <v>600</v>
      </c>
      <c r="I24" s="28" t="s">
        <v>10</v>
      </c>
      <c r="J24" s="36"/>
      <c r="K24" s="37"/>
      <c r="L24" s="38"/>
    </row>
    <row r="25" spans="2:12" ht="54" customHeight="1" x14ac:dyDescent="0.2">
      <c r="B25" s="144"/>
      <c r="C25" s="144"/>
      <c r="D25" s="146"/>
      <c r="E25" s="146"/>
      <c r="F25" s="23" t="s">
        <v>601</v>
      </c>
      <c r="G25" s="41" t="s">
        <v>602</v>
      </c>
      <c r="H25" s="35" t="s">
        <v>603</v>
      </c>
      <c r="I25" s="28" t="s">
        <v>10</v>
      </c>
      <c r="J25" s="36"/>
      <c r="K25" s="37"/>
      <c r="L25" s="38"/>
    </row>
    <row r="26" spans="2:12" ht="54" customHeight="1" x14ac:dyDescent="0.2">
      <c r="B26" s="144"/>
      <c r="C26" s="144"/>
      <c r="D26" s="146"/>
      <c r="E26" s="146"/>
      <c r="F26" s="23" t="s">
        <v>604</v>
      </c>
      <c r="G26" s="41" t="s">
        <v>35</v>
      </c>
      <c r="H26" s="35" t="s">
        <v>605</v>
      </c>
      <c r="I26" s="28" t="s">
        <v>10</v>
      </c>
      <c r="J26" s="36"/>
      <c r="K26" s="37"/>
      <c r="L26" s="38"/>
    </row>
    <row r="27" spans="2:12" ht="54" customHeight="1" x14ac:dyDescent="0.2">
      <c r="B27" s="151" t="s">
        <v>82</v>
      </c>
      <c r="C27" s="151" t="s">
        <v>21</v>
      </c>
      <c r="D27" s="153" t="s">
        <v>606</v>
      </c>
      <c r="E27" s="153" t="s">
        <v>607</v>
      </c>
      <c r="F27" s="22" t="s">
        <v>608</v>
      </c>
      <c r="G27" s="12" t="s">
        <v>36</v>
      </c>
      <c r="H27" s="34" t="s">
        <v>609</v>
      </c>
      <c r="I27" s="28" t="s">
        <v>10</v>
      </c>
      <c r="J27" s="11"/>
      <c r="K27" s="33"/>
      <c r="L27" s="29"/>
    </row>
    <row r="28" spans="2:12" ht="54" customHeight="1" x14ac:dyDescent="0.2">
      <c r="B28" s="152"/>
      <c r="C28" s="152"/>
      <c r="D28" s="154"/>
      <c r="E28" s="154"/>
      <c r="F28" s="22" t="s">
        <v>610</v>
      </c>
      <c r="G28" s="12" t="s">
        <v>38</v>
      </c>
      <c r="H28" s="34" t="s">
        <v>611</v>
      </c>
      <c r="I28" s="28" t="s">
        <v>10</v>
      </c>
      <c r="J28" s="11"/>
      <c r="K28" s="33"/>
      <c r="L28" s="29"/>
    </row>
    <row r="29" spans="2:12" ht="54" customHeight="1" x14ac:dyDescent="0.2">
      <c r="B29" s="152"/>
      <c r="C29" s="152"/>
      <c r="D29" s="154"/>
      <c r="E29" s="154"/>
      <c r="F29" s="22" t="s">
        <v>612</v>
      </c>
      <c r="G29" s="12" t="s">
        <v>602</v>
      </c>
      <c r="H29" s="34" t="s">
        <v>613</v>
      </c>
      <c r="I29" s="28" t="s">
        <v>10</v>
      </c>
      <c r="J29" s="11"/>
      <c r="K29" s="33"/>
      <c r="L29" s="29"/>
    </row>
    <row r="30" spans="2:12" ht="54" customHeight="1" x14ac:dyDescent="0.2">
      <c r="B30" s="152"/>
      <c r="C30" s="152"/>
      <c r="D30" s="154"/>
      <c r="E30" s="154"/>
      <c r="F30" s="22" t="s">
        <v>614</v>
      </c>
      <c r="G30" s="12" t="s">
        <v>39</v>
      </c>
      <c r="H30" s="34" t="s">
        <v>615</v>
      </c>
      <c r="I30" s="28" t="s">
        <v>10</v>
      </c>
      <c r="J30" s="11"/>
      <c r="K30" s="33"/>
      <c r="L30" s="29"/>
    </row>
    <row r="31" spans="2:12" ht="54" customHeight="1" x14ac:dyDescent="0.2">
      <c r="B31" s="152"/>
      <c r="C31" s="152"/>
      <c r="D31" s="154"/>
      <c r="E31" s="154"/>
      <c r="F31" s="22" t="s">
        <v>616</v>
      </c>
      <c r="G31" s="12" t="s">
        <v>39</v>
      </c>
      <c r="H31" s="34" t="s">
        <v>617</v>
      </c>
      <c r="I31" s="28" t="s">
        <v>10</v>
      </c>
      <c r="J31" s="11"/>
      <c r="K31" s="33"/>
      <c r="L31" s="29"/>
    </row>
    <row r="32" spans="2:12" ht="54" customHeight="1" x14ac:dyDescent="0.2">
      <c r="B32" s="152"/>
      <c r="C32" s="152"/>
      <c r="D32" s="154"/>
      <c r="E32" s="154"/>
      <c r="F32" s="22" t="s">
        <v>618</v>
      </c>
      <c r="G32" s="12" t="s">
        <v>36</v>
      </c>
      <c r="H32" s="34" t="s">
        <v>619</v>
      </c>
      <c r="I32" s="28" t="s">
        <v>10</v>
      </c>
      <c r="J32" s="11"/>
      <c r="K32" s="33"/>
      <c r="L32" s="29"/>
    </row>
    <row r="33" spans="2:12" ht="54" customHeight="1" x14ac:dyDescent="0.2">
      <c r="B33" s="143" t="s">
        <v>82</v>
      </c>
      <c r="C33" s="143" t="s">
        <v>23</v>
      </c>
      <c r="D33" s="145" t="s">
        <v>620</v>
      </c>
      <c r="E33" s="145" t="s">
        <v>621</v>
      </c>
      <c r="F33" s="23" t="s">
        <v>622</v>
      </c>
      <c r="G33" s="41" t="s">
        <v>36</v>
      </c>
      <c r="H33" s="35" t="s">
        <v>623</v>
      </c>
      <c r="I33" s="28" t="s">
        <v>10</v>
      </c>
      <c r="J33" s="36"/>
      <c r="K33" s="37"/>
      <c r="L33" s="38"/>
    </row>
    <row r="34" spans="2:12" ht="54" customHeight="1" x14ac:dyDescent="0.2">
      <c r="B34" s="144"/>
      <c r="C34" s="144"/>
      <c r="D34" s="146"/>
      <c r="E34" s="146"/>
      <c r="F34" s="23" t="s">
        <v>624</v>
      </c>
      <c r="G34" s="41" t="s">
        <v>38</v>
      </c>
      <c r="H34" s="35" t="s">
        <v>625</v>
      </c>
      <c r="I34" s="28" t="s">
        <v>10</v>
      </c>
      <c r="J34" s="36"/>
      <c r="K34" s="37"/>
      <c r="L34" s="38"/>
    </row>
    <row r="35" spans="2:12" ht="54" customHeight="1" x14ac:dyDescent="0.2">
      <c r="B35" s="144"/>
      <c r="C35" s="144"/>
      <c r="D35" s="146"/>
      <c r="E35" s="146"/>
      <c r="F35" s="23" t="s">
        <v>626</v>
      </c>
      <c r="G35" s="41" t="s">
        <v>37</v>
      </c>
      <c r="H35" s="35" t="s">
        <v>627</v>
      </c>
      <c r="I35" s="28" t="s">
        <v>10</v>
      </c>
      <c r="J35" s="36"/>
      <c r="K35" s="37"/>
      <c r="L35" s="38"/>
    </row>
    <row r="36" spans="2:12" ht="54" customHeight="1" x14ac:dyDescent="0.2">
      <c r="B36" s="144"/>
      <c r="C36" s="144"/>
      <c r="D36" s="146"/>
      <c r="E36" s="146"/>
      <c r="F36" s="23" t="s">
        <v>628</v>
      </c>
      <c r="G36" s="41" t="s">
        <v>38</v>
      </c>
      <c r="H36" s="35" t="s">
        <v>629</v>
      </c>
      <c r="I36" s="28" t="s">
        <v>10</v>
      </c>
      <c r="J36" s="36"/>
      <c r="K36" s="37"/>
      <c r="L36" s="38"/>
    </row>
    <row r="37" spans="2:12" ht="54" customHeight="1" x14ac:dyDescent="0.2">
      <c r="B37" s="144"/>
      <c r="C37" s="144"/>
      <c r="D37" s="146"/>
      <c r="E37" s="146"/>
      <c r="F37" s="23" t="s">
        <v>630</v>
      </c>
      <c r="G37" s="41" t="s">
        <v>631</v>
      </c>
      <c r="H37" s="35" t="s">
        <v>632</v>
      </c>
      <c r="I37" s="28" t="s">
        <v>10</v>
      </c>
      <c r="J37" s="36"/>
      <c r="K37" s="37"/>
      <c r="L37" s="38"/>
    </row>
    <row r="38" spans="2:12" ht="54" customHeight="1" x14ac:dyDescent="0.2">
      <c r="B38" s="144"/>
      <c r="C38" s="144"/>
      <c r="D38" s="146"/>
      <c r="E38" s="146"/>
      <c r="F38" s="23" t="s">
        <v>633</v>
      </c>
      <c r="G38" s="41" t="s">
        <v>631</v>
      </c>
      <c r="H38" s="35" t="s">
        <v>634</v>
      </c>
      <c r="I38" s="28" t="s">
        <v>10</v>
      </c>
      <c r="J38" s="36"/>
      <c r="K38" s="37"/>
      <c r="L38" s="38"/>
    </row>
    <row r="39" spans="2:12" ht="54" customHeight="1" x14ac:dyDescent="0.2">
      <c r="B39" s="151" t="s">
        <v>82</v>
      </c>
      <c r="C39" s="151" t="s">
        <v>24</v>
      </c>
      <c r="D39" s="167" t="s">
        <v>635</v>
      </c>
      <c r="E39" s="167" t="s">
        <v>636</v>
      </c>
      <c r="F39" s="22" t="s">
        <v>637</v>
      </c>
      <c r="G39" s="12" t="s">
        <v>36</v>
      </c>
      <c r="H39" s="34" t="s">
        <v>638</v>
      </c>
      <c r="I39" s="28" t="s">
        <v>10</v>
      </c>
      <c r="J39" s="11"/>
      <c r="K39" s="33"/>
      <c r="L39" s="29"/>
    </row>
    <row r="40" spans="2:12" ht="54" customHeight="1" x14ac:dyDescent="0.2">
      <c r="B40" s="152"/>
      <c r="C40" s="152"/>
      <c r="D40" s="168"/>
      <c r="E40" s="168"/>
      <c r="F40" s="22" t="s">
        <v>639</v>
      </c>
      <c r="G40" s="12" t="s">
        <v>43</v>
      </c>
      <c r="H40" s="34" t="s">
        <v>640</v>
      </c>
      <c r="I40" s="28" t="s">
        <v>10</v>
      </c>
      <c r="J40" s="11"/>
      <c r="K40" s="33"/>
      <c r="L40" s="29"/>
    </row>
    <row r="41" spans="2:12" ht="54" customHeight="1" x14ac:dyDescent="0.2">
      <c r="B41" s="152"/>
      <c r="C41" s="152"/>
      <c r="D41" s="168"/>
      <c r="E41" s="168"/>
      <c r="F41" s="22" t="s">
        <v>641</v>
      </c>
      <c r="G41" s="12" t="s">
        <v>39</v>
      </c>
      <c r="H41" s="34" t="s">
        <v>642</v>
      </c>
      <c r="I41" s="28" t="s">
        <v>10</v>
      </c>
      <c r="J41" s="11"/>
      <c r="K41" s="33"/>
      <c r="L41" s="29"/>
    </row>
    <row r="42" spans="2:12" ht="54" customHeight="1" x14ac:dyDescent="0.2">
      <c r="B42" s="152"/>
      <c r="C42" s="152"/>
      <c r="D42" s="168"/>
      <c r="E42" s="168"/>
      <c r="F42" s="22" t="s">
        <v>643</v>
      </c>
      <c r="G42" s="12" t="s">
        <v>35</v>
      </c>
      <c r="H42" s="34" t="s">
        <v>644</v>
      </c>
      <c r="I42" s="28" t="s">
        <v>10</v>
      </c>
      <c r="J42" s="11"/>
      <c r="K42" s="33"/>
      <c r="L42" s="29"/>
    </row>
    <row r="43" spans="2:12" ht="54" customHeight="1" x14ac:dyDescent="0.2">
      <c r="B43" s="152"/>
      <c r="C43" s="152"/>
      <c r="D43" s="168"/>
      <c r="E43" s="168"/>
      <c r="F43" s="22" t="s">
        <v>33</v>
      </c>
      <c r="G43" s="12" t="s">
        <v>43</v>
      </c>
      <c r="H43" s="34" t="s">
        <v>645</v>
      </c>
      <c r="I43" s="28" t="s">
        <v>10</v>
      </c>
      <c r="J43" s="11"/>
      <c r="K43" s="33"/>
      <c r="L43" s="29"/>
    </row>
    <row r="44" spans="2:12" ht="54" customHeight="1" x14ac:dyDescent="0.2">
      <c r="B44" s="152"/>
      <c r="C44" s="152"/>
      <c r="D44" s="168"/>
      <c r="E44" s="168"/>
      <c r="F44" s="22" t="s">
        <v>646</v>
      </c>
      <c r="G44" s="12" t="s">
        <v>647</v>
      </c>
      <c r="H44" s="34" t="s">
        <v>648</v>
      </c>
      <c r="I44" s="28" t="s">
        <v>10</v>
      </c>
      <c r="J44" s="11"/>
      <c r="K44" s="33"/>
      <c r="L44" s="29"/>
    </row>
    <row r="45" spans="2:12" ht="5.25" customHeight="1" x14ac:dyDescent="0.2"/>
    <row r="46" spans="2:12" ht="31" customHeight="1" x14ac:dyDescent="0.2">
      <c r="B46" s="69" t="s">
        <v>34</v>
      </c>
      <c r="C46" s="69" t="s">
        <v>258</v>
      </c>
      <c r="D46" s="69" t="s">
        <v>259</v>
      </c>
      <c r="E46" s="169" t="s">
        <v>32</v>
      </c>
      <c r="F46" s="170"/>
      <c r="G46" s="169" t="s">
        <v>16</v>
      </c>
      <c r="H46" s="170"/>
      <c r="I46" s="71" t="s">
        <v>8</v>
      </c>
      <c r="J46" s="69" t="s">
        <v>17</v>
      </c>
      <c r="K46" s="72" t="s">
        <v>44</v>
      </c>
      <c r="L46" s="69" t="s">
        <v>45</v>
      </c>
    </row>
    <row r="47" spans="2:12" ht="77.5" customHeight="1" x14ac:dyDescent="0.2">
      <c r="B47" s="129" t="s">
        <v>82</v>
      </c>
      <c r="C47" s="151" t="s">
        <v>260</v>
      </c>
      <c r="D47" s="174" t="s">
        <v>649</v>
      </c>
      <c r="E47" s="129" t="s">
        <v>650</v>
      </c>
      <c r="F47" s="130"/>
      <c r="G47" s="127" t="s">
        <v>651</v>
      </c>
      <c r="H47" s="128"/>
      <c r="I47" s="28" t="s">
        <v>10</v>
      </c>
      <c r="J47" s="11"/>
      <c r="K47" s="33"/>
      <c r="L47" s="29"/>
    </row>
    <row r="48" spans="2:12" ht="77.5" customHeight="1" x14ac:dyDescent="0.2">
      <c r="B48" s="131"/>
      <c r="C48" s="152"/>
      <c r="D48" s="175"/>
      <c r="E48" s="131"/>
      <c r="F48" s="132"/>
      <c r="G48" s="127" t="s">
        <v>2498</v>
      </c>
      <c r="H48" s="128"/>
      <c r="I48" s="28" t="s">
        <v>10</v>
      </c>
      <c r="J48" s="11"/>
      <c r="K48" s="33"/>
      <c r="L48" s="29"/>
    </row>
    <row r="49" spans="2:12" ht="77.5" customHeight="1" x14ac:dyDescent="0.2">
      <c r="B49" s="131"/>
      <c r="C49" s="173"/>
      <c r="D49" s="176"/>
      <c r="E49" s="133"/>
      <c r="F49" s="134"/>
      <c r="G49" s="127" t="s">
        <v>652</v>
      </c>
      <c r="H49" s="128"/>
      <c r="I49" s="28" t="s">
        <v>10</v>
      </c>
      <c r="J49" s="11"/>
      <c r="K49" s="33"/>
      <c r="L49" s="29"/>
    </row>
    <row r="50" spans="2:12" s="13" customFormat="1" x14ac:dyDescent="0.2">
      <c r="B50" s="3"/>
      <c r="C50" s="3"/>
      <c r="D50" s="3"/>
      <c r="E50" s="3"/>
      <c r="F50" s="89"/>
      <c r="G50" s="3"/>
      <c r="H50" s="89"/>
      <c r="I50" s="90"/>
      <c r="K50" s="31"/>
    </row>
    <row r="51" spans="2:12" s="13" customFormat="1" x14ac:dyDescent="0.2">
      <c r="B51" s="3"/>
      <c r="C51" s="3"/>
      <c r="D51" s="3"/>
      <c r="E51" s="3"/>
      <c r="F51" s="89"/>
      <c r="G51" s="3"/>
      <c r="H51" s="89"/>
      <c r="I51" s="90"/>
      <c r="K51" s="31"/>
    </row>
    <row r="52" spans="2:12" s="13" customFormat="1" x14ac:dyDescent="0.2">
      <c r="B52" s="3"/>
      <c r="C52" s="3"/>
      <c r="D52" s="3"/>
      <c r="E52" s="3"/>
      <c r="F52" s="89"/>
      <c r="G52" s="3"/>
      <c r="H52" s="89"/>
      <c r="I52" s="90"/>
      <c r="K52" s="31"/>
    </row>
    <row r="53" spans="2:12" s="13" customFormat="1" x14ac:dyDescent="0.2">
      <c r="B53" s="3"/>
      <c r="C53" s="3"/>
      <c r="D53" s="3"/>
      <c r="E53" s="3"/>
      <c r="F53" s="89"/>
      <c r="G53" s="3"/>
      <c r="H53" s="89"/>
      <c r="I53" s="90"/>
      <c r="K53" s="31"/>
    </row>
    <row r="54" spans="2:12" s="13" customFormat="1" x14ac:dyDescent="0.2">
      <c r="B54" s="3"/>
      <c r="C54" s="3"/>
      <c r="D54" s="3"/>
      <c r="E54" s="3"/>
      <c r="F54" s="89"/>
      <c r="G54" s="3"/>
      <c r="H54" s="89"/>
      <c r="I54" s="90"/>
      <c r="K54" s="31"/>
    </row>
    <row r="55" spans="2:12" s="13" customFormat="1" x14ac:dyDescent="0.2">
      <c r="B55" s="3"/>
      <c r="C55" s="3"/>
      <c r="D55" s="3"/>
      <c r="E55" s="3"/>
      <c r="F55" s="89"/>
      <c r="G55" s="3"/>
      <c r="H55" s="89"/>
      <c r="I55" s="90"/>
      <c r="K55" s="31"/>
    </row>
    <row r="56" spans="2:12" s="13" customFormat="1" x14ac:dyDescent="0.2">
      <c r="B56" s="3"/>
      <c r="C56" s="3"/>
      <c r="D56" s="3"/>
      <c r="E56" s="3"/>
      <c r="F56" s="89"/>
      <c r="G56" s="3"/>
      <c r="H56" s="89"/>
      <c r="I56" s="90"/>
      <c r="K56" s="31"/>
    </row>
    <row r="57" spans="2:12" s="13" customFormat="1" x14ac:dyDescent="0.2">
      <c r="B57" s="3"/>
      <c r="C57" s="3"/>
      <c r="D57" s="3"/>
      <c r="E57" s="3"/>
      <c r="F57" s="89"/>
      <c r="G57" s="3"/>
      <c r="H57" s="89"/>
      <c r="I57" s="90"/>
      <c r="K57" s="31"/>
    </row>
    <row r="58" spans="2:12" s="13" customFormat="1" x14ac:dyDescent="0.2">
      <c r="B58" s="3"/>
      <c r="C58" s="3"/>
      <c r="D58" s="3"/>
      <c r="E58" s="3"/>
      <c r="F58" s="89"/>
      <c r="G58" s="3"/>
      <c r="H58" s="89"/>
      <c r="I58" s="90"/>
      <c r="K58" s="31"/>
    </row>
    <row r="59" spans="2:12" s="13" customFormat="1" x14ac:dyDescent="0.2">
      <c r="B59" s="3"/>
      <c r="C59" s="3"/>
      <c r="D59" s="3"/>
      <c r="E59" s="3"/>
      <c r="F59" s="89"/>
      <c r="G59" s="3"/>
      <c r="H59" s="89"/>
      <c r="I59" s="90"/>
      <c r="K59" s="31"/>
    </row>
    <row r="60" spans="2:12" s="13" customFormat="1" x14ac:dyDescent="0.2">
      <c r="B60" s="3"/>
      <c r="C60" s="3"/>
      <c r="D60" s="3"/>
      <c r="E60" s="3"/>
      <c r="F60" s="89"/>
      <c r="G60" s="3"/>
      <c r="H60" s="89"/>
      <c r="I60" s="90"/>
      <c r="K60" s="31"/>
    </row>
    <row r="61" spans="2:12" s="13" customFormat="1" x14ac:dyDescent="0.2">
      <c r="B61" s="3"/>
      <c r="C61" s="3"/>
      <c r="D61" s="3"/>
      <c r="E61" s="3"/>
      <c r="F61" s="89"/>
      <c r="G61" s="3"/>
      <c r="H61" s="89"/>
      <c r="I61" s="90"/>
      <c r="K61" s="31"/>
    </row>
    <row r="62" spans="2:12" s="13" customFormat="1" x14ac:dyDescent="0.2">
      <c r="B62" s="3"/>
      <c r="C62" s="3"/>
      <c r="D62" s="3"/>
      <c r="E62" s="3"/>
      <c r="F62" s="89"/>
      <c r="G62" s="3"/>
      <c r="H62" s="89"/>
      <c r="I62" s="90"/>
      <c r="K62" s="31"/>
    </row>
    <row r="63" spans="2:12" s="13" customFormat="1" x14ac:dyDescent="0.2">
      <c r="B63" s="3"/>
      <c r="C63" s="3"/>
      <c r="D63" s="3"/>
      <c r="E63" s="3"/>
      <c r="F63" s="89"/>
      <c r="G63" s="3"/>
      <c r="H63" s="89"/>
      <c r="I63" s="90"/>
      <c r="K63" s="31"/>
    </row>
    <row r="64" spans="2:12" s="13" customFormat="1" x14ac:dyDescent="0.2">
      <c r="B64" s="3"/>
      <c r="C64" s="3"/>
      <c r="D64" s="3"/>
      <c r="E64" s="3"/>
      <c r="F64" s="89"/>
      <c r="G64" s="3"/>
      <c r="H64" s="89"/>
      <c r="I64" s="90"/>
      <c r="K64" s="31"/>
    </row>
    <row r="65" spans="2:11" s="13" customFormat="1" x14ac:dyDescent="0.2">
      <c r="B65" s="3"/>
      <c r="C65" s="3"/>
      <c r="D65" s="3"/>
      <c r="E65" s="3"/>
      <c r="F65" s="89"/>
      <c r="G65" s="3"/>
      <c r="H65" s="89"/>
      <c r="I65" s="90"/>
      <c r="K65" s="31"/>
    </row>
    <row r="66" spans="2:11" s="13" customFormat="1" x14ac:dyDescent="0.2">
      <c r="B66" s="3"/>
      <c r="C66" s="3"/>
      <c r="D66" s="3"/>
      <c r="E66" s="3"/>
      <c r="F66" s="89"/>
      <c r="G66" s="3"/>
      <c r="H66" s="89"/>
      <c r="I66" s="90"/>
      <c r="K66" s="31"/>
    </row>
    <row r="67" spans="2:11" s="13" customFormat="1" x14ac:dyDescent="0.2">
      <c r="B67" s="3"/>
      <c r="C67" s="3"/>
      <c r="D67" s="3"/>
      <c r="E67" s="3"/>
      <c r="F67" s="89"/>
      <c r="G67" s="3"/>
      <c r="H67" s="89"/>
      <c r="I67" s="90"/>
      <c r="K67" s="31"/>
    </row>
    <row r="68" spans="2:11" s="13" customFormat="1" x14ac:dyDescent="0.2">
      <c r="B68" s="3"/>
      <c r="C68" s="3"/>
      <c r="D68" s="3"/>
      <c r="E68" s="3"/>
      <c r="F68" s="89"/>
      <c r="G68" s="3"/>
      <c r="H68" s="89"/>
      <c r="I68" s="90"/>
      <c r="K68" s="31"/>
    </row>
    <row r="69" spans="2:11" s="13" customFormat="1" x14ac:dyDescent="0.2">
      <c r="B69" s="3"/>
      <c r="C69" s="3"/>
      <c r="D69" s="3"/>
      <c r="E69" s="3"/>
      <c r="F69" s="89"/>
      <c r="G69" s="3"/>
      <c r="H69" s="89"/>
      <c r="I69" s="90"/>
      <c r="K69" s="31"/>
    </row>
    <row r="70" spans="2:11" s="13" customFormat="1" x14ac:dyDescent="0.2">
      <c r="B70" s="3"/>
      <c r="C70" s="3"/>
      <c r="D70" s="3"/>
      <c r="E70" s="3"/>
      <c r="F70" s="89"/>
      <c r="G70" s="3"/>
      <c r="H70" s="89"/>
      <c r="I70" s="90"/>
      <c r="K70" s="31"/>
    </row>
    <row r="71" spans="2:11" s="13" customFormat="1" x14ac:dyDescent="0.2">
      <c r="B71" s="3"/>
      <c r="C71" s="3"/>
      <c r="D71" s="3"/>
      <c r="E71" s="3"/>
      <c r="F71" s="89"/>
      <c r="G71" s="3"/>
      <c r="H71" s="89"/>
      <c r="I71" s="90"/>
      <c r="K71" s="31"/>
    </row>
    <row r="72" spans="2:11" s="13" customFormat="1" x14ac:dyDescent="0.2">
      <c r="B72" s="3"/>
      <c r="C72" s="3"/>
      <c r="D72" s="3"/>
      <c r="E72" s="3"/>
      <c r="F72" s="89"/>
      <c r="G72" s="3"/>
      <c r="H72" s="89"/>
      <c r="I72" s="90"/>
      <c r="K72" s="31"/>
    </row>
    <row r="73" spans="2:11" s="13" customFormat="1" x14ac:dyDescent="0.2">
      <c r="B73" s="3"/>
      <c r="C73" s="3"/>
      <c r="D73" s="3"/>
      <c r="E73" s="3"/>
      <c r="F73" s="89"/>
      <c r="G73" s="3"/>
      <c r="H73" s="89"/>
      <c r="I73" s="90"/>
      <c r="K73" s="31"/>
    </row>
    <row r="74" spans="2:11" s="13" customFormat="1" x14ac:dyDescent="0.2">
      <c r="B74" s="3"/>
      <c r="C74" s="3"/>
      <c r="D74" s="3"/>
      <c r="E74" s="3"/>
      <c r="F74" s="89"/>
      <c r="G74" s="3"/>
      <c r="H74" s="89"/>
      <c r="I74" s="90"/>
      <c r="K74" s="31"/>
    </row>
    <row r="75" spans="2:11" s="13" customFormat="1" x14ac:dyDescent="0.2">
      <c r="B75" s="3"/>
      <c r="C75" s="3"/>
      <c r="D75" s="3"/>
      <c r="E75" s="3"/>
      <c r="F75" s="89"/>
      <c r="G75" s="3"/>
      <c r="H75" s="89"/>
      <c r="I75" s="90"/>
      <c r="K75" s="31"/>
    </row>
    <row r="76" spans="2:11" s="13" customFormat="1" x14ac:dyDescent="0.2">
      <c r="B76" s="3"/>
      <c r="C76" s="3"/>
      <c r="D76" s="3"/>
      <c r="E76" s="3"/>
      <c r="F76" s="89"/>
      <c r="G76" s="3"/>
      <c r="H76" s="89"/>
      <c r="I76" s="90"/>
      <c r="K76" s="31"/>
    </row>
    <row r="77" spans="2:11" s="13" customFormat="1" x14ac:dyDescent="0.2">
      <c r="B77" s="3"/>
      <c r="C77" s="3"/>
      <c r="D77" s="3"/>
      <c r="E77" s="3"/>
      <c r="F77" s="89"/>
      <c r="G77" s="3"/>
      <c r="H77" s="89"/>
      <c r="I77" s="90"/>
      <c r="K77" s="31"/>
    </row>
    <row r="78" spans="2:11" s="13" customFormat="1" x14ac:dyDescent="0.2">
      <c r="B78" s="3"/>
      <c r="C78" s="3"/>
      <c r="D78" s="3"/>
      <c r="E78" s="3"/>
      <c r="F78" s="89"/>
      <c r="G78" s="3"/>
      <c r="H78" s="89"/>
      <c r="I78" s="90"/>
      <c r="K78" s="31"/>
    </row>
    <row r="79" spans="2:11" s="13" customFormat="1" x14ac:dyDescent="0.2">
      <c r="B79" s="3"/>
      <c r="C79" s="3"/>
      <c r="D79" s="3"/>
      <c r="E79" s="3"/>
      <c r="F79" s="89"/>
      <c r="G79" s="3"/>
      <c r="H79" s="89"/>
      <c r="I79" s="90"/>
      <c r="K79" s="31"/>
    </row>
    <row r="80" spans="2:11" s="13" customFormat="1" x14ac:dyDescent="0.2">
      <c r="B80" s="3"/>
      <c r="C80" s="3"/>
      <c r="D80" s="3"/>
      <c r="E80" s="3"/>
      <c r="F80" s="89"/>
      <c r="G80" s="3"/>
      <c r="H80" s="89"/>
      <c r="I80" s="90"/>
      <c r="K80" s="31"/>
    </row>
    <row r="81" spans="2:11" s="13" customFormat="1" x14ac:dyDescent="0.2">
      <c r="B81" s="3"/>
      <c r="C81" s="3"/>
      <c r="D81" s="3"/>
      <c r="E81" s="3"/>
      <c r="F81" s="89"/>
      <c r="G81" s="3"/>
      <c r="H81" s="89"/>
      <c r="I81" s="90"/>
      <c r="K81" s="31"/>
    </row>
    <row r="82" spans="2:11" s="13" customFormat="1" x14ac:dyDescent="0.2">
      <c r="B82" s="3"/>
      <c r="C82" s="3"/>
      <c r="D82" s="3"/>
      <c r="E82" s="3"/>
      <c r="F82" s="89"/>
      <c r="G82" s="3"/>
      <c r="H82" s="89"/>
      <c r="I82" s="90"/>
      <c r="K82" s="31"/>
    </row>
    <row r="83" spans="2:11" s="13" customFormat="1" x14ac:dyDescent="0.2">
      <c r="B83" s="3"/>
      <c r="C83" s="3"/>
      <c r="D83" s="3"/>
      <c r="E83" s="3"/>
      <c r="F83" s="89"/>
      <c r="G83" s="3"/>
      <c r="H83" s="89"/>
      <c r="I83" s="90"/>
      <c r="K83" s="31"/>
    </row>
    <row r="84" spans="2:11" s="13" customFormat="1" x14ac:dyDescent="0.2">
      <c r="B84" s="3"/>
      <c r="C84" s="3"/>
      <c r="D84" s="3"/>
      <c r="E84" s="3"/>
      <c r="F84" s="89"/>
      <c r="G84" s="3"/>
      <c r="H84" s="89"/>
      <c r="I84" s="90"/>
      <c r="K84" s="31"/>
    </row>
    <row r="85" spans="2:11" s="13" customFormat="1" x14ac:dyDescent="0.2">
      <c r="B85" s="3"/>
      <c r="C85" s="3"/>
      <c r="D85" s="3"/>
      <c r="E85" s="3"/>
      <c r="F85" s="89"/>
      <c r="G85" s="3"/>
      <c r="H85" s="89"/>
      <c r="I85" s="90"/>
      <c r="K85" s="31"/>
    </row>
    <row r="86" spans="2:11" s="13" customFormat="1" x14ac:dyDescent="0.2">
      <c r="B86" s="3"/>
      <c r="C86" s="3"/>
      <c r="D86" s="3"/>
      <c r="E86" s="3"/>
      <c r="F86" s="89"/>
      <c r="G86" s="3"/>
      <c r="H86" s="89"/>
      <c r="I86" s="90"/>
      <c r="K86" s="31"/>
    </row>
    <row r="87" spans="2:11" s="13" customFormat="1" x14ac:dyDescent="0.2">
      <c r="B87" s="3"/>
      <c r="C87" s="3"/>
      <c r="D87" s="3"/>
      <c r="E87" s="3"/>
      <c r="F87" s="89"/>
      <c r="G87" s="3"/>
      <c r="H87" s="89"/>
      <c r="I87" s="90"/>
      <c r="K87" s="31"/>
    </row>
    <row r="88" spans="2:11" s="13" customFormat="1" x14ac:dyDescent="0.2">
      <c r="B88" s="3"/>
      <c r="C88" s="3"/>
      <c r="D88" s="3"/>
      <c r="E88" s="3"/>
      <c r="F88" s="89"/>
      <c r="G88" s="3"/>
      <c r="H88" s="89"/>
      <c r="I88" s="90"/>
      <c r="K88" s="31"/>
    </row>
    <row r="89" spans="2:11" s="13" customFormat="1" x14ac:dyDescent="0.2">
      <c r="B89" s="3"/>
      <c r="C89" s="3"/>
      <c r="D89" s="3"/>
      <c r="E89" s="3"/>
      <c r="F89" s="89"/>
      <c r="G89" s="3"/>
      <c r="H89" s="89"/>
      <c r="I89" s="90"/>
      <c r="K89" s="31"/>
    </row>
    <row r="90" spans="2:11" s="13" customFormat="1" x14ac:dyDescent="0.2">
      <c r="B90" s="3"/>
      <c r="C90" s="3"/>
      <c r="D90" s="3"/>
      <c r="E90" s="3"/>
      <c r="F90" s="89"/>
      <c r="G90" s="3"/>
      <c r="H90" s="89"/>
      <c r="I90" s="90"/>
      <c r="K90" s="31"/>
    </row>
    <row r="91" spans="2:11" s="13" customFormat="1" x14ac:dyDescent="0.2">
      <c r="B91" s="3"/>
      <c r="C91" s="3"/>
      <c r="D91" s="3"/>
      <c r="E91" s="3"/>
      <c r="F91" s="89"/>
      <c r="G91" s="3"/>
      <c r="H91" s="89"/>
      <c r="I91" s="90"/>
      <c r="K91" s="31"/>
    </row>
    <row r="92" spans="2:11" s="13" customFormat="1" x14ac:dyDescent="0.2">
      <c r="B92" s="3"/>
      <c r="C92" s="3"/>
      <c r="D92" s="3"/>
      <c r="E92" s="3"/>
      <c r="F92" s="89"/>
      <c r="G92" s="3"/>
      <c r="H92" s="89"/>
      <c r="I92" s="90"/>
      <c r="K92" s="31"/>
    </row>
    <row r="93" spans="2:11" s="13" customFormat="1" x14ac:dyDescent="0.2">
      <c r="B93" s="3"/>
      <c r="C93" s="3"/>
      <c r="D93" s="3"/>
      <c r="E93" s="3"/>
      <c r="F93" s="89"/>
      <c r="G93" s="3"/>
      <c r="H93" s="89"/>
      <c r="I93" s="90"/>
      <c r="K93" s="31"/>
    </row>
    <row r="94" spans="2:11" s="13" customFormat="1" x14ac:dyDescent="0.2">
      <c r="B94" s="3"/>
      <c r="C94" s="3"/>
      <c r="D94" s="3"/>
      <c r="E94" s="3"/>
      <c r="F94" s="89"/>
      <c r="G94" s="3"/>
      <c r="H94" s="89"/>
      <c r="I94" s="90"/>
      <c r="K94" s="31"/>
    </row>
    <row r="95" spans="2:11" s="13" customFormat="1" x14ac:dyDescent="0.2">
      <c r="B95" s="3"/>
      <c r="C95" s="3"/>
      <c r="D95" s="3"/>
      <c r="E95" s="3"/>
      <c r="F95" s="89"/>
      <c r="G95" s="3"/>
      <c r="H95" s="89"/>
      <c r="I95" s="90"/>
      <c r="K95" s="31"/>
    </row>
    <row r="96" spans="2:11" s="13" customFormat="1" x14ac:dyDescent="0.2">
      <c r="B96" s="3"/>
      <c r="C96" s="3"/>
      <c r="D96" s="3"/>
      <c r="E96" s="3"/>
      <c r="F96" s="89"/>
      <c r="G96" s="3"/>
      <c r="H96" s="89"/>
      <c r="I96" s="90"/>
      <c r="K96" s="31"/>
    </row>
    <row r="97" spans="2:11" s="13" customFormat="1" x14ac:dyDescent="0.2">
      <c r="B97" s="3"/>
      <c r="C97" s="3"/>
      <c r="D97" s="3"/>
      <c r="E97" s="3"/>
      <c r="F97" s="89"/>
      <c r="G97" s="3"/>
      <c r="H97" s="89"/>
      <c r="I97" s="90"/>
      <c r="K97" s="31"/>
    </row>
    <row r="98" spans="2:11" s="13" customFormat="1" x14ac:dyDescent="0.2">
      <c r="B98" s="3"/>
      <c r="C98" s="3"/>
      <c r="D98" s="3"/>
      <c r="E98" s="3"/>
      <c r="F98" s="89"/>
      <c r="G98" s="3"/>
      <c r="H98" s="89"/>
      <c r="I98" s="90"/>
      <c r="K98" s="31"/>
    </row>
    <row r="99" spans="2:11" s="13" customFormat="1" x14ac:dyDescent="0.2">
      <c r="B99" s="3"/>
      <c r="C99" s="3"/>
      <c r="D99" s="3"/>
      <c r="E99" s="3"/>
      <c r="F99" s="89"/>
      <c r="G99" s="3"/>
      <c r="H99" s="89"/>
      <c r="I99" s="90"/>
      <c r="K99" s="31"/>
    </row>
    <row r="100" spans="2:11" s="13" customFormat="1" x14ac:dyDescent="0.2">
      <c r="B100" s="3"/>
      <c r="C100" s="3"/>
      <c r="D100" s="3"/>
      <c r="E100" s="3"/>
      <c r="F100" s="89"/>
      <c r="G100" s="3"/>
      <c r="H100" s="89"/>
      <c r="I100" s="90"/>
      <c r="K100" s="31"/>
    </row>
    <row r="101" spans="2:11" s="13" customFormat="1" x14ac:dyDescent="0.2">
      <c r="B101" s="3"/>
      <c r="C101" s="3"/>
      <c r="D101" s="3"/>
      <c r="E101" s="3"/>
      <c r="F101" s="89"/>
      <c r="G101" s="3"/>
      <c r="H101" s="89"/>
      <c r="I101" s="90"/>
      <c r="K101" s="31"/>
    </row>
    <row r="102" spans="2:11" s="13" customFormat="1" x14ac:dyDescent="0.2">
      <c r="B102" s="3"/>
      <c r="C102" s="3"/>
      <c r="D102" s="3"/>
      <c r="E102" s="3"/>
      <c r="F102" s="89"/>
      <c r="G102" s="3"/>
      <c r="H102" s="89"/>
      <c r="I102" s="90"/>
      <c r="K102" s="31"/>
    </row>
    <row r="103" spans="2:11" s="13" customFormat="1" x14ac:dyDescent="0.2">
      <c r="B103" s="3"/>
      <c r="C103" s="3"/>
      <c r="D103" s="3"/>
      <c r="E103" s="3"/>
      <c r="F103" s="89"/>
      <c r="G103" s="3"/>
      <c r="H103" s="89"/>
      <c r="I103" s="90"/>
      <c r="K103" s="31"/>
    </row>
    <row r="104" spans="2:11" s="13" customFormat="1" x14ac:dyDescent="0.2">
      <c r="B104" s="3"/>
      <c r="C104" s="3"/>
      <c r="D104" s="3"/>
      <c r="E104" s="3"/>
      <c r="F104" s="89"/>
      <c r="G104" s="3"/>
      <c r="H104" s="89"/>
      <c r="I104" s="90"/>
      <c r="K104" s="31"/>
    </row>
    <row r="105" spans="2:11" s="13" customFormat="1" x14ac:dyDescent="0.2">
      <c r="B105" s="3"/>
      <c r="C105" s="3"/>
      <c r="D105" s="3"/>
      <c r="E105" s="3"/>
      <c r="F105" s="89"/>
      <c r="G105" s="3"/>
      <c r="H105" s="89"/>
      <c r="I105" s="90"/>
      <c r="K105" s="31"/>
    </row>
    <row r="106" spans="2:11" s="13" customFormat="1" x14ac:dyDescent="0.2">
      <c r="B106" s="3"/>
      <c r="C106" s="3"/>
      <c r="D106" s="3"/>
      <c r="E106" s="3"/>
      <c r="F106" s="89"/>
      <c r="G106" s="3"/>
      <c r="H106" s="89"/>
      <c r="I106" s="90"/>
      <c r="K106" s="31"/>
    </row>
    <row r="107" spans="2:11" s="13" customFormat="1" x14ac:dyDescent="0.2">
      <c r="B107" s="3"/>
      <c r="C107" s="3"/>
      <c r="D107" s="3"/>
      <c r="E107" s="3"/>
      <c r="F107" s="89"/>
      <c r="G107" s="3"/>
      <c r="H107" s="89"/>
      <c r="I107" s="90"/>
      <c r="K107" s="31"/>
    </row>
    <row r="108" spans="2:11" s="13" customFormat="1" x14ac:dyDescent="0.2">
      <c r="B108" s="3"/>
      <c r="C108" s="3"/>
      <c r="D108" s="3"/>
      <c r="E108" s="3"/>
      <c r="F108" s="89"/>
      <c r="G108" s="3"/>
      <c r="H108" s="89"/>
      <c r="I108" s="90"/>
      <c r="K108" s="31"/>
    </row>
    <row r="109" spans="2:11" s="13" customFormat="1" x14ac:dyDescent="0.2">
      <c r="B109" s="3"/>
      <c r="C109" s="3"/>
      <c r="D109" s="3"/>
      <c r="E109" s="3"/>
      <c r="F109" s="89"/>
      <c r="G109" s="3"/>
      <c r="H109" s="89"/>
      <c r="I109" s="90"/>
      <c r="K109" s="31"/>
    </row>
    <row r="110" spans="2:11" s="13" customFormat="1" x14ac:dyDescent="0.2">
      <c r="B110" s="3"/>
      <c r="C110" s="3"/>
      <c r="D110" s="3"/>
      <c r="E110" s="3"/>
      <c r="F110" s="89"/>
      <c r="G110" s="3"/>
      <c r="H110" s="89"/>
      <c r="I110" s="90"/>
      <c r="K110" s="31"/>
    </row>
    <row r="111" spans="2:11" s="13" customFormat="1" x14ac:dyDescent="0.2">
      <c r="B111" s="3"/>
      <c r="C111" s="3"/>
      <c r="D111" s="3"/>
      <c r="E111" s="3"/>
      <c r="F111" s="89"/>
      <c r="G111" s="3"/>
      <c r="H111" s="89"/>
      <c r="I111" s="90"/>
      <c r="K111" s="31"/>
    </row>
    <row r="112" spans="2:11" s="13" customFormat="1" x14ac:dyDescent="0.2">
      <c r="B112" s="3"/>
      <c r="C112" s="3"/>
      <c r="D112" s="3"/>
      <c r="E112" s="3"/>
      <c r="F112" s="89"/>
      <c r="G112" s="3"/>
      <c r="H112" s="89"/>
      <c r="I112" s="90"/>
      <c r="K112" s="31"/>
    </row>
    <row r="113" spans="2:11" s="13" customFormat="1" x14ac:dyDescent="0.2">
      <c r="B113" s="3"/>
      <c r="C113" s="3"/>
      <c r="D113" s="3"/>
      <c r="E113" s="3"/>
      <c r="F113" s="89"/>
      <c r="G113" s="3"/>
      <c r="H113" s="89"/>
      <c r="I113" s="90"/>
      <c r="K113" s="31"/>
    </row>
    <row r="114" spans="2:11" s="13" customFormat="1" x14ac:dyDescent="0.2">
      <c r="B114" s="3"/>
      <c r="C114" s="3"/>
      <c r="D114" s="3"/>
      <c r="E114" s="3"/>
      <c r="F114" s="89"/>
      <c r="G114" s="3"/>
      <c r="H114" s="89"/>
      <c r="I114" s="90"/>
      <c r="K114" s="31"/>
    </row>
    <row r="115" spans="2:11" s="13" customFormat="1" x14ac:dyDescent="0.2">
      <c r="B115" s="3"/>
      <c r="C115" s="3"/>
      <c r="D115" s="3"/>
      <c r="E115" s="3"/>
      <c r="F115" s="89"/>
      <c r="G115" s="3"/>
      <c r="H115" s="89"/>
      <c r="I115" s="90"/>
      <c r="K115" s="31"/>
    </row>
    <row r="116" spans="2:11" s="13" customFormat="1" x14ac:dyDescent="0.2">
      <c r="B116" s="3"/>
      <c r="C116" s="3"/>
      <c r="D116" s="3"/>
      <c r="E116" s="3"/>
      <c r="F116" s="89"/>
      <c r="G116" s="3"/>
      <c r="H116" s="89"/>
      <c r="I116" s="90"/>
      <c r="K116" s="31"/>
    </row>
    <row r="117" spans="2:11" s="13" customFormat="1" x14ac:dyDescent="0.2">
      <c r="B117" s="3"/>
      <c r="C117" s="3"/>
      <c r="D117" s="3"/>
      <c r="E117" s="3"/>
      <c r="F117" s="89"/>
      <c r="G117" s="3"/>
      <c r="H117" s="89"/>
      <c r="I117" s="90"/>
      <c r="K117" s="31"/>
    </row>
    <row r="118" spans="2:11" s="13" customFormat="1" x14ac:dyDescent="0.2">
      <c r="B118" s="3"/>
      <c r="C118" s="3"/>
      <c r="D118" s="3"/>
      <c r="E118" s="3"/>
      <c r="F118" s="89"/>
      <c r="G118" s="3"/>
      <c r="H118" s="89"/>
      <c r="I118" s="90"/>
      <c r="K118" s="31"/>
    </row>
    <row r="119" spans="2:11" s="13" customFormat="1" x14ac:dyDescent="0.2">
      <c r="B119" s="3"/>
      <c r="C119" s="3"/>
      <c r="D119" s="3"/>
      <c r="E119" s="3"/>
      <c r="F119" s="89"/>
      <c r="G119" s="3"/>
      <c r="H119" s="89"/>
      <c r="I119" s="90"/>
      <c r="K119" s="31"/>
    </row>
    <row r="120" spans="2:11" s="13" customFormat="1" x14ac:dyDescent="0.2">
      <c r="B120" s="3"/>
      <c r="C120" s="3"/>
      <c r="D120" s="3"/>
      <c r="E120" s="3"/>
      <c r="F120" s="89"/>
      <c r="G120" s="3"/>
      <c r="H120" s="89"/>
      <c r="I120" s="90"/>
      <c r="K120" s="31"/>
    </row>
    <row r="121" spans="2:11" s="13" customFormat="1" x14ac:dyDescent="0.2">
      <c r="B121" s="3"/>
      <c r="C121" s="3"/>
      <c r="D121" s="3"/>
      <c r="E121" s="3"/>
      <c r="F121" s="89"/>
      <c r="G121" s="3"/>
      <c r="H121" s="89"/>
      <c r="I121" s="90"/>
      <c r="K121" s="31"/>
    </row>
    <row r="122" spans="2:11" s="13" customFormat="1" x14ac:dyDescent="0.2">
      <c r="B122" s="3"/>
      <c r="C122" s="3"/>
      <c r="D122" s="3"/>
      <c r="E122" s="3"/>
      <c r="F122" s="89"/>
      <c r="G122" s="3"/>
      <c r="H122" s="89"/>
      <c r="I122" s="90"/>
      <c r="K122" s="31"/>
    </row>
    <row r="123" spans="2:11" s="13" customFormat="1" x14ac:dyDescent="0.2">
      <c r="B123" s="3"/>
      <c r="C123" s="3"/>
      <c r="D123" s="3"/>
      <c r="E123" s="3"/>
      <c r="F123" s="89"/>
      <c r="G123" s="3"/>
      <c r="H123" s="89"/>
      <c r="I123" s="90"/>
      <c r="K123" s="31"/>
    </row>
    <row r="124" spans="2:11" s="13" customFormat="1" x14ac:dyDescent="0.2">
      <c r="B124" s="3"/>
      <c r="C124" s="3"/>
      <c r="D124" s="3"/>
      <c r="E124" s="3"/>
      <c r="F124" s="89"/>
      <c r="G124" s="3"/>
      <c r="H124" s="89"/>
      <c r="I124" s="90"/>
      <c r="K124" s="31"/>
    </row>
    <row r="125" spans="2:11" s="13" customFormat="1" x14ac:dyDescent="0.2">
      <c r="B125" s="3"/>
      <c r="C125" s="3"/>
      <c r="D125" s="3"/>
      <c r="E125" s="3"/>
      <c r="F125" s="89"/>
      <c r="G125" s="3"/>
      <c r="H125" s="89"/>
      <c r="I125" s="90"/>
      <c r="K125" s="31"/>
    </row>
    <row r="126" spans="2:11" s="13" customFormat="1" x14ac:dyDescent="0.2">
      <c r="B126" s="3"/>
      <c r="C126" s="3"/>
      <c r="D126" s="3"/>
      <c r="E126" s="3"/>
      <c r="F126" s="89"/>
      <c r="G126" s="3"/>
      <c r="H126" s="89"/>
      <c r="I126" s="90"/>
      <c r="K126" s="31"/>
    </row>
    <row r="127" spans="2:11" s="13" customFormat="1" x14ac:dyDescent="0.2">
      <c r="B127" s="3"/>
      <c r="C127" s="3"/>
      <c r="D127" s="3"/>
      <c r="E127" s="3"/>
      <c r="F127" s="89"/>
      <c r="G127" s="3"/>
      <c r="H127" s="89"/>
      <c r="I127" s="90"/>
      <c r="K127" s="31"/>
    </row>
    <row r="128" spans="2:11" s="13" customFormat="1" x14ac:dyDescent="0.2">
      <c r="B128" s="3"/>
      <c r="C128" s="3"/>
      <c r="D128" s="3"/>
      <c r="E128" s="3"/>
      <c r="F128" s="89"/>
      <c r="G128" s="3"/>
      <c r="H128" s="89"/>
      <c r="I128" s="90"/>
      <c r="K128" s="31"/>
    </row>
    <row r="129" spans="2:11" s="13" customFormat="1" x14ac:dyDescent="0.2">
      <c r="B129" s="3"/>
      <c r="C129" s="3"/>
      <c r="D129" s="3"/>
      <c r="E129" s="3"/>
      <c r="F129" s="89"/>
      <c r="G129" s="3"/>
      <c r="H129" s="89"/>
      <c r="I129" s="90"/>
      <c r="K129" s="31"/>
    </row>
    <row r="130" spans="2:11" s="13" customFormat="1" x14ac:dyDescent="0.2">
      <c r="B130" s="3"/>
      <c r="C130" s="3"/>
      <c r="D130" s="3"/>
      <c r="E130" s="3"/>
      <c r="F130" s="89"/>
      <c r="G130" s="3"/>
      <c r="H130" s="89"/>
      <c r="I130" s="90"/>
      <c r="K130" s="31"/>
    </row>
    <row r="131" spans="2:11" s="13" customFormat="1" x14ac:dyDescent="0.2">
      <c r="B131" s="3"/>
      <c r="C131" s="3"/>
      <c r="D131" s="3"/>
      <c r="E131" s="3"/>
      <c r="F131" s="89"/>
      <c r="G131" s="3"/>
      <c r="H131" s="89"/>
      <c r="I131" s="90"/>
      <c r="K131" s="31"/>
    </row>
    <row r="132" spans="2:11" s="13" customFormat="1" x14ac:dyDescent="0.2">
      <c r="B132" s="3"/>
      <c r="C132" s="3"/>
      <c r="D132" s="3"/>
      <c r="E132" s="3"/>
      <c r="F132" s="89"/>
      <c r="G132" s="3"/>
      <c r="H132" s="89"/>
      <c r="I132" s="90"/>
      <c r="K132" s="31"/>
    </row>
    <row r="133" spans="2:11" s="13" customFormat="1" x14ac:dyDescent="0.2">
      <c r="B133" s="3"/>
      <c r="C133" s="3"/>
      <c r="D133" s="3"/>
      <c r="E133" s="3"/>
      <c r="F133" s="89"/>
      <c r="G133" s="3"/>
      <c r="H133" s="89"/>
      <c r="I133" s="90"/>
      <c r="K133" s="31"/>
    </row>
    <row r="134" spans="2:11" s="13" customFormat="1" x14ac:dyDescent="0.2">
      <c r="B134" s="3"/>
      <c r="C134" s="3"/>
      <c r="D134" s="3"/>
      <c r="E134" s="3"/>
      <c r="F134" s="89"/>
      <c r="G134" s="3"/>
      <c r="H134" s="89"/>
      <c r="I134" s="90"/>
      <c r="K134" s="31"/>
    </row>
    <row r="135" spans="2:11" s="13" customFormat="1" x14ac:dyDescent="0.2">
      <c r="B135" s="3"/>
      <c r="C135" s="3"/>
      <c r="D135" s="3"/>
      <c r="E135" s="3"/>
      <c r="F135" s="89"/>
      <c r="G135" s="3"/>
      <c r="H135" s="89"/>
      <c r="I135" s="90"/>
      <c r="K135" s="31"/>
    </row>
    <row r="136" spans="2:11" s="13" customFormat="1" x14ac:dyDescent="0.2">
      <c r="B136" s="3"/>
      <c r="C136" s="3"/>
      <c r="D136" s="3"/>
      <c r="E136" s="3"/>
      <c r="F136" s="89"/>
      <c r="G136" s="3"/>
      <c r="H136" s="89"/>
      <c r="I136" s="90"/>
      <c r="K136" s="31"/>
    </row>
    <row r="137" spans="2:11" s="13" customFormat="1" x14ac:dyDescent="0.2">
      <c r="B137" s="3"/>
      <c r="C137" s="3"/>
      <c r="D137" s="3"/>
      <c r="E137" s="3"/>
      <c r="F137" s="89"/>
      <c r="G137" s="3"/>
      <c r="H137" s="89"/>
      <c r="I137" s="90"/>
      <c r="K137" s="31"/>
    </row>
    <row r="138" spans="2:11" s="13" customFormat="1" x14ac:dyDescent="0.2">
      <c r="B138" s="3"/>
      <c r="C138" s="3"/>
      <c r="D138" s="3"/>
      <c r="E138" s="3"/>
      <c r="F138" s="89"/>
      <c r="G138" s="3"/>
      <c r="H138" s="89"/>
      <c r="I138" s="90"/>
      <c r="K138" s="31"/>
    </row>
    <row r="139" spans="2:11" s="13" customFormat="1" x14ac:dyDescent="0.2">
      <c r="B139" s="3"/>
      <c r="C139" s="3"/>
      <c r="D139" s="3"/>
      <c r="E139" s="3"/>
      <c r="F139" s="89"/>
      <c r="G139" s="3"/>
      <c r="H139" s="89"/>
      <c r="I139" s="90"/>
      <c r="K139" s="31"/>
    </row>
    <row r="140" spans="2:11" s="13" customFormat="1" x14ac:dyDescent="0.2">
      <c r="B140" s="3"/>
      <c r="C140" s="3"/>
      <c r="D140" s="3"/>
      <c r="E140" s="3"/>
      <c r="F140" s="89"/>
      <c r="G140" s="3"/>
      <c r="H140" s="89"/>
      <c r="I140" s="90"/>
      <c r="K140" s="31"/>
    </row>
    <row r="141" spans="2:11" s="13" customFormat="1" x14ac:dyDescent="0.2">
      <c r="B141" s="3"/>
      <c r="C141" s="3"/>
      <c r="D141" s="3"/>
      <c r="E141" s="3"/>
      <c r="F141" s="89"/>
      <c r="G141" s="3"/>
      <c r="H141" s="89"/>
      <c r="I141" s="90"/>
      <c r="K141" s="31"/>
    </row>
    <row r="142" spans="2:11" s="13" customFormat="1" x14ac:dyDescent="0.2">
      <c r="B142" s="3"/>
      <c r="C142" s="3"/>
      <c r="D142" s="3"/>
      <c r="E142" s="3"/>
      <c r="F142" s="89"/>
      <c r="G142" s="3"/>
      <c r="H142" s="89"/>
      <c r="I142" s="90"/>
      <c r="K142" s="31"/>
    </row>
    <row r="143" spans="2:11" s="13" customFormat="1" x14ac:dyDescent="0.2">
      <c r="B143" s="3"/>
      <c r="C143" s="3"/>
      <c r="D143" s="3"/>
      <c r="E143" s="3"/>
      <c r="F143" s="89"/>
      <c r="G143" s="3"/>
      <c r="H143" s="89"/>
      <c r="I143" s="90"/>
      <c r="K143" s="31"/>
    </row>
    <row r="144" spans="2:11" s="13" customFormat="1" x14ac:dyDescent="0.2">
      <c r="B144" s="3"/>
      <c r="C144" s="3"/>
      <c r="D144" s="3"/>
      <c r="E144" s="3"/>
      <c r="F144" s="89"/>
      <c r="G144" s="3"/>
      <c r="H144" s="89"/>
      <c r="I144" s="90"/>
      <c r="K144" s="31"/>
    </row>
    <row r="145" spans="2:11" s="13" customFormat="1" x14ac:dyDescent="0.2">
      <c r="B145" s="3"/>
      <c r="C145" s="3"/>
      <c r="D145" s="3"/>
      <c r="E145" s="3"/>
      <c r="F145" s="89"/>
      <c r="G145" s="3"/>
      <c r="H145" s="89"/>
      <c r="I145" s="90"/>
      <c r="K145" s="31"/>
    </row>
    <row r="146" spans="2:11" s="13" customFormat="1" x14ac:dyDescent="0.2">
      <c r="B146" s="3"/>
      <c r="C146" s="3"/>
      <c r="D146" s="3"/>
      <c r="E146" s="3"/>
      <c r="F146" s="89"/>
      <c r="G146" s="3"/>
      <c r="H146" s="89"/>
      <c r="I146" s="90"/>
      <c r="K146" s="31"/>
    </row>
    <row r="147" spans="2:11" s="13" customFormat="1" x14ac:dyDescent="0.2">
      <c r="B147" s="3"/>
      <c r="C147" s="3"/>
      <c r="D147" s="3"/>
      <c r="E147" s="3"/>
      <c r="F147" s="89"/>
      <c r="G147" s="3"/>
      <c r="H147" s="89"/>
      <c r="I147" s="90"/>
      <c r="K147" s="31"/>
    </row>
    <row r="148" spans="2:11" s="13" customFormat="1" x14ac:dyDescent="0.2">
      <c r="B148" s="3"/>
      <c r="C148" s="3"/>
      <c r="D148" s="3"/>
      <c r="E148" s="3"/>
      <c r="F148" s="89"/>
      <c r="G148" s="3"/>
      <c r="H148" s="89"/>
      <c r="I148" s="90"/>
      <c r="K148" s="31"/>
    </row>
    <row r="149" spans="2:11" s="13" customFormat="1" x14ac:dyDescent="0.2">
      <c r="B149" s="3"/>
      <c r="C149" s="3"/>
      <c r="D149" s="3"/>
      <c r="E149" s="3"/>
      <c r="F149" s="89"/>
      <c r="G149" s="3"/>
      <c r="H149" s="89"/>
      <c r="I149" s="90"/>
      <c r="K149" s="31"/>
    </row>
    <row r="150" spans="2:11" s="13" customFormat="1" x14ac:dyDescent="0.2">
      <c r="B150" s="3"/>
      <c r="C150" s="3"/>
      <c r="D150" s="3"/>
      <c r="E150" s="3"/>
      <c r="F150" s="89"/>
      <c r="G150" s="3"/>
      <c r="H150" s="89"/>
      <c r="I150" s="90"/>
      <c r="K150" s="31"/>
    </row>
    <row r="151" spans="2:11" s="13" customFormat="1" x14ac:dyDescent="0.2">
      <c r="B151" s="3"/>
      <c r="C151" s="3"/>
      <c r="D151" s="3"/>
      <c r="E151" s="3"/>
      <c r="F151" s="89"/>
      <c r="G151" s="3"/>
      <c r="H151" s="89"/>
      <c r="I151" s="90"/>
      <c r="K151" s="31"/>
    </row>
    <row r="152" spans="2:11" s="13" customFormat="1" x14ac:dyDescent="0.2">
      <c r="B152" s="3"/>
      <c r="C152" s="3"/>
      <c r="D152" s="3"/>
      <c r="E152" s="3"/>
      <c r="F152" s="89"/>
      <c r="G152" s="3"/>
      <c r="H152" s="89"/>
      <c r="I152" s="90"/>
      <c r="K152" s="31"/>
    </row>
    <row r="153" spans="2:11" s="13" customFormat="1" x14ac:dyDescent="0.2">
      <c r="B153" s="3"/>
      <c r="C153" s="3"/>
      <c r="D153" s="3"/>
      <c r="E153" s="3"/>
      <c r="F153" s="89"/>
      <c r="G153" s="3"/>
      <c r="H153" s="89"/>
      <c r="I153" s="90"/>
      <c r="K153" s="31"/>
    </row>
    <row r="154" spans="2:11" s="13" customFormat="1" x14ac:dyDescent="0.2">
      <c r="B154" s="3"/>
      <c r="C154" s="3"/>
      <c r="D154" s="3"/>
      <c r="E154" s="3"/>
      <c r="F154" s="89"/>
      <c r="G154" s="3"/>
      <c r="H154" s="89"/>
      <c r="I154" s="90"/>
      <c r="K154" s="31"/>
    </row>
    <row r="155" spans="2:11" s="13" customFormat="1" x14ac:dyDescent="0.2">
      <c r="B155" s="3"/>
      <c r="C155" s="3"/>
      <c r="D155" s="3"/>
      <c r="E155" s="3"/>
      <c r="F155" s="89"/>
      <c r="G155" s="3"/>
      <c r="H155" s="89"/>
      <c r="I155" s="90"/>
      <c r="K155" s="31"/>
    </row>
    <row r="156" spans="2:11" s="13" customFormat="1" x14ac:dyDescent="0.2">
      <c r="B156" s="3"/>
      <c r="C156" s="3"/>
      <c r="D156" s="3"/>
      <c r="E156" s="3"/>
      <c r="F156" s="89"/>
      <c r="G156" s="3"/>
      <c r="H156" s="89"/>
      <c r="I156" s="90"/>
      <c r="K156" s="31"/>
    </row>
    <row r="157" spans="2:11" s="13" customFormat="1" x14ac:dyDescent="0.2">
      <c r="B157" s="3"/>
      <c r="C157" s="3"/>
      <c r="D157" s="3"/>
      <c r="E157" s="3"/>
      <c r="F157" s="89"/>
      <c r="G157" s="3"/>
      <c r="H157" s="89"/>
      <c r="I157" s="90"/>
      <c r="K157" s="31"/>
    </row>
    <row r="158" spans="2:11" s="13" customFormat="1" x14ac:dyDescent="0.2">
      <c r="B158" s="3"/>
      <c r="C158" s="3"/>
      <c r="D158" s="3"/>
      <c r="E158" s="3"/>
      <c r="F158" s="89"/>
      <c r="G158" s="3"/>
      <c r="H158" s="89"/>
      <c r="I158" s="90"/>
      <c r="K158" s="31"/>
    </row>
    <row r="159" spans="2:11" s="13" customFormat="1" x14ac:dyDescent="0.2">
      <c r="B159" s="3"/>
      <c r="C159" s="3"/>
      <c r="D159" s="3"/>
      <c r="E159" s="3"/>
      <c r="F159" s="89"/>
      <c r="G159" s="3"/>
      <c r="H159" s="89"/>
      <c r="I159" s="90"/>
      <c r="K159" s="31"/>
    </row>
    <row r="160" spans="2:11" s="13" customFormat="1" x14ac:dyDescent="0.2">
      <c r="B160" s="3"/>
      <c r="C160" s="3"/>
      <c r="D160" s="3"/>
      <c r="E160" s="3"/>
      <c r="F160" s="89"/>
      <c r="G160" s="3"/>
      <c r="H160" s="89"/>
      <c r="I160" s="90"/>
      <c r="K160" s="31"/>
    </row>
    <row r="161" spans="1:13" s="13" customFormat="1" x14ac:dyDescent="0.2">
      <c r="B161" s="3"/>
      <c r="C161" s="3"/>
      <c r="D161" s="3"/>
      <c r="E161" s="3"/>
      <c r="F161" s="89"/>
      <c r="G161" s="3"/>
      <c r="H161" s="89"/>
      <c r="I161" s="90"/>
      <c r="K161" s="31"/>
    </row>
    <row r="162" spans="1:13" s="13" customFormat="1" x14ac:dyDescent="0.2">
      <c r="B162" s="3"/>
      <c r="C162" s="3"/>
      <c r="D162" s="3"/>
      <c r="E162" s="3"/>
      <c r="F162" s="89"/>
      <c r="G162" s="3"/>
      <c r="H162" s="89"/>
      <c r="I162" s="90"/>
      <c r="K162" s="31"/>
    </row>
    <row r="163" spans="1:13" s="13" customFormat="1" x14ac:dyDescent="0.2">
      <c r="B163" s="3"/>
      <c r="C163" s="3"/>
      <c r="D163" s="3"/>
      <c r="E163" s="3"/>
      <c r="F163" s="89"/>
      <c r="G163" s="3"/>
      <c r="H163" s="89"/>
      <c r="I163" s="90"/>
      <c r="K163" s="31"/>
    </row>
    <row r="164" spans="1:13" s="89" customFormat="1" x14ac:dyDescent="0.2">
      <c r="A164" s="13"/>
      <c r="B164" s="3"/>
      <c r="C164" s="3"/>
      <c r="D164" s="3"/>
      <c r="E164" s="3"/>
      <c r="G164" s="3"/>
      <c r="I164" s="90"/>
      <c r="J164" s="13"/>
      <c r="K164" s="31"/>
      <c r="L164" s="13"/>
      <c r="M164" s="13"/>
    </row>
    <row r="165" spans="1:13" s="89" customFormat="1" x14ac:dyDescent="0.2">
      <c r="A165" s="13"/>
      <c r="B165" s="3"/>
      <c r="C165" s="3"/>
      <c r="D165" s="3"/>
      <c r="E165" s="3"/>
      <c r="G165" s="91"/>
      <c r="I165" s="90"/>
      <c r="J165" s="13"/>
      <c r="K165" s="31"/>
      <c r="L165" s="13"/>
      <c r="M165" s="13"/>
    </row>
    <row r="166" spans="1:13" s="89" customFormat="1" x14ac:dyDescent="0.2">
      <c r="A166" s="13"/>
      <c r="B166" s="3"/>
      <c r="C166" s="3"/>
      <c r="D166" s="3"/>
      <c r="E166" s="3"/>
      <c r="G166" s="92"/>
      <c r="I166" s="90"/>
      <c r="J166" s="13"/>
      <c r="K166" s="31"/>
      <c r="L166" s="13"/>
      <c r="M166" s="13"/>
    </row>
    <row r="167" spans="1:13" s="89" customFormat="1" x14ac:dyDescent="0.2">
      <c r="A167" s="13"/>
      <c r="B167" s="3"/>
      <c r="C167" s="3"/>
      <c r="D167" s="3"/>
      <c r="E167" s="3"/>
      <c r="G167" s="93"/>
      <c r="I167" s="90"/>
      <c r="J167" s="13"/>
      <c r="K167" s="31"/>
      <c r="L167" s="13"/>
      <c r="M167" s="13"/>
    </row>
    <row r="168" spans="1:13" s="89" customFormat="1" x14ac:dyDescent="0.2">
      <c r="A168" s="13"/>
      <c r="B168" s="3"/>
      <c r="C168" s="3"/>
      <c r="D168" s="3"/>
      <c r="E168" s="3"/>
      <c r="G168" s="94"/>
      <c r="I168" s="90"/>
      <c r="J168" s="13"/>
      <c r="K168" s="31"/>
      <c r="L168" s="13"/>
      <c r="M168" s="13"/>
    </row>
    <row r="169" spans="1:13" s="89" customFormat="1" x14ac:dyDescent="0.2">
      <c r="A169" s="13"/>
      <c r="B169" s="3"/>
      <c r="C169" s="3"/>
      <c r="D169" s="3"/>
      <c r="E169" s="3"/>
      <c r="G169" s="91"/>
      <c r="I169" s="90"/>
      <c r="J169" s="13"/>
      <c r="K169" s="31"/>
      <c r="L169" s="13"/>
      <c r="M169" s="13"/>
    </row>
    <row r="170" spans="1:13" s="13" customFormat="1" x14ac:dyDescent="0.2">
      <c r="B170" s="3"/>
      <c r="C170" s="3"/>
      <c r="D170" s="3"/>
      <c r="E170" s="3"/>
      <c r="F170" s="89"/>
      <c r="G170" s="3"/>
      <c r="H170" s="89"/>
      <c r="I170" s="90"/>
      <c r="K170" s="31"/>
    </row>
    <row r="171" spans="1:13" s="13" customFormat="1" x14ac:dyDescent="0.2">
      <c r="B171" s="3"/>
      <c r="C171" s="3"/>
      <c r="D171" s="3"/>
      <c r="E171" s="3"/>
      <c r="F171" s="89"/>
      <c r="G171" s="3"/>
      <c r="H171" s="89"/>
      <c r="I171" s="90"/>
      <c r="K171" s="31"/>
    </row>
    <row r="172" spans="1:13" s="13" customFormat="1" x14ac:dyDescent="0.2">
      <c r="B172" s="3"/>
      <c r="C172" s="3"/>
      <c r="D172" s="3"/>
      <c r="E172" s="3"/>
      <c r="F172" s="89"/>
      <c r="G172" s="3"/>
      <c r="H172" s="89"/>
      <c r="I172" s="90"/>
      <c r="K172" s="31"/>
    </row>
    <row r="173" spans="1:13" s="89" customFormat="1" x14ac:dyDescent="0.2">
      <c r="A173" s="13"/>
      <c r="B173" s="3"/>
      <c r="C173" s="3"/>
      <c r="D173" s="3"/>
      <c r="E173" s="3"/>
      <c r="G173" s="95"/>
      <c r="I173" s="90"/>
      <c r="J173" s="13"/>
      <c r="K173" s="31"/>
      <c r="L173" s="13"/>
      <c r="M173" s="13"/>
    </row>
    <row r="174" spans="1:13" s="89" customFormat="1" x14ac:dyDescent="0.2">
      <c r="A174" s="13"/>
      <c r="B174" s="3"/>
      <c r="C174" s="3"/>
      <c r="D174" s="3"/>
      <c r="E174" s="3"/>
      <c r="G174" s="96"/>
      <c r="I174" s="90"/>
      <c r="J174" s="13"/>
      <c r="K174" s="31"/>
      <c r="L174" s="13"/>
      <c r="M174" s="13"/>
    </row>
    <row r="175" spans="1:13" s="89" customFormat="1" x14ac:dyDescent="0.2">
      <c r="A175" s="13"/>
      <c r="B175" s="3"/>
      <c r="C175" s="3"/>
      <c r="D175" s="3"/>
      <c r="E175" s="3"/>
      <c r="G175" s="93"/>
      <c r="I175" s="90"/>
      <c r="J175" s="13"/>
      <c r="K175" s="31"/>
      <c r="L175" s="13"/>
      <c r="M175" s="13"/>
    </row>
    <row r="176" spans="1:13" s="89" customFormat="1" x14ac:dyDescent="0.2">
      <c r="A176" s="13"/>
      <c r="B176" s="3"/>
      <c r="C176" s="3"/>
      <c r="D176" s="3"/>
      <c r="E176" s="3"/>
      <c r="G176" s="93"/>
      <c r="I176" s="90"/>
      <c r="J176" s="13"/>
      <c r="K176" s="31"/>
      <c r="L176" s="13"/>
      <c r="M176" s="13"/>
    </row>
    <row r="177" spans="1:13" s="89" customFormat="1" x14ac:dyDescent="0.2">
      <c r="A177" s="13"/>
      <c r="B177" s="3"/>
      <c r="C177" s="3"/>
      <c r="D177" s="3"/>
      <c r="E177" s="3"/>
      <c r="G177" s="91"/>
      <c r="I177" s="90"/>
      <c r="J177" s="13"/>
      <c r="K177" s="31"/>
      <c r="L177" s="13"/>
      <c r="M177" s="13"/>
    </row>
    <row r="178" spans="1:13" s="13" customFormat="1" x14ac:dyDescent="0.2">
      <c r="B178" s="3"/>
      <c r="C178" s="3"/>
      <c r="D178" s="3"/>
      <c r="E178" s="3"/>
      <c r="F178" s="89"/>
      <c r="G178" s="3"/>
      <c r="H178" s="89"/>
      <c r="I178" s="90"/>
      <c r="K178" s="31"/>
    </row>
    <row r="179" spans="1:13" s="13" customFormat="1" x14ac:dyDescent="0.2">
      <c r="B179" s="3"/>
      <c r="C179" s="3"/>
      <c r="D179" s="3"/>
      <c r="E179" s="3"/>
      <c r="F179" s="89"/>
      <c r="G179" s="3"/>
      <c r="H179" s="89"/>
      <c r="I179" s="90"/>
      <c r="K179" s="31"/>
    </row>
    <row r="180" spans="1:13" s="13" customFormat="1" x14ac:dyDescent="0.2">
      <c r="B180" s="3"/>
      <c r="C180" s="3"/>
      <c r="D180" s="3"/>
      <c r="E180" s="3"/>
      <c r="F180" s="89"/>
      <c r="G180" s="3"/>
      <c r="H180" s="89"/>
      <c r="I180" s="90"/>
      <c r="K180" s="31"/>
    </row>
    <row r="181" spans="1:13" s="89" customFormat="1" x14ac:dyDescent="0.2">
      <c r="A181" s="13"/>
      <c r="B181" s="3"/>
      <c r="C181" s="3"/>
      <c r="D181" s="3"/>
      <c r="E181" s="3"/>
      <c r="G181" s="95"/>
      <c r="I181" s="90"/>
      <c r="J181" s="13"/>
      <c r="K181" s="31"/>
      <c r="L181" s="13"/>
      <c r="M181" s="13"/>
    </row>
    <row r="182" spans="1:13" s="89" customFormat="1" x14ac:dyDescent="0.2">
      <c r="A182" s="13"/>
      <c r="B182" s="3"/>
      <c r="C182" s="3"/>
      <c r="D182" s="3"/>
      <c r="E182" s="3"/>
      <c r="G182" s="96"/>
      <c r="I182" s="90"/>
      <c r="J182" s="13"/>
      <c r="K182" s="31"/>
      <c r="L182" s="13"/>
      <c r="M182" s="13"/>
    </row>
    <row r="183" spans="1:13" s="89" customFormat="1" x14ac:dyDescent="0.2">
      <c r="A183" s="13"/>
      <c r="B183" s="3"/>
      <c r="C183" s="3"/>
      <c r="D183" s="3"/>
      <c r="E183" s="3"/>
      <c r="G183" s="93"/>
      <c r="I183" s="90"/>
      <c r="J183" s="13"/>
      <c r="K183" s="31"/>
      <c r="L183" s="13"/>
      <c r="M183" s="13"/>
    </row>
    <row r="184" spans="1:13" s="89" customFormat="1" x14ac:dyDescent="0.2">
      <c r="A184" s="13"/>
      <c r="B184" s="3"/>
      <c r="C184" s="3"/>
      <c r="D184" s="3"/>
      <c r="E184" s="3"/>
      <c r="G184" s="93"/>
      <c r="I184" s="90"/>
      <c r="J184" s="13"/>
      <c r="K184" s="31"/>
      <c r="L184" s="13"/>
      <c r="M184" s="13"/>
    </row>
    <row r="185" spans="1:13" s="89" customFormat="1" x14ac:dyDescent="0.2">
      <c r="A185" s="13"/>
      <c r="B185" s="3"/>
      <c r="C185" s="3"/>
      <c r="D185" s="3"/>
      <c r="E185" s="3"/>
      <c r="G185" s="95"/>
      <c r="I185" s="90"/>
      <c r="J185" s="13"/>
      <c r="K185" s="31"/>
      <c r="L185" s="13"/>
      <c r="M185" s="13"/>
    </row>
    <row r="186" spans="1:13" s="89" customFormat="1" x14ac:dyDescent="0.2">
      <c r="A186" s="13"/>
      <c r="B186" s="3"/>
      <c r="C186" s="3"/>
      <c r="D186" s="3"/>
      <c r="E186" s="3"/>
      <c r="G186" s="97"/>
      <c r="I186" s="90"/>
      <c r="J186" s="13"/>
      <c r="K186" s="31"/>
      <c r="L186" s="13"/>
      <c r="M186" s="13"/>
    </row>
    <row r="187" spans="1:13" s="89" customFormat="1" x14ac:dyDescent="0.2">
      <c r="A187" s="13"/>
      <c r="B187" s="3"/>
      <c r="C187" s="3"/>
      <c r="D187" s="3"/>
      <c r="E187" s="3"/>
      <c r="G187" s="95"/>
      <c r="I187" s="90"/>
      <c r="J187" s="13"/>
      <c r="K187" s="31"/>
      <c r="L187" s="13"/>
      <c r="M187" s="13"/>
    </row>
    <row r="188" spans="1:13" s="13" customFormat="1" x14ac:dyDescent="0.2">
      <c r="B188" s="3"/>
      <c r="C188" s="3"/>
      <c r="D188" s="3"/>
      <c r="E188" s="3"/>
      <c r="F188" s="89"/>
      <c r="G188" s="3"/>
      <c r="H188" s="89"/>
      <c r="I188" s="90"/>
      <c r="K188" s="31"/>
    </row>
    <row r="189" spans="1:13" s="13" customFormat="1" x14ac:dyDescent="0.2">
      <c r="B189" s="3"/>
      <c r="C189" s="3"/>
      <c r="D189" s="3"/>
      <c r="E189" s="3"/>
      <c r="F189" s="89"/>
      <c r="G189" s="3"/>
      <c r="H189" s="89"/>
      <c r="I189" s="90"/>
      <c r="K189" s="31"/>
    </row>
    <row r="190" spans="1:13" s="13" customFormat="1" x14ac:dyDescent="0.2">
      <c r="B190" s="3"/>
      <c r="C190" s="3"/>
      <c r="D190" s="3"/>
      <c r="E190" s="3"/>
      <c r="F190" s="89"/>
      <c r="G190" s="3"/>
      <c r="H190" s="89"/>
      <c r="I190" s="90"/>
      <c r="K190" s="31"/>
    </row>
    <row r="191" spans="1:13" s="13" customFormat="1" x14ac:dyDescent="0.2">
      <c r="B191" s="3"/>
      <c r="C191" s="3"/>
      <c r="D191" s="3"/>
      <c r="E191" s="3"/>
      <c r="F191" s="89"/>
      <c r="G191" s="3"/>
      <c r="H191" s="89"/>
      <c r="I191" s="90"/>
      <c r="K191" s="31"/>
    </row>
    <row r="192" spans="1:13" s="13" customFormat="1" x14ac:dyDescent="0.2">
      <c r="B192" s="3"/>
      <c r="C192" s="3"/>
      <c r="D192" s="3"/>
      <c r="E192" s="3"/>
      <c r="F192" s="89"/>
      <c r="G192" s="3"/>
      <c r="H192" s="89"/>
      <c r="I192" s="90"/>
      <c r="K192" s="31"/>
    </row>
    <row r="193" spans="2:11" s="13" customFormat="1" x14ac:dyDescent="0.2">
      <c r="B193" s="3"/>
      <c r="C193" s="3"/>
      <c r="D193" s="3"/>
      <c r="E193" s="3"/>
      <c r="F193" s="89"/>
      <c r="G193" s="3"/>
      <c r="H193" s="89"/>
      <c r="I193" s="90"/>
      <c r="K193" s="31"/>
    </row>
    <row r="194" spans="2:11" s="13" customFormat="1" x14ac:dyDescent="0.2">
      <c r="B194" s="3"/>
      <c r="C194" s="3"/>
      <c r="D194" s="3"/>
      <c r="E194" s="3"/>
      <c r="F194" s="89"/>
      <c r="G194" s="3"/>
      <c r="H194" s="89"/>
      <c r="I194" s="90"/>
      <c r="K194" s="31"/>
    </row>
    <row r="195" spans="2:11" s="13" customFormat="1" x14ac:dyDescent="0.2">
      <c r="B195" s="3"/>
      <c r="C195" s="3"/>
      <c r="D195" s="3"/>
      <c r="E195" s="3"/>
      <c r="F195" s="89"/>
      <c r="G195" s="3"/>
      <c r="H195" s="89"/>
      <c r="I195" s="90"/>
      <c r="K195" s="31"/>
    </row>
    <row r="196" spans="2:11" s="13" customFormat="1" x14ac:dyDescent="0.2">
      <c r="B196" s="3"/>
      <c r="C196" s="3"/>
      <c r="D196" s="3"/>
      <c r="E196" s="3"/>
      <c r="F196" s="89"/>
      <c r="G196" s="3"/>
      <c r="H196" s="89"/>
      <c r="I196" s="90"/>
      <c r="K196" s="31"/>
    </row>
    <row r="197" spans="2:11" s="13" customFormat="1" x14ac:dyDescent="0.2">
      <c r="B197" s="3"/>
      <c r="C197" s="3"/>
      <c r="D197" s="3"/>
      <c r="E197" s="3"/>
      <c r="F197" s="89"/>
      <c r="G197" s="3"/>
      <c r="H197" s="89"/>
      <c r="I197" s="90"/>
      <c r="K197" s="31"/>
    </row>
    <row r="198" spans="2:11" s="13" customFormat="1" x14ac:dyDescent="0.2">
      <c r="B198" s="3"/>
      <c r="C198" s="3"/>
      <c r="D198" s="3"/>
      <c r="E198" s="3"/>
      <c r="F198" s="89"/>
      <c r="G198" s="3"/>
      <c r="H198" s="89"/>
      <c r="I198" s="90"/>
      <c r="K198" s="31"/>
    </row>
    <row r="199" spans="2:11" s="13" customFormat="1" x14ac:dyDescent="0.2">
      <c r="B199" s="3"/>
      <c r="C199" s="3"/>
      <c r="D199" s="3"/>
      <c r="E199" s="3"/>
      <c r="F199" s="89"/>
      <c r="G199" s="3"/>
      <c r="H199" s="89"/>
      <c r="I199" s="90"/>
      <c r="K199" s="31"/>
    </row>
    <row r="200" spans="2:11" s="13" customFormat="1" x14ac:dyDescent="0.2">
      <c r="B200" s="3"/>
      <c r="C200" s="3"/>
      <c r="D200" s="3"/>
      <c r="E200" s="3"/>
      <c r="F200" s="89"/>
      <c r="G200" s="3"/>
      <c r="H200" s="89"/>
      <c r="I200" s="90"/>
      <c r="K200" s="31"/>
    </row>
    <row r="201" spans="2:11" s="13" customFormat="1" x14ac:dyDescent="0.2">
      <c r="B201" s="3"/>
      <c r="C201" s="3"/>
      <c r="D201" s="3"/>
      <c r="E201" s="3"/>
      <c r="F201" s="89"/>
      <c r="G201" s="3"/>
      <c r="H201" s="89"/>
      <c r="I201" s="90"/>
      <c r="K201" s="31"/>
    </row>
    <row r="202" spans="2:11" s="13" customFormat="1" x14ac:dyDescent="0.2">
      <c r="B202" s="3"/>
      <c r="C202" s="3"/>
      <c r="D202" s="3"/>
      <c r="E202" s="3"/>
      <c r="F202" s="89"/>
      <c r="G202" s="3"/>
      <c r="H202" s="89"/>
      <c r="I202" s="90"/>
      <c r="K202" s="31"/>
    </row>
    <row r="203" spans="2:11" s="13" customFormat="1" x14ac:dyDescent="0.2">
      <c r="B203" s="3"/>
      <c r="C203" s="3"/>
      <c r="D203" s="3"/>
      <c r="E203" s="3"/>
      <c r="F203" s="89"/>
      <c r="G203" s="3"/>
      <c r="H203" s="89"/>
      <c r="I203" s="90"/>
      <c r="K203" s="31"/>
    </row>
    <row r="204" spans="2:11" s="13" customFormat="1" x14ac:dyDescent="0.2">
      <c r="B204" s="3"/>
      <c r="C204" s="3"/>
      <c r="D204" s="3"/>
      <c r="E204" s="3"/>
      <c r="F204" s="89"/>
      <c r="G204" s="3"/>
      <c r="H204" s="89"/>
      <c r="I204" s="90"/>
      <c r="K204" s="31"/>
    </row>
    <row r="205" spans="2:11" s="13" customFormat="1" x14ac:dyDescent="0.2">
      <c r="B205" s="3"/>
      <c r="C205" s="3"/>
      <c r="D205" s="3"/>
      <c r="E205" s="3"/>
      <c r="F205" s="89"/>
      <c r="G205" s="3"/>
      <c r="H205" s="89"/>
      <c r="I205" s="90"/>
      <c r="K205" s="31"/>
    </row>
    <row r="206" spans="2:11" s="13" customFormat="1" x14ac:dyDescent="0.2">
      <c r="B206" s="3"/>
      <c r="C206" s="3"/>
      <c r="D206" s="3"/>
      <c r="E206" s="3"/>
      <c r="F206" s="89"/>
      <c r="G206" s="3"/>
      <c r="H206" s="89"/>
      <c r="I206" s="90"/>
      <c r="K206" s="31"/>
    </row>
    <row r="207" spans="2:11" s="13" customFormat="1" x14ac:dyDescent="0.2">
      <c r="B207" s="3"/>
      <c r="C207" s="3"/>
      <c r="D207" s="3"/>
      <c r="E207" s="3"/>
      <c r="F207" s="89"/>
      <c r="G207" s="3"/>
      <c r="H207" s="89"/>
      <c r="I207" s="90"/>
      <c r="K207" s="31"/>
    </row>
    <row r="208" spans="2:11" s="13" customFormat="1" x14ac:dyDescent="0.2">
      <c r="B208" s="3"/>
      <c r="C208" s="3"/>
      <c r="D208" s="3"/>
      <c r="E208" s="3"/>
      <c r="F208" s="89"/>
      <c r="G208" s="3"/>
      <c r="H208" s="89"/>
      <c r="I208" s="90"/>
      <c r="K208" s="31"/>
    </row>
    <row r="209" spans="2:11" s="13" customFormat="1" x14ac:dyDescent="0.2">
      <c r="B209" s="3"/>
      <c r="C209" s="3"/>
      <c r="D209" s="3"/>
      <c r="E209" s="3"/>
      <c r="F209" s="89"/>
      <c r="G209" s="3"/>
      <c r="H209" s="89"/>
      <c r="I209" s="90"/>
      <c r="K209" s="31"/>
    </row>
    <row r="210" spans="2:11" s="13" customFormat="1" x14ac:dyDescent="0.2">
      <c r="B210" s="3"/>
      <c r="C210" s="3"/>
      <c r="D210" s="3"/>
      <c r="E210" s="3"/>
      <c r="F210" s="89"/>
      <c r="G210" s="3"/>
      <c r="H210" s="89"/>
      <c r="I210" s="90"/>
      <c r="K210" s="31"/>
    </row>
    <row r="211" spans="2:11" s="13" customFormat="1" x14ac:dyDescent="0.2">
      <c r="B211" s="3"/>
      <c r="C211" s="3"/>
      <c r="D211" s="3"/>
      <c r="E211" s="3"/>
      <c r="F211" s="89"/>
      <c r="G211" s="3"/>
      <c r="H211" s="89"/>
      <c r="I211" s="90"/>
      <c r="K211" s="31"/>
    </row>
    <row r="212" spans="2:11" s="13" customFormat="1" x14ac:dyDescent="0.2">
      <c r="B212" s="3"/>
      <c r="C212" s="3"/>
      <c r="D212" s="3"/>
      <c r="E212" s="3"/>
      <c r="F212" s="89"/>
      <c r="G212" s="3"/>
      <c r="H212" s="89"/>
      <c r="I212" s="90"/>
      <c r="K212" s="31"/>
    </row>
    <row r="213" spans="2:11" s="13" customFormat="1" x14ac:dyDescent="0.2">
      <c r="B213" s="3"/>
      <c r="C213" s="3"/>
      <c r="D213" s="3"/>
      <c r="E213" s="3"/>
      <c r="F213" s="89"/>
      <c r="G213" s="3"/>
      <c r="H213" s="89"/>
      <c r="I213" s="90"/>
      <c r="K213" s="31"/>
    </row>
    <row r="214" spans="2:11" s="13" customFormat="1" x14ac:dyDescent="0.2">
      <c r="B214" s="3"/>
      <c r="C214" s="3"/>
      <c r="D214" s="3"/>
      <c r="E214" s="3"/>
      <c r="F214" s="89"/>
      <c r="G214" s="3"/>
      <c r="H214" s="89"/>
      <c r="I214" s="90"/>
      <c r="K214" s="31"/>
    </row>
    <row r="215" spans="2:11" s="13" customFormat="1" x14ac:dyDescent="0.2">
      <c r="B215" s="3"/>
      <c r="C215" s="3"/>
      <c r="D215" s="3"/>
      <c r="E215" s="3"/>
      <c r="F215" s="89"/>
      <c r="G215" s="3"/>
      <c r="H215" s="89"/>
      <c r="I215" s="90"/>
      <c r="K215" s="31"/>
    </row>
    <row r="216" spans="2:11" s="13" customFormat="1" x14ac:dyDescent="0.2">
      <c r="B216" s="3"/>
      <c r="C216" s="3"/>
      <c r="D216" s="3"/>
      <c r="E216" s="3"/>
      <c r="F216" s="89"/>
      <c r="G216" s="3"/>
      <c r="H216" s="89"/>
      <c r="I216" s="90"/>
      <c r="K216" s="31"/>
    </row>
    <row r="217" spans="2:11" s="13" customFormat="1" x14ac:dyDescent="0.2">
      <c r="B217" s="3"/>
      <c r="C217" s="3"/>
      <c r="D217" s="3"/>
      <c r="E217" s="3"/>
      <c r="F217" s="89"/>
      <c r="G217" s="3"/>
      <c r="H217" s="89"/>
      <c r="I217" s="90"/>
      <c r="K217" s="31"/>
    </row>
    <row r="218" spans="2:11" s="13" customFormat="1" x14ac:dyDescent="0.2">
      <c r="B218" s="3"/>
      <c r="C218" s="3"/>
      <c r="D218" s="3"/>
      <c r="E218" s="3"/>
      <c r="F218" s="89"/>
      <c r="G218" s="3"/>
      <c r="H218" s="89"/>
      <c r="I218" s="90"/>
      <c r="K218" s="31"/>
    </row>
    <row r="219" spans="2:11" s="13" customFormat="1" x14ac:dyDescent="0.2">
      <c r="B219" s="3"/>
      <c r="C219" s="3"/>
      <c r="D219" s="3"/>
      <c r="E219" s="3"/>
      <c r="F219" s="89"/>
      <c r="G219" s="3"/>
      <c r="H219" s="89"/>
      <c r="I219" s="90"/>
      <c r="K219" s="31"/>
    </row>
    <row r="220" spans="2:11" s="13" customFormat="1" x14ac:dyDescent="0.2">
      <c r="B220" s="3"/>
      <c r="C220" s="3"/>
      <c r="D220" s="3"/>
      <c r="E220" s="3"/>
      <c r="F220" s="89"/>
      <c r="G220" s="3"/>
      <c r="H220" s="89"/>
      <c r="I220" s="90"/>
      <c r="K220" s="31"/>
    </row>
    <row r="221" spans="2:11" s="13" customFormat="1" x14ac:dyDescent="0.2">
      <c r="B221" s="3"/>
      <c r="C221" s="3"/>
      <c r="D221" s="3"/>
      <c r="E221" s="3"/>
      <c r="F221" s="89"/>
      <c r="G221" s="3"/>
      <c r="H221" s="89"/>
      <c r="I221" s="90"/>
      <c r="K221" s="31"/>
    </row>
    <row r="222" spans="2:11" s="13" customFormat="1" x14ac:dyDescent="0.2">
      <c r="B222" s="3"/>
      <c r="C222" s="3"/>
      <c r="D222" s="3"/>
      <c r="E222" s="3"/>
      <c r="F222" s="89"/>
      <c r="G222" s="3"/>
      <c r="H222" s="89"/>
      <c r="I222" s="90"/>
      <c r="K222" s="31"/>
    </row>
    <row r="223" spans="2:11" s="13" customFormat="1" x14ac:dyDescent="0.2">
      <c r="B223" s="3"/>
      <c r="C223" s="3"/>
      <c r="D223" s="3"/>
      <c r="E223" s="3"/>
      <c r="F223" s="89"/>
      <c r="G223" s="3"/>
      <c r="H223" s="89"/>
      <c r="I223" s="90"/>
      <c r="K223" s="31"/>
    </row>
    <row r="224" spans="2:11" s="13" customFormat="1" x14ac:dyDescent="0.2">
      <c r="B224" s="3"/>
      <c r="C224" s="3"/>
      <c r="D224" s="3"/>
      <c r="E224" s="3"/>
      <c r="F224" s="89"/>
      <c r="G224" s="3"/>
      <c r="H224" s="89"/>
      <c r="I224" s="90"/>
      <c r="K224" s="31"/>
    </row>
    <row r="225" spans="2:11" s="13" customFormat="1" x14ac:dyDescent="0.2">
      <c r="B225" s="3"/>
      <c r="C225" s="3"/>
      <c r="D225" s="3"/>
      <c r="E225" s="3"/>
      <c r="F225" s="89"/>
      <c r="G225" s="3"/>
      <c r="H225" s="89"/>
      <c r="I225" s="90"/>
      <c r="K225" s="31"/>
    </row>
    <row r="226" spans="2:11" s="13" customFormat="1" x14ac:dyDescent="0.2">
      <c r="B226" s="3"/>
      <c r="C226" s="3"/>
      <c r="D226" s="3"/>
      <c r="E226" s="3"/>
      <c r="F226" s="89"/>
      <c r="G226" s="3"/>
      <c r="H226" s="89"/>
      <c r="I226" s="90"/>
      <c r="K226" s="31"/>
    </row>
    <row r="227" spans="2:11" s="13" customFormat="1" x14ac:dyDescent="0.2">
      <c r="B227" s="3"/>
      <c r="C227" s="3"/>
      <c r="D227" s="3"/>
      <c r="E227" s="3"/>
      <c r="F227" s="89"/>
      <c r="G227" s="3"/>
      <c r="H227" s="89"/>
      <c r="I227" s="90"/>
      <c r="K227" s="31"/>
    </row>
    <row r="228" spans="2:11" s="13" customFormat="1" x14ac:dyDescent="0.2">
      <c r="B228" s="3"/>
      <c r="C228" s="3"/>
      <c r="D228" s="3"/>
      <c r="E228" s="3"/>
      <c r="F228" s="89"/>
      <c r="G228" s="3"/>
      <c r="H228" s="89"/>
      <c r="I228" s="90"/>
      <c r="K228" s="31"/>
    </row>
    <row r="229" spans="2:11" s="13" customFormat="1" x14ac:dyDescent="0.2">
      <c r="B229" s="3"/>
      <c r="C229" s="3"/>
      <c r="D229" s="3"/>
      <c r="E229" s="3"/>
      <c r="F229" s="89"/>
      <c r="G229" s="3"/>
      <c r="H229" s="89"/>
      <c r="I229" s="90"/>
      <c r="K229" s="31"/>
    </row>
    <row r="230" spans="2:11" s="13" customFormat="1" x14ac:dyDescent="0.2">
      <c r="B230" s="3"/>
      <c r="C230" s="3"/>
      <c r="D230" s="3"/>
      <c r="E230" s="3"/>
      <c r="F230" s="89"/>
      <c r="G230" s="3"/>
      <c r="H230" s="89"/>
      <c r="I230" s="90"/>
      <c r="K230" s="31"/>
    </row>
    <row r="231" spans="2:11" s="13" customFormat="1" x14ac:dyDescent="0.2">
      <c r="B231" s="3"/>
      <c r="C231" s="3"/>
      <c r="D231" s="3"/>
      <c r="E231" s="3"/>
      <c r="F231" s="89"/>
      <c r="G231" s="3"/>
      <c r="H231" s="89"/>
      <c r="I231" s="90"/>
      <c r="K231" s="31"/>
    </row>
    <row r="232" spans="2:11" s="13" customFormat="1" x14ac:dyDescent="0.2">
      <c r="B232" s="3"/>
      <c r="C232" s="3"/>
      <c r="D232" s="3"/>
      <c r="E232" s="3"/>
      <c r="F232" s="89"/>
      <c r="G232" s="3"/>
      <c r="H232" s="89"/>
      <c r="I232" s="90"/>
      <c r="K232" s="31"/>
    </row>
    <row r="233" spans="2:11" s="13" customFormat="1" x14ac:dyDescent="0.2">
      <c r="B233" s="3"/>
      <c r="C233" s="3"/>
      <c r="D233" s="3"/>
      <c r="E233" s="3"/>
      <c r="F233" s="89"/>
      <c r="G233" s="3"/>
      <c r="H233" s="89"/>
      <c r="I233" s="90"/>
      <c r="K233" s="31"/>
    </row>
    <row r="234" spans="2:11" s="13" customFormat="1" x14ac:dyDescent="0.2">
      <c r="B234" s="3"/>
      <c r="C234" s="3"/>
      <c r="D234" s="3"/>
      <c r="E234" s="3"/>
      <c r="F234" s="89"/>
      <c r="G234" s="3"/>
      <c r="H234" s="89"/>
      <c r="I234" s="90"/>
      <c r="K234" s="31"/>
    </row>
    <row r="235" spans="2:11" s="13" customFormat="1" x14ac:dyDescent="0.2">
      <c r="B235" s="3"/>
      <c r="C235" s="3"/>
      <c r="D235" s="3"/>
      <c r="E235" s="3"/>
      <c r="F235" s="89"/>
      <c r="G235" s="3"/>
      <c r="H235" s="89"/>
      <c r="I235" s="90"/>
      <c r="K235" s="31"/>
    </row>
    <row r="236" spans="2:11" s="13" customFormat="1" x14ac:dyDescent="0.2">
      <c r="B236" s="3"/>
      <c r="C236" s="3"/>
      <c r="D236" s="3"/>
      <c r="E236" s="3"/>
      <c r="F236" s="89"/>
      <c r="G236" s="3"/>
      <c r="H236" s="89"/>
      <c r="I236" s="90"/>
      <c r="K236" s="31"/>
    </row>
    <row r="237" spans="2:11" s="13" customFormat="1" x14ac:dyDescent="0.2">
      <c r="B237" s="3"/>
      <c r="C237" s="3"/>
      <c r="D237" s="3"/>
      <c r="E237" s="3"/>
      <c r="F237" s="89"/>
      <c r="G237" s="3"/>
      <c r="H237" s="89"/>
      <c r="I237" s="90"/>
      <c r="K237" s="31"/>
    </row>
    <row r="238" spans="2:11" s="13" customFormat="1" x14ac:dyDescent="0.2">
      <c r="B238" s="3"/>
      <c r="C238" s="3"/>
      <c r="D238" s="3"/>
      <c r="E238" s="3"/>
      <c r="F238" s="89"/>
      <c r="G238" s="3"/>
      <c r="H238" s="89"/>
      <c r="I238" s="90"/>
      <c r="K238" s="31"/>
    </row>
    <row r="239" spans="2:11" s="13" customFormat="1" x14ac:dyDescent="0.2">
      <c r="B239" s="3"/>
      <c r="C239" s="3"/>
      <c r="D239" s="3"/>
      <c r="E239" s="3"/>
      <c r="F239" s="89"/>
      <c r="G239" s="3"/>
      <c r="H239" s="89"/>
      <c r="I239" s="90"/>
      <c r="K239" s="31"/>
    </row>
    <row r="240" spans="2:11" s="13" customFormat="1" x14ac:dyDescent="0.2">
      <c r="B240" s="3"/>
      <c r="C240" s="3"/>
      <c r="D240" s="3"/>
      <c r="E240" s="3"/>
      <c r="F240" s="89"/>
      <c r="G240" s="3"/>
      <c r="H240" s="89"/>
      <c r="I240" s="90"/>
      <c r="K240" s="31"/>
    </row>
    <row r="241" spans="2:11" s="13" customFormat="1" x14ac:dyDescent="0.2">
      <c r="B241" s="3"/>
      <c r="C241" s="3"/>
      <c r="D241" s="3"/>
      <c r="E241" s="3"/>
      <c r="F241" s="89"/>
      <c r="G241" s="3"/>
      <c r="H241" s="89"/>
      <c r="I241" s="90"/>
      <c r="K241" s="31"/>
    </row>
    <row r="242" spans="2:11" s="13" customFormat="1" x14ac:dyDescent="0.2">
      <c r="B242" s="3"/>
      <c r="C242" s="3"/>
      <c r="D242" s="3"/>
      <c r="E242" s="3"/>
      <c r="F242" s="89"/>
      <c r="G242" s="3"/>
      <c r="H242" s="89"/>
      <c r="I242" s="90"/>
      <c r="K242" s="31"/>
    </row>
    <row r="243" spans="2:11" s="13" customFormat="1" x14ac:dyDescent="0.2">
      <c r="B243" s="3"/>
      <c r="C243" s="3"/>
      <c r="D243" s="3"/>
      <c r="E243" s="3"/>
      <c r="F243" s="89"/>
      <c r="G243" s="3"/>
      <c r="H243" s="89"/>
      <c r="I243" s="90"/>
      <c r="K243" s="31"/>
    </row>
    <row r="244" spans="2:11" s="13" customFormat="1" x14ac:dyDescent="0.2">
      <c r="B244" s="3"/>
      <c r="C244" s="3"/>
      <c r="D244" s="3"/>
      <c r="E244" s="3"/>
      <c r="F244" s="89"/>
      <c r="G244" s="3"/>
      <c r="H244" s="89"/>
      <c r="I244" s="90"/>
      <c r="K244" s="31"/>
    </row>
    <row r="245" spans="2:11" s="13" customFormat="1" x14ac:dyDescent="0.2">
      <c r="B245" s="3"/>
      <c r="C245" s="3"/>
      <c r="D245" s="3"/>
      <c r="E245" s="3"/>
      <c r="F245" s="89"/>
      <c r="G245" s="3"/>
      <c r="H245" s="89"/>
      <c r="I245" s="90"/>
      <c r="K245" s="31"/>
    </row>
    <row r="246" spans="2:11" s="13" customFormat="1" x14ac:dyDescent="0.2">
      <c r="B246" s="3"/>
      <c r="C246" s="3"/>
      <c r="D246" s="3"/>
      <c r="E246" s="3"/>
      <c r="F246" s="89"/>
      <c r="G246" s="3"/>
      <c r="H246" s="89"/>
      <c r="I246" s="90"/>
      <c r="K246" s="31"/>
    </row>
    <row r="247" spans="2:11" s="13" customFormat="1" x14ac:dyDescent="0.2">
      <c r="B247" s="3"/>
      <c r="C247" s="3"/>
      <c r="D247" s="3"/>
      <c r="E247" s="3"/>
      <c r="F247" s="89"/>
      <c r="G247" s="3"/>
      <c r="H247" s="89"/>
      <c r="I247" s="90"/>
      <c r="K247" s="31"/>
    </row>
    <row r="248" spans="2:11" s="13" customFormat="1" x14ac:dyDescent="0.2">
      <c r="B248" s="3"/>
      <c r="C248" s="3"/>
      <c r="D248" s="3"/>
      <c r="E248" s="3"/>
      <c r="F248" s="89"/>
      <c r="G248" s="3"/>
      <c r="H248" s="89"/>
      <c r="I248" s="90"/>
      <c r="K248" s="31"/>
    </row>
    <row r="249" spans="2:11" s="13" customFormat="1" x14ac:dyDescent="0.2">
      <c r="B249" s="3"/>
      <c r="C249" s="3"/>
      <c r="D249" s="3"/>
      <c r="E249" s="3"/>
      <c r="F249" s="89"/>
      <c r="G249" s="3"/>
      <c r="H249" s="89"/>
      <c r="I249" s="90"/>
      <c r="K249" s="31"/>
    </row>
    <row r="250" spans="2:11" s="13" customFormat="1" x14ac:dyDescent="0.2">
      <c r="B250" s="3"/>
      <c r="C250" s="3"/>
      <c r="D250" s="3"/>
      <c r="E250" s="3"/>
      <c r="F250" s="89"/>
      <c r="G250" s="3"/>
      <c r="H250" s="89"/>
      <c r="I250" s="90"/>
      <c r="K250" s="31"/>
    </row>
    <row r="251" spans="2:11" s="13" customFormat="1" x14ac:dyDescent="0.2">
      <c r="B251" s="3"/>
      <c r="C251" s="3"/>
      <c r="D251" s="3"/>
      <c r="E251" s="3"/>
      <c r="F251" s="89"/>
      <c r="G251" s="3"/>
      <c r="H251" s="89"/>
      <c r="I251" s="90"/>
      <c r="K251" s="31"/>
    </row>
    <row r="252" spans="2:11" s="13" customFormat="1" x14ac:dyDescent="0.2">
      <c r="B252" s="3"/>
      <c r="C252" s="3"/>
      <c r="D252" s="3"/>
      <c r="E252" s="3"/>
      <c r="F252" s="89"/>
      <c r="G252" s="3"/>
      <c r="H252" s="89"/>
      <c r="I252" s="90"/>
      <c r="K252" s="31"/>
    </row>
    <row r="253" spans="2:11" s="13" customFormat="1" x14ac:dyDescent="0.2">
      <c r="B253" s="3"/>
      <c r="C253" s="3"/>
      <c r="D253" s="3"/>
      <c r="E253" s="3"/>
      <c r="F253" s="89"/>
      <c r="G253" s="3"/>
      <c r="H253" s="89"/>
      <c r="I253" s="90"/>
      <c r="K253" s="31"/>
    </row>
    <row r="254" spans="2:11" s="13" customFormat="1" x14ac:dyDescent="0.2">
      <c r="B254" s="3"/>
      <c r="C254" s="3"/>
      <c r="D254" s="3"/>
      <c r="E254" s="3"/>
      <c r="F254" s="89"/>
      <c r="G254" s="3"/>
      <c r="H254" s="89"/>
      <c r="I254" s="90"/>
      <c r="K254" s="31"/>
    </row>
    <row r="255" spans="2:11" s="13" customFormat="1" x14ac:dyDescent="0.2">
      <c r="B255" s="3"/>
      <c r="C255" s="3"/>
      <c r="D255" s="3"/>
      <c r="E255" s="3"/>
      <c r="F255" s="89"/>
      <c r="G255" s="3"/>
      <c r="H255" s="89"/>
      <c r="I255" s="90"/>
      <c r="K255" s="31"/>
    </row>
    <row r="256" spans="2:11" s="13" customFormat="1" x14ac:dyDescent="0.2">
      <c r="B256" s="3"/>
      <c r="C256" s="3"/>
      <c r="D256" s="3"/>
      <c r="E256" s="3"/>
      <c r="F256" s="89"/>
      <c r="G256" s="3"/>
      <c r="H256" s="89"/>
      <c r="I256" s="90"/>
      <c r="K256" s="31"/>
    </row>
    <row r="257" spans="2:11" s="13" customFormat="1" x14ac:dyDescent="0.2">
      <c r="B257" s="3"/>
      <c r="C257" s="3"/>
      <c r="D257" s="3"/>
      <c r="E257" s="3"/>
      <c r="F257" s="89"/>
      <c r="G257" s="3"/>
      <c r="H257" s="89"/>
      <c r="I257" s="90"/>
      <c r="K257" s="31"/>
    </row>
    <row r="258" spans="2:11" s="13" customFormat="1" x14ac:dyDescent="0.2">
      <c r="B258" s="3"/>
      <c r="C258" s="3"/>
      <c r="D258" s="3"/>
      <c r="E258" s="3"/>
      <c r="F258" s="89"/>
      <c r="G258" s="3"/>
      <c r="H258" s="89"/>
      <c r="I258" s="90"/>
      <c r="K258" s="31"/>
    </row>
    <row r="259" spans="2:11" s="13" customFormat="1" x14ac:dyDescent="0.2">
      <c r="B259" s="3"/>
      <c r="C259" s="3"/>
      <c r="D259" s="3"/>
      <c r="E259" s="3"/>
      <c r="F259" s="89"/>
      <c r="G259" s="3"/>
      <c r="H259" s="89"/>
      <c r="I259" s="90"/>
      <c r="K259" s="31"/>
    </row>
    <row r="260" spans="2:11" s="13" customFormat="1" x14ac:dyDescent="0.2">
      <c r="B260" s="3"/>
      <c r="C260" s="3"/>
      <c r="D260" s="3"/>
      <c r="E260" s="3"/>
      <c r="F260" s="89"/>
      <c r="G260" s="3"/>
      <c r="H260" s="89"/>
      <c r="I260" s="90"/>
      <c r="K260" s="31"/>
    </row>
    <row r="261" spans="2:11" s="13" customFormat="1" x14ac:dyDescent="0.2">
      <c r="B261" s="3"/>
      <c r="C261" s="3"/>
      <c r="D261" s="3"/>
      <c r="E261" s="3"/>
      <c r="F261" s="89"/>
      <c r="G261" s="3"/>
      <c r="H261" s="89"/>
      <c r="I261" s="90"/>
      <c r="K261" s="31"/>
    </row>
    <row r="262" spans="2:11" s="13" customFormat="1" x14ac:dyDescent="0.2">
      <c r="B262" s="3"/>
      <c r="C262" s="3"/>
      <c r="D262" s="3"/>
      <c r="E262" s="3"/>
      <c r="F262" s="89"/>
      <c r="G262" s="3"/>
      <c r="H262" s="89"/>
      <c r="I262" s="90"/>
      <c r="K262" s="31"/>
    </row>
    <row r="263" spans="2:11" s="13" customFormat="1" x14ac:dyDescent="0.2">
      <c r="B263" s="3"/>
      <c r="C263" s="3"/>
      <c r="D263" s="3"/>
      <c r="E263" s="3"/>
      <c r="F263" s="89"/>
      <c r="G263" s="3"/>
      <c r="H263" s="89"/>
      <c r="I263" s="90"/>
      <c r="K263" s="31"/>
    </row>
    <row r="264" spans="2:11" s="13" customFormat="1" x14ac:dyDescent="0.2">
      <c r="B264" s="3"/>
      <c r="C264" s="3"/>
      <c r="D264" s="3"/>
      <c r="E264" s="3"/>
      <c r="F264" s="89"/>
      <c r="G264" s="3"/>
      <c r="H264" s="89"/>
      <c r="I264" s="90"/>
      <c r="K264" s="31"/>
    </row>
    <row r="265" spans="2:11" s="13" customFormat="1" x14ac:dyDescent="0.2">
      <c r="B265" s="3"/>
      <c r="C265" s="3"/>
      <c r="D265" s="3"/>
      <c r="E265" s="3"/>
      <c r="F265" s="89"/>
      <c r="G265" s="3"/>
      <c r="H265" s="89"/>
      <c r="I265" s="90"/>
      <c r="K265" s="31"/>
    </row>
    <row r="266" spans="2:11" s="13" customFormat="1" x14ac:dyDescent="0.2">
      <c r="B266" s="3"/>
      <c r="C266" s="3"/>
      <c r="D266" s="3"/>
      <c r="E266" s="3"/>
      <c r="F266" s="89"/>
      <c r="G266" s="3"/>
      <c r="H266" s="89"/>
      <c r="I266" s="90"/>
      <c r="K266" s="31"/>
    </row>
    <row r="267" spans="2:11" s="13" customFormat="1" x14ac:dyDescent="0.2">
      <c r="B267" s="3"/>
      <c r="C267" s="3"/>
      <c r="D267" s="3"/>
      <c r="E267" s="3"/>
      <c r="F267" s="89"/>
      <c r="G267" s="3"/>
      <c r="H267" s="89"/>
      <c r="I267" s="90"/>
      <c r="K267" s="31"/>
    </row>
    <row r="268" spans="2:11" s="13" customFormat="1" x14ac:dyDescent="0.2">
      <c r="B268" s="3"/>
      <c r="C268" s="3"/>
      <c r="D268" s="3"/>
      <c r="E268" s="3"/>
      <c r="F268" s="89"/>
      <c r="G268" s="3"/>
      <c r="H268" s="89"/>
      <c r="I268" s="90"/>
      <c r="K268" s="31"/>
    </row>
    <row r="269" spans="2:11" s="13" customFormat="1" x14ac:dyDescent="0.2">
      <c r="B269" s="3"/>
      <c r="C269" s="3"/>
      <c r="D269" s="3"/>
      <c r="E269" s="3"/>
      <c r="F269" s="89"/>
      <c r="G269" s="3"/>
      <c r="H269" s="89"/>
      <c r="I269" s="90"/>
      <c r="K269" s="31"/>
    </row>
    <row r="270" spans="2:11" s="13" customFormat="1" x14ac:dyDescent="0.2">
      <c r="B270" s="3"/>
      <c r="C270" s="3"/>
      <c r="D270" s="3"/>
      <c r="E270" s="3"/>
      <c r="F270" s="89"/>
      <c r="G270" s="3"/>
      <c r="H270" s="89"/>
      <c r="I270" s="90"/>
      <c r="K270" s="31"/>
    </row>
    <row r="271" spans="2:11" s="13" customFormat="1" x14ac:dyDescent="0.2">
      <c r="B271" s="3"/>
      <c r="C271" s="3"/>
      <c r="D271" s="3"/>
      <c r="E271" s="3"/>
      <c r="F271" s="89"/>
      <c r="G271" s="3"/>
      <c r="H271" s="89"/>
      <c r="I271" s="90"/>
      <c r="K271" s="31"/>
    </row>
    <row r="272" spans="2:11" s="13" customFormat="1" x14ac:dyDescent="0.2">
      <c r="B272" s="3"/>
      <c r="C272" s="3"/>
      <c r="D272" s="3"/>
      <c r="E272" s="3"/>
      <c r="F272" s="89"/>
      <c r="G272" s="3"/>
      <c r="H272" s="89"/>
      <c r="I272" s="90"/>
      <c r="K272" s="31"/>
    </row>
    <row r="273" spans="2:11" s="13" customFormat="1" x14ac:dyDescent="0.2">
      <c r="B273" s="3"/>
      <c r="C273" s="3"/>
      <c r="D273" s="3"/>
      <c r="E273" s="3"/>
      <c r="F273" s="89"/>
      <c r="G273" s="3"/>
      <c r="H273" s="89"/>
      <c r="I273" s="90"/>
      <c r="K273" s="31"/>
    </row>
    <row r="274" spans="2:11" s="13" customFormat="1" x14ac:dyDescent="0.2">
      <c r="B274" s="3"/>
      <c r="C274" s="3"/>
      <c r="D274" s="3"/>
      <c r="E274" s="3"/>
      <c r="F274" s="89"/>
      <c r="G274" s="3"/>
      <c r="H274" s="89"/>
      <c r="I274" s="90"/>
      <c r="K274" s="31"/>
    </row>
    <row r="275" spans="2:11" s="13" customFormat="1" x14ac:dyDescent="0.2">
      <c r="B275" s="3"/>
      <c r="C275" s="3"/>
      <c r="D275" s="3"/>
      <c r="E275" s="3"/>
      <c r="F275" s="89"/>
      <c r="G275" s="3"/>
      <c r="H275" s="89"/>
      <c r="I275" s="90"/>
      <c r="K275" s="31"/>
    </row>
    <row r="276" spans="2:11" s="13" customFormat="1" x14ac:dyDescent="0.2">
      <c r="B276" s="3"/>
      <c r="C276" s="3"/>
      <c r="D276" s="3"/>
      <c r="E276" s="3"/>
      <c r="F276" s="89"/>
      <c r="G276" s="3"/>
      <c r="H276" s="89"/>
      <c r="I276" s="90"/>
      <c r="K276" s="31"/>
    </row>
    <row r="277" spans="2:11" s="13" customFormat="1" x14ac:dyDescent="0.2">
      <c r="B277" s="3"/>
      <c r="C277" s="3"/>
      <c r="D277" s="3"/>
      <c r="E277" s="3"/>
      <c r="F277" s="89"/>
      <c r="G277" s="3"/>
      <c r="H277" s="89"/>
      <c r="I277" s="90"/>
      <c r="K277" s="31"/>
    </row>
    <row r="278" spans="2:11" s="13" customFormat="1" x14ac:dyDescent="0.2">
      <c r="B278" s="3"/>
      <c r="C278" s="3"/>
      <c r="D278" s="3"/>
      <c r="E278" s="3"/>
      <c r="F278" s="89"/>
      <c r="G278" s="3"/>
      <c r="H278" s="89"/>
      <c r="I278" s="90"/>
      <c r="K278" s="31"/>
    </row>
    <row r="279" spans="2:11" s="13" customFormat="1" x14ac:dyDescent="0.2">
      <c r="B279" s="3"/>
      <c r="C279" s="3"/>
      <c r="D279" s="3"/>
      <c r="E279" s="3"/>
      <c r="F279" s="89"/>
      <c r="G279" s="3"/>
      <c r="H279" s="89"/>
      <c r="I279" s="90"/>
      <c r="K279" s="31"/>
    </row>
    <row r="280" spans="2:11" s="13" customFormat="1" x14ac:dyDescent="0.2">
      <c r="B280" s="3"/>
      <c r="C280" s="3"/>
      <c r="D280" s="3"/>
      <c r="E280" s="3"/>
      <c r="F280" s="89"/>
      <c r="G280" s="3"/>
      <c r="H280" s="89"/>
      <c r="I280" s="90"/>
      <c r="K280" s="31"/>
    </row>
    <row r="281" spans="2:11" s="13" customFormat="1" x14ac:dyDescent="0.2">
      <c r="B281" s="3"/>
      <c r="C281" s="3"/>
      <c r="D281" s="3"/>
      <c r="E281" s="3"/>
      <c r="F281" s="89"/>
      <c r="G281" s="3"/>
      <c r="H281" s="89"/>
      <c r="I281" s="90"/>
      <c r="K281" s="31"/>
    </row>
    <row r="282" spans="2:11" s="13" customFormat="1" x14ac:dyDescent="0.2">
      <c r="B282" s="3"/>
      <c r="C282" s="3"/>
      <c r="D282" s="3"/>
      <c r="E282" s="3"/>
      <c r="F282" s="89"/>
      <c r="G282" s="3"/>
      <c r="H282" s="89"/>
      <c r="I282" s="90"/>
      <c r="K282" s="31"/>
    </row>
    <row r="283" spans="2:11" s="13" customFormat="1" x14ac:dyDescent="0.2">
      <c r="B283" s="3"/>
      <c r="C283" s="3"/>
      <c r="D283" s="3"/>
      <c r="E283" s="3"/>
      <c r="F283" s="89"/>
      <c r="G283" s="3"/>
      <c r="H283" s="89"/>
      <c r="I283" s="90"/>
      <c r="K283" s="31"/>
    </row>
    <row r="284" spans="2:11" s="13" customFormat="1" x14ac:dyDescent="0.2">
      <c r="B284" s="3"/>
      <c r="C284" s="3"/>
      <c r="D284" s="3"/>
      <c r="E284" s="3"/>
      <c r="F284" s="89"/>
      <c r="G284" s="3"/>
      <c r="H284" s="89"/>
      <c r="I284" s="90"/>
      <c r="K284" s="31"/>
    </row>
    <row r="285" spans="2:11" s="13" customFormat="1" x14ac:dyDescent="0.2">
      <c r="B285" s="3"/>
      <c r="C285" s="3"/>
      <c r="D285" s="3"/>
      <c r="E285" s="3"/>
      <c r="F285" s="89"/>
      <c r="G285" s="3"/>
      <c r="H285" s="89"/>
      <c r="I285" s="90"/>
      <c r="K285" s="31"/>
    </row>
    <row r="286" spans="2:11" s="13" customFormat="1" x14ac:dyDescent="0.2">
      <c r="B286" s="3"/>
      <c r="C286" s="3"/>
      <c r="D286" s="3"/>
      <c r="E286" s="3"/>
      <c r="F286" s="89"/>
      <c r="G286" s="3"/>
      <c r="H286" s="89"/>
      <c r="I286" s="90"/>
      <c r="K286" s="31"/>
    </row>
    <row r="287" spans="2:11" s="13" customFormat="1" x14ac:dyDescent="0.2">
      <c r="B287" s="3"/>
      <c r="C287" s="3"/>
      <c r="D287" s="3"/>
      <c r="E287" s="3"/>
      <c r="F287" s="89"/>
      <c r="G287" s="3"/>
      <c r="H287" s="89"/>
      <c r="I287" s="90"/>
      <c r="K287" s="31"/>
    </row>
    <row r="288" spans="2:11" s="13" customFormat="1" x14ac:dyDescent="0.2">
      <c r="B288" s="3"/>
      <c r="C288" s="3"/>
      <c r="D288" s="3"/>
      <c r="E288" s="3"/>
      <c r="F288" s="89"/>
      <c r="G288" s="3"/>
      <c r="H288" s="89"/>
      <c r="I288" s="90"/>
      <c r="K288" s="31"/>
    </row>
    <row r="289" spans="2:11" s="13" customFormat="1" x14ac:dyDescent="0.2">
      <c r="B289" s="3"/>
      <c r="C289" s="3"/>
      <c r="D289" s="3"/>
      <c r="E289" s="3"/>
      <c r="F289" s="89"/>
      <c r="G289" s="3"/>
      <c r="H289" s="89"/>
      <c r="I289" s="90"/>
      <c r="K289" s="31"/>
    </row>
    <row r="290" spans="2:11" s="13" customFormat="1" x14ac:dyDescent="0.2">
      <c r="B290" s="3"/>
      <c r="C290" s="3"/>
      <c r="D290" s="3"/>
      <c r="E290" s="3"/>
      <c r="F290" s="89"/>
      <c r="G290" s="3"/>
      <c r="H290" s="89"/>
      <c r="I290" s="90"/>
      <c r="K290" s="31"/>
    </row>
    <row r="291" spans="2:11" s="13" customFormat="1" x14ac:dyDescent="0.2">
      <c r="B291" s="3"/>
      <c r="C291" s="3"/>
      <c r="D291" s="3"/>
      <c r="E291" s="3"/>
      <c r="F291" s="89"/>
      <c r="G291" s="3"/>
      <c r="H291" s="89"/>
      <c r="I291" s="90"/>
      <c r="K291" s="31"/>
    </row>
    <row r="292" spans="2:11" s="13" customFormat="1" x14ac:dyDescent="0.2">
      <c r="B292" s="3"/>
      <c r="C292" s="3"/>
      <c r="D292" s="3"/>
      <c r="E292" s="3"/>
      <c r="F292" s="89"/>
      <c r="G292" s="3"/>
      <c r="H292" s="89"/>
      <c r="I292" s="90"/>
      <c r="K292" s="31"/>
    </row>
    <row r="293" spans="2:11" s="13" customFormat="1" x14ac:dyDescent="0.2">
      <c r="B293" s="3"/>
      <c r="C293" s="3"/>
      <c r="D293" s="3"/>
      <c r="E293" s="3"/>
      <c r="F293" s="89"/>
      <c r="G293" s="3"/>
      <c r="H293" s="89"/>
      <c r="I293" s="90"/>
      <c r="K293" s="31"/>
    </row>
    <row r="294" spans="2:11" s="13" customFormat="1" x14ac:dyDescent="0.2">
      <c r="B294" s="3"/>
      <c r="C294" s="3"/>
      <c r="D294" s="3"/>
      <c r="E294" s="3"/>
      <c r="F294" s="89"/>
      <c r="G294" s="3"/>
      <c r="H294" s="89"/>
      <c r="I294" s="90"/>
      <c r="K294" s="31"/>
    </row>
    <row r="295" spans="2:11" s="13" customFormat="1" x14ac:dyDescent="0.2">
      <c r="B295" s="3"/>
      <c r="C295" s="3"/>
      <c r="D295" s="3"/>
      <c r="E295" s="3"/>
      <c r="F295" s="89"/>
      <c r="G295" s="3"/>
      <c r="H295" s="89"/>
      <c r="I295" s="90"/>
      <c r="K295" s="31"/>
    </row>
    <row r="296" spans="2:11" s="13" customFormat="1" x14ac:dyDescent="0.2">
      <c r="B296" s="3"/>
      <c r="C296" s="3"/>
      <c r="D296" s="3"/>
      <c r="E296" s="3"/>
      <c r="F296" s="89"/>
      <c r="G296" s="3"/>
      <c r="H296" s="89"/>
      <c r="I296" s="90"/>
      <c r="K296" s="31"/>
    </row>
    <row r="297" spans="2:11" s="13" customFormat="1" x14ac:dyDescent="0.2">
      <c r="B297" s="3"/>
      <c r="C297" s="3"/>
      <c r="D297" s="3"/>
      <c r="E297" s="3"/>
      <c r="F297" s="89"/>
      <c r="G297" s="3"/>
      <c r="H297" s="89"/>
      <c r="I297" s="90"/>
      <c r="K297" s="31"/>
    </row>
    <row r="298" spans="2:11" s="13" customFormat="1" x14ac:dyDescent="0.2">
      <c r="B298" s="3"/>
      <c r="C298" s="3"/>
      <c r="D298" s="3"/>
      <c r="E298" s="3"/>
      <c r="F298" s="89"/>
      <c r="G298" s="3"/>
      <c r="H298" s="89"/>
      <c r="I298" s="90"/>
      <c r="K298" s="31"/>
    </row>
    <row r="299" spans="2:11" s="13" customFormat="1" x14ac:dyDescent="0.2">
      <c r="B299" s="3"/>
      <c r="C299" s="3"/>
      <c r="D299" s="3"/>
      <c r="E299" s="3"/>
      <c r="F299" s="89"/>
      <c r="G299" s="3"/>
      <c r="H299" s="89"/>
      <c r="I299" s="90"/>
      <c r="K299" s="31"/>
    </row>
    <row r="300" spans="2:11" s="13" customFormat="1" x14ac:dyDescent="0.2">
      <c r="B300" s="3"/>
      <c r="C300" s="3"/>
      <c r="D300" s="3"/>
      <c r="E300" s="3"/>
      <c r="F300" s="89"/>
      <c r="G300" s="3"/>
      <c r="H300" s="89"/>
      <c r="I300" s="90"/>
      <c r="K300" s="31"/>
    </row>
    <row r="301" spans="2:11" s="13" customFormat="1" x14ac:dyDescent="0.2">
      <c r="B301" s="3"/>
      <c r="C301" s="3"/>
      <c r="D301" s="3"/>
      <c r="E301" s="3"/>
      <c r="F301" s="89"/>
      <c r="G301" s="3"/>
      <c r="H301" s="89"/>
      <c r="I301" s="90"/>
      <c r="K301" s="31"/>
    </row>
    <row r="302" spans="2:11" s="13" customFormat="1" x14ac:dyDescent="0.2">
      <c r="B302" s="3"/>
      <c r="C302" s="3"/>
      <c r="D302" s="3"/>
      <c r="E302" s="3"/>
      <c r="F302" s="89"/>
      <c r="G302" s="3"/>
      <c r="H302" s="89"/>
      <c r="I302" s="90"/>
      <c r="K302" s="31"/>
    </row>
    <row r="303" spans="2:11" s="13" customFormat="1" x14ac:dyDescent="0.2">
      <c r="B303" s="3"/>
      <c r="C303" s="3"/>
      <c r="D303" s="3"/>
      <c r="E303" s="3"/>
      <c r="F303" s="89"/>
      <c r="G303" s="3"/>
      <c r="H303" s="89"/>
      <c r="I303" s="90"/>
      <c r="K303" s="31"/>
    </row>
    <row r="304" spans="2:11" s="13" customFormat="1" x14ac:dyDescent="0.2">
      <c r="B304" s="3"/>
      <c r="C304" s="3"/>
      <c r="D304" s="3"/>
      <c r="E304" s="3"/>
      <c r="F304" s="89"/>
      <c r="G304" s="3"/>
      <c r="H304" s="89"/>
      <c r="I304" s="90"/>
      <c r="K304" s="31"/>
    </row>
    <row r="305" spans="2:11" s="13" customFormat="1" x14ac:dyDescent="0.2">
      <c r="B305" s="3"/>
      <c r="C305" s="3"/>
      <c r="D305" s="3"/>
      <c r="E305" s="3"/>
      <c r="F305" s="89"/>
      <c r="G305" s="3"/>
      <c r="H305" s="89"/>
      <c r="I305" s="90"/>
      <c r="K305" s="31"/>
    </row>
    <row r="306" spans="2:11" s="13" customFormat="1" x14ac:dyDescent="0.2">
      <c r="B306" s="3"/>
      <c r="C306" s="3"/>
      <c r="D306" s="3"/>
      <c r="E306" s="3"/>
      <c r="F306" s="89"/>
      <c r="G306" s="3"/>
      <c r="H306" s="89"/>
      <c r="I306" s="90"/>
      <c r="K306" s="31"/>
    </row>
    <row r="307" spans="2:11" s="13" customFormat="1" x14ac:dyDescent="0.2">
      <c r="B307" s="3"/>
      <c r="C307" s="3"/>
      <c r="D307" s="3"/>
      <c r="E307" s="3"/>
      <c r="F307" s="89"/>
      <c r="G307" s="3"/>
      <c r="H307" s="89"/>
      <c r="I307" s="90"/>
      <c r="K307" s="31"/>
    </row>
    <row r="308" spans="2:11" s="13" customFormat="1" x14ac:dyDescent="0.2">
      <c r="B308" s="3"/>
      <c r="C308" s="3"/>
      <c r="D308" s="3"/>
      <c r="E308" s="3"/>
      <c r="F308" s="89"/>
      <c r="G308" s="3"/>
      <c r="H308" s="89"/>
      <c r="I308" s="90"/>
      <c r="K308" s="31"/>
    </row>
    <row r="309" spans="2:11" s="13" customFormat="1" x14ac:dyDescent="0.2">
      <c r="B309" s="3"/>
      <c r="C309" s="3"/>
      <c r="D309" s="3"/>
      <c r="E309" s="3"/>
      <c r="F309" s="89"/>
      <c r="G309" s="3"/>
      <c r="H309" s="89"/>
      <c r="I309" s="90"/>
      <c r="K309" s="31"/>
    </row>
    <row r="310" spans="2:11" s="13" customFormat="1" x14ac:dyDescent="0.2">
      <c r="B310" s="3"/>
      <c r="C310" s="3"/>
      <c r="D310" s="3"/>
      <c r="E310" s="3"/>
      <c r="F310" s="89"/>
      <c r="G310" s="3"/>
      <c r="H310" s="89"/>
      <c r="I310" s="90"/>
      <c r="K310" s="31"/>
    </row>
    <row r="311" spans="2:11" s="13" customFormat="1" x14ac:dyDescent="0.2">
      <c r="B311" s="3"/>
      <c r="C311" s="3"/>
      <c r="D311" s="3"/>
      <c r="E311" s="3"/>
      <c r="F311" s="89"/>
      <c r="G311" s="3"/>
      <c r="H311" s="89"/>
      <c r="I311" s="90"/>
      <c r="K311" s="31"/>
    </row>
    <row r="312" spans="2:11" s="13" customFormat="1" x14ac:dyDescent="0.2">
      <c r="B312" s="3"/>
      <c r="C312" s="3"/>
      <c r="D312" s="3"/>
      <c r="E312" s="3"/>
      <c r="F312" s="89"/>
      <c r="G312" s="3"/>
      <c r="H312" s="89"/>
      <c r="I312" s="90"/>
      <c r="K312" s="31"/>
    </row>
    <row r="313" spans="2:11" s="13" customFormat="1" x14ac:dyDescent="0.2">
      <c r="B313" s="3"/>
      <c r="C313" s="3"/>
      <c r="D313" s="3"/>
      <c r="E313" s="3"/>
      <c r="F313" s="89"/>
      <c r="G313" s="3"/>
      <c r="H313" s="89"/>
      <c r="I313" s="90"/>
      <c r="K313" s="31"/>
    </row>
    <row r="314" spans="2:11" s="13" customFormat="1" x14ac:dyDescent="0.2">
      <c r="B314" s="3"/>
      <c r="C314" s="3"/>
      <c r="D314" s="3"/>
      <c r="E314" s="3"/>
      <c r="F314" s="89"/>
      <c r="G314" s="3"/>
      <c r="H314" s="89"/>
      <c r="I314" s="90"/>
      <c r="K314" s="31"/>
    </row>
    <row r="315" spans="2:11" s="13" customFormat="1" x14ac:dyDescent="0.2">
      <c r="B315" s="3"/>
      <c r="C315" s="3"/>
      <c r="D315" s="3"/>
      <c r="E315" s="3"/>
      <c r="F315" s="89"/>
      <c r="G315" s="3"/>
      <c r="H315" s="89"/>
      <c r="I315" s="90"/>
      <c r="K315" s="31"/>
    </row>
    <row r="316" spans="2:11" s="13" customFormat="1" x14ac:dyDescent="0.2">
      <c r="B316" s="3"/>
      <c r="C316" s="3"/>
      <c r="D316" s="3"/>
      <c r="E316" s="3"/>
      <c r="F316" s="89"/>
      <c r="G316" s="3"/>
      <c r="H316" s="89"/>
      <c r="I316" s="90"/>
      <c r="K316" s="31"/>
    </row>
    <row r="317" spans="2:11" s="13" customFormat="1" x14ac:dyDescent="0.2">
      <c r="B317" s="3"/>
      <c r="C317" s="3"/>
      <c r="D317" s="3"/>
      <c r="E317" s="3"/>
      <c r="F317" s="89"/>
      <c r="G317" s="3"/>
      <c r="H317" s="89"/>
      <c r="I317" s="90"/>
      <c r="K317" s="31"/>
    </row>
    <row r="318" spans="2:11" s="13" customFormat="1" x14ac:dyDescent="0.2">
      <c r="B318" s="3"/>
      <c r="C318" s="3"/>
      <c r="D318" s="3"/>
      <c r="E318" s="3"/>
      <c r="F318" s="89"/>
      <c r="G318" s="3"/>
      <c r="H318" s="89"/>
      <c r="I318" s="90"/>
      <c r="K318" s="31"/>
    </row>
    <row r="319" spans="2:11" s="13" customFormat="1" x14ac:dyDescent="0.2">
      <c r="B319" s="3"/>
      <c r="C319" s="3"/>
      <c r="D319" s="3"/>
      <c r="E319" s="3"/>
      <c r="F319" s="89"/>
      <c r="G319" s="3"/>
      <c r="H319" s="89"/>
      <c r="I319" s="90"/>
      <c r="K319" s="31"/>
    </row>
    <row r="320" spans="2:11" s="13" customFormat="1" x14ac:dyDescent="0.2">
      <c r="B320" s="3"/>
      <c r="C320" s="3"/>
      <c r="D320" s="3"/>
      <c r="E320" s="3"/>
      <c r="F320" s="89"/>
      <c r="G320" s="3"/>
      <c r="H320" s="89"/>
      <c r="I320" s="90"/>
      <c r="K320" s="31"/>
    </row>
    <row r="321" spans="2:11" s="13" customFormat="1" x14ac:dyDescent="0.2">
      <c r="B321" s="3"/>
      <c r="C321" s="3"/>
      <c r="D321" s="3"/>
      <c r="E321" s="3"/>
      <c r="F321" s="89"/>
      <c r="G321" s="3"/>
      <c r="H321" s="89"/>
      <c r="I321" s="90"/>
      <c r="K321" s="31"/>
    </row>
    <row r="322" spans="2:11" s="13" customFormat="1" x14ac:dyDescent="0.2">
      <c r="B322" s="3"/>
      <c r="C322" s="3"/>
      <c r="D322" s="3"/>
      <c r="E322" s="3"/>
      <c r="F322" s="89"/>
      <c r="G322" s="3"/>
      <c r="H322" s="89"/>
      <c r="I322" s="90"/>
      <c r="K322" s="31"/>
    </row>
    <row r="323" spans="2:11" s="13" customFormat="1" x14ac:dyDescent="0.2">
      <c r="B323" s="3"/>
      <c r="C323" s="3"/>
      <c r="D323" s="3"/>
      <c r="E323" s="3"/>
      <c r="F323" s="89"/>
      <c r="G323" s="3"/>
      <c r="H323" s="89"/>
      <c r="I323" s="90"/>
      <c r="K323" s="31"/>
    </row>
    <row r="324" spans="2:11" s="13" customFormat="1" x14ac:dyDescent="0.2">
      <c r="B324" s="3"/>
      <c r="C324" s="3"/>
      <c r="D324" s="3"/>
      <c r="E324" s="3"/>
      <c r="F324" s="89"/>
      <c r="G324" s="3"/>
      <c r="H324" s="89"/>
      <c r="I324" s="90"/>
      <c r="K324" s="31"/>
    </row>
    <row r="325" spans="2:11" s="13" customFormat="1" x14ac:dyDescent="0.2">
      <c r="B325" s="3"/>
      <c r="C325" s="3"/>
      <c r="D325" s="3"/>
      <c r="E325" s="3"/>
      <c r="F325" s="89"/>
      <c r="G325" s="3"/>
      <c r="H325" s="89"/>
      <c r="I325" s="90"/>
      <c r="K325" s="31"/>
    </row>
    <row r="326" spans="2:11" s="13" customFormat="1" x14ac:dyDescent="0.2">
      <c r="B326" s="3"/>
      <c r="C326" s="3"/>
      <c r="D326" s="3"/>
      <c r="E326" s="3"/>
      <c r="F326" s="89"/>
      <c r="G326" s="3"/>
      <c r="H326" s="89"/>
      <c r="I326" s="90"/>
      <c r="K326" s="31"/>
    </row>
  </sheetData>
  <mergeCells count="36">
    <mergeCell ref="G48:H48"/>
    <mergeCell ref="G49:H49"/>
    <mergeCell ref="B39:B44"/>
    <mergeCell ref="C39:C44"/>
    <mergeCell ref="D39:D44"/>
    <mergeCell ref="E39:E44"/>
    <mergeCell ref="B47:B49"/>
    <mergeCell ref="C47:C49"/>
    <mergeCell ref="D47:D49"/>
    <mergeCell ref="G46:H46"/>
    <mergeCell ref="E46:F46"/>
    <mergeCell ref="E47:F49"/>
    <mergeCell ref="G47:H47"/>
    <mergeCell ref="B27:B32"/>
    <mergeCell ref="C27:C32"/>
    <mergeCell ref="D27:D32"/>
    <mergeCell ref="E27:E32"/>
    <mergeCell ref="B33:B38"/>
    <mergeCell ref="C33:C38"/>
    <mergeCell ref="D33:D38"/>
    <mergeCell ref="E33:E38"/>
    <mergeCell ref="B21:B26"/>
    <mergeCell ref="C21:C26"/>
    <mergeCell ref="D21:D26"/>
    <mergeCell ref="E21:E26"/>
    <mergeCell ref="B2:J2"/>
    <mergeCell ref="B4:J4"/>
    <mergeCell ref="B6:H8"/>
    <mergeCell ref="I6:J6"/>
    <mergeCell ref="I7:J8"/>
    <mergeCell ref="C10:J10"/>
    <mergeCell ref="C11:J11"/>
    <mergeCell ref="B14:B20"/>
    <mergeCell ref="C14:C20"/>
    <mergeCell ref="D14:D20"/>
    <mergeCell ref="E14:E20"/>
  </mergeCells>
  <conditionalFormatting sqref="I1 I50:I1048576">
    <cfRule type="cellIs" dxfId="355" priority="22" operator="equal">
      <formula>1</formula>
    </cfRule>
  </conditionalFormatting>
  <conditionalFormatting sqref="I7">
    <cfRule type="cellIs" dxfId="354" priority="21" operator="equal">
      <formula>1</formula>
    </cfRule>
  </conditionalFormatting>
  <conditionalFormatting sqref="I14:I44">
    <cfRule type="expression" dxfId="199" priority="5" stopIfTrue="1">
      <formula>TRIM(UPPER(I14))="N/A"</formula>
    </cfRule>
    <cfRule type="expression" dxfId="198" priority="6">
      <formula>I14&gt;=0.9</formula>
    </cfRule>
    <cfRule type="expression" dxfId="197" priority="7">
      <formula>AND(I14&gt;=0.8, I14&lt;0.9)</formula>
    </cfRule>
    <cfRule type="expression" dxfId="196" priority="8">
      <formula>I14&lt;0.8</formula>
    </cfRule>
  </conditionalFormatting>
  <conditionalFormatting sqref="I47:I49">
    <cfRule type="expression" dxfId="195" priority="1" stopIfTrue="1">
      <formula>TRIM(UPPER(I47))="N/A"</formula>
    </cfRule>
    <cfRule type="expression" dxfId="194" priority="2">
      <formula>I47&gt;=0.9</formula>
    </cfRule>
    <cfRule type="expression" dxfId="193" priority="3">
      <formula>AND(I47&gt;=0.8, I47&lt;0.9)</formula>
    </cfRule>
    <cfRule type="expression" dxfId="192" priority="4">
      <formula>I47&lt;0.8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13D7EA0-7F32-6840-B5F7-C544248271C6}">
          <x14:formula1>
            <xm:f>'Listas desplegables'!$C$4:$C$15</xm:f>
          </x14:formula1>
          <xm:sqref>I14:I44 I47:I49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430E2-93F6-48A6-8059-CD177BF537A1}">
  <sheetPr>
    <tabColor rgb="FF0993A5"/>
  </sheetPr>
  <dimension ref="B1:BU272"/>
  <sheetViews>
    <sheetView zoomScale="72" zoomScaleNormal="72" workbookViewId="0">
      <selection activeCell="I14" sqref="I14"/>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6" style="30" customWidth="1"/>
    <col min="12" max="12" width="31.83203125" style="1" customWidth="1"/>
    <col min="13" max="13" width="17.6640625" style="13" customWidth="1"/>
    <col min="14" max="46" width="10.6640625" style="13"/>
    <col min="47" max="16384" width="10.6640625" style="1"/>
  </cols>
  <sheetData>
    <row r="1" spans="2:46" ht="5.25" customHeight="1" x14ac:dyDescent="0.2">
      <c r="K1" s="13"/>
      <c r="L1" s="13"/>
    </row>
    <row r="2" spans="2:46" ht="60" customHeight="1" x14ac:dyDescent="0.2">
      <c r="B2" s="155" t="s">
        <v>28</v>
      </c>
      <c r="C2" s="155"/>
      <c r="D2" s="155"/>
      <c r="E2" s="155"/>
      <c r="F2" s="155"/>
      <c r="G2" s="155"/>
      <c r="H2" s="155"/>
      <c r="I2" s="155"/>
      <c r="J2" s="156"/>
      <c r="K2" s="13"/>
      <c r="L2" s="13"/>
    </row>
    <row r="3" spans="2:46" s="13" customFormat="1" ht="4.5" customHeight="1" x14ac:dyDescent="0.2">
      <c r="B3" s="14"/>
      <c r="C3" s="14"/>
      <c r="D3" s="14"/>
      <c r="E3" s="14"/>
      <c r="F3" s="14"/>
      <c r="G3" s="45"/>
      <c r="H3" s="14"/>
      <c r="I3" s="14"/>
    </row>
    <row r="4" spans="2:46" s="2" customFormat="1" ht="45" customHeight="1" x14ac:dyDescent="0.2">
      <c r="B4" s="157" t="s">
        <v>653</v>
      </c>
      <c r="C4" s="158"/>
      <c r="D4" s="158"/>
      <c r="E4" s="158"/>
      <c r="F4" s="158"/>
      <c r="G4" s="158"/>
      <c r="H4" s="158"/>
      <c r="I4" s="158"/>
      <c r="J4" s="159"/>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2:46" ht="4.5" customHeight="1" x14ac:dyDescent="0.2">
      <c r="B5" s="7"/>
      <c r="C5" s="7"/>
      <c r="D5" s="7"/>
      <c r="E5" s="7"/>
      <c r="F5" s="8"/>
      <c r="G5" s="46"/>
      <c r="H5" s="8"/>
      <c r="I5" s="8"/>
      <c r="J5" s="8"/>
      <c r="K5" s="13"/>
      <c r="L5" s="13"/>
    </row>
    <row r="6" spans="2:46" ht="23" customHeight="1" x14ac:dyDescent="0.2">
      <c r="B6" s="160" t="s">
        <v>12</v>
      </c>
      <c r="C6" s="160"/>
      <c r="D6" s="160"/>
      <c r="E6" s="160"/>
      <c r="F6" s="160"/>
      <c r="G6" s="160"/>
      <c r="H6" s="160"/>
      <c r="I6" s="162" t="s">
        <v>11</v>
      </c>
      <c r="J6" s="108"/>
      <c r="K6" s="13"/>
      <c r="L6" s="13"/>
    </row>
    <row r="7" spans="2:46" ht="15.75" customHeight="1" x14ac:dyDescent="0.2">
      <c r="B7" s="160"/>
      <c r="C7" s="160"/>
      <c r="D7" s="160"/>
      <c r="E7" s="160"/>
      <c r="F7" s="160"/>
      <c r="G7" s="160"/>
      <c r="H7" s="160"/>
      <c r="I7" s="163">
        <f>AVERAGEIF(I14:I43,"&lt;&gt;N/A")</f>
        <v>0.4</v>
      </c>
      <c r="J7" s="164"/>
      <c r="K7" s="13"/>
      <c r="L7" s="13"/>
    </row>
    <row r="8" spans="2:46" ht="15.75" customHeight="1" x14ac:dyDescent="0.2">
      <c r="B8" s="161"/>
      <c r="C8" s="161"/>
      <c r="D8" s="161"/>
      <c r="E8" s="161"/>
      <c r="F8" s="161"/>
      <c r="G8" s="161"/>
      <c r="H8" s="161"/>
      <c r="I8" s="163"/>
      <c r="J8" s="164"/>
      <c r="K8" s="13"/>
      <c r="L8" s="13"/>
    </row>
    <row r="9" spans="2:46" ht="5.25" customHeight="1" x14ac:dyDescent="0.2">
      <c r="F9" s="5"/>
      <c r="G9" s="47"/>
      <c r="K9" s="13"/>
      <c r="L9" s="13"/>
    </row>
    <row r="10" spans="2:46" ht="109.75" customHeight="1" x14ac:dyDescent="0.2">
      <c r="B10" s="40" t="s">
        <v>13</v>
      </c>
      <c r="C10" s="147" t="s">
        <v>654</v>
      </c>
      <c r="D10" s="148"/>
      <c r="E10" s="148"/>
      <c r="F10" s="148"/>
      <c r="G10" s="148"/>
      <c r="H10" s="148"/>
      <c r="I10" s="148"/>
      <c r="J10" s="149"/>
      <c r="K10" s="13"/>
      <c r="L10" s="13"/>
    </row>
    <row r="11" spans="2:46" ht="82" customHeight="1" x14ac:dyDescent="0.2">
      <c r="B11" s="39" t="s">
        <v>14</v>
      </c>
      <c r="C11" s="150" t="s">
        <v>655</v>
      </c>
      <c r="D11" s="150"/>
      <c r="E11" s="150"/>
      <c r="F11" s="150"/>
      <c r="G11" s="150"/>
      <c r="H11" s="150"/>
      <c r="I11" s="150"/>
      <c r="J11" s="150"/>
      <c r="K11" s="13"/>
      <c r="L11" s="13"/>
    </row>
    <row r="12" spans="2:46" ht="5.25" customHeight="1" x14ac:dyDescent="0.2">
      <c r="K12" s="13"/>
      <c r="L12" s="13"/>
    </row>
    <row r="13" spans="2:46" s="73" customFormat="1" ht="32" x14ac:dyDescent="0.2">
      <c r="B13" s="69" t="s">
        <v>34</v>
      </c>
      <c r="C13" s="69" t="s">
        <v>15</v>
      </c>
      <c r="D13" s="69" t="s">
        <v>108</v>
      </c>
      <c r="E13" s="69" t="s">
        <v>109</v>
      </c>
      <c r="F13" s="70" t="s">
        <v>32</v>
      </c>
      <c r="G13" s="69" t="s">
        <v>40</v>
      </c>
      <c r="H13" s="70" t="s">
        <v>16</v>
      </c>
      <c r="I13" s="71" t="s">
        <v>8</v>
      </c>
      <c r="J13" s="69" t="s">
        <v>17</v>
      </c>
      <c r="K13" s="72" t="s">
        <v>44</v>
      </c>
      <c r="L13" s="69" t="s">
        <v>45</v>
      </c>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row>
    <row r="14" spans="2:46" ht="73.25" customHeight="1" x14ac:dyDescent="0.2">
      <c r="B14" s="151" t="s">
        <v>46</v>
      </c>
      <c r="C14" s="151" t="s">
        <v>19</v>
      </c>
      <c r="D14" s="153" t="s">
        <v>656</v>
      </c>
      <c r="E14" s="153" t="s">
        <v>657</v>
      </c>
      <c r="F14" s="78" t="s">
        <v>658</v>
      </c>
      <c r="G14" s="12" t="s">
        <v>43</v>
      </c>
      <c r="H14" s="34" t="s">
        <v>659</v>
      </c>
      <c r="I14" s="28">
        <v>0.4</v>
      </c>
      <c r="J14" s="11"/>
      <c r="K14" s="33"/>
      <c r="L14" s="29"/>
    </row>
    <row r="15" spans="2:46" ht="73.25" customHeight="1" x14ac:dyDescent="0.2">
      <c r="B15" s="152"/>
      <c r="C15" s="152"/>
      <c r="D15" s="154"/>
      <c r="E15" s="154"/>
      <c r="F15" s="78" t="s">
        <v>660</v>
      </c>
      <c r="G15" s="12" t="s">
        <v>36</v>
      </c>
      <c r="H15" s="34" t="s">
        <v>661</v>
      </c>
      <c r="I15" s="28" t="s">
        <v>10</v>
      </c>
      <c r="J15" s="11"/>
      <c r="K15" s="33"/>
      <c r="L15" s="29"/>
    </row>
    <row r="16" spans="2:46" ht="73.25" customHeight="1" x14ac:dyDescent="0.2">
      <c r="B16" s="152"/>
      <c r="C16" s="152"/>
      <c r="D16" s="154"/>
      <c r="E16" s="154"/>
      <c r="F16" s="78" t="s">
        <v>662</v>
      </c>
      <c r="G16" s="12" t="s">
        <v>39</v>
      </c>
      <c r="H16" s="34" t="s">
        <v>2492</v>
      </c>
      <c r="I16" s="28" t="s">
        <v>10</v>
      </c>
      <c r="J16" s="11"/>
      <c r="K16" s="33"/>
      <c r="L16" s="29"/>
    </row>
    <row r="17" spans="2:12" ht="73.25" customHeight="1" x14ac:dyDescent="0.2">
      <c r="B17" s="152"/>
      <c r="C17" s="152"/>
      <c r="D17" s="154"/>
      <c r="E17" s="154"/>
      <c r="F17" s="78" t="s">
        <v>663</v>
      </c>
      <c r="G17" s="12" t="s">
        <v>35</v>
      </c>
      <c r="H17" s="34" t="s">
        <v>2493</v>
      </c>
      <c r="I17" s="28" t="s">
        <v>10</v>
      </c>
      <c r="J17" s="11"/>
      <c r="K17" s="33"/>
      <c r="L17" s="29"/>
    </row>
    <row r="18" spans="2:12" ht="73.25" customHeight="1" x14ac:dyDescent="0.2">
      <c r="B18" s="152"/>
      <c r="C18" s="152"/>
      <c r="D18" s="154"/>
      <c r="E18" s="154"/>
      <c r="F18" s="78" t="s">
        <v>2496</v>
      </c>
      <c r="G18" s="12" t="s">
        <v>43</v>
      </c>
      <c r="H18" s="34" t="s">
        <v>2494</v>
      </c>
      <c r="I18" s="28" t="s">
        <v>10</v>
      </c>
      <c r="J18" s="11"/>
      <c r="K18" s="33"/>
      <c r="L18" s="29"/>
    </row>
    <row r="19" spans="2:12" ht="73.25" customHeight="1" x14ac:dyDescent="0.2">
      <c r="B19" s="152"/>
      <c r="C19" s="152"/>
      <c r="D19" s="154"/>
      <c r="E19" s="154"/>
      <c r="F19" s="78" t="s">
        <v>664</v>
      </c>
      <c r="G19" s="12" t="s">
        <v>36</v>
      </c>
      <c r="H19" s="34" t="s">
        <v>2495</v>
      </c>
      <c r="I19" s="28" t="s">
        <v>10</v>
      </c>
      <c r="J19" s="11"/>
      <c r="K19" s="33"/>
      <c r="L19" s="29"/>
    </row>
    <row r="20" spans="2:12" ht="79.75" customHeight="1" x14ac:dyDescent="0.2">
      <c r="B20" s="143" t="s">
        <v>46</v>
      </c>
      <c r="C20" s="143" t="s">
        <v>20</v>
      </c>
      <c r="D20" s="145" t="s">
        <v>665</v>
      </c>
      <c r="E20" s="145" t="s">
        <v>666</v>
      </c>
      <c r="F20" s="23" t="s">
        <v>667</v>
      </c>
      <c r="G20" s="41" t="s">
        <v>36</v>
      </c>
      <c r="H20" s="35" t="s">
        <v>668</v>
      </c>
      <c r="I20" s="28" t="s">
        <v>10</v>
      </c>
      <c r="J20" s="36"/>
      <c r="K20" s="37"/>
      <c r="L20" s="38"/>
    </row>
    <row r="21" spans="2:12" ht="79.75" customHeight="1" x14ac:dyDescent="0.2">
      <c r="B21" s="144"/>
      <c r="C21" s="144"/>
      <c r="D21" s="146"/>
      <c r="E21" s="146"/>
      <c r="F21" s="23" t="s">
        <v>669</v>
      </c>
      <c r="G21" s="41" t="s">
        <v>37</v>
      </c>
      <c r="H21" s="35" t="s">
        <v>670</v>
      </c>
      <c r="I21" s="28" t="s">
        <v>10</v>
      </c>
      <c r="J21" s="36"/>
      <c r="K21" s="37"/>
      <c r="L21" s="38"/>
    </row>
    <row r="22" spans="2:12" ht="79.75" customHeight="1" x14ac:dyDescent="0.2">
      <c r="B22" s="144"/>
      <c r="C22" s="144"/>
      <c r="D22" s="146"/>
      <c r="E22" s="146"/>
      <c r="F22" s="23" t="s">
        <v>671</v>
      </c>
      <c r="G22" s="41" t="s">
        <v>602</v>
      </c>
      <c r="H22" s="35" t="s">
        <v>672</v>
      </c>
      <c r="I22" s="28" t="s">
        <v>10</v>
      </c>
      <c r="J22" s="36"/>
      <c r="K22" s="37"/>
      <c r="L22" s="38"/>
    </row>
    <row r="23" spans="2:12" ht="79.75" customHeight="1" x14ac:dyDescent="0.2">
      <c r="B23" s="144"/>
      <c r="C23" s="144"/>
      <c r="D23" s="146"/>
      <c r="E23" s="146"/>
      <c r="F23" s="23" t="s">
        <v>673</v>
      </c>
      <c r="G23" s="41" t="s">
        <v>602</v>
      </c>
      <c r="H23" s="35" t="s">
        <v>674</v>
      </c>
      <c r="I23" s="28" t="s">
        <v>10</v>
      </c>
      <c r="J23" s="36"/>
      <c r="K23" s="37"/>
      <c r="L23" s="38"/>
    </row>
    <row r="24" spans="2:12" ht="79.75" customHeight="1" x14ac:dyDescent="0.2">
      <c r="B24" s="144"/>
      <c r="C24" s="144"/>
      <c r="D24" s="146"/>
      <c r="E24" s="146"/>
      <c r="F24" s="23" t="s">
        <v>675</v>
      </c>
      <c r="G24" s="41" t="s">
        <v>602</v>
      </c>
      <c r="H24" s="35" t="s">
        <v>676</v>
      </c>
      <c r="I24" s="28" t="s">
        <v>10</v>
      </c>
      <c r="J24" s="36"/>
      <c r="K24" s="37"/>
      <c r="L24" s="38"/>
    </row>
    <row r="25" spans="2:12" ht="79.75" customHeight="1" x14ac:dyDescent="0.2">
      <c r="B25" s="144"/>
      <c r="C25" s="144"/>
      <c r="D25" s="146"/>
      <c r="E25" s="146"/>
      <c r="F25" s="23" t="s">
        <v>677</v>
      </c>
      <c r="G25" s="41" t="s">
        <v>36</v>
      </c>
      <c r="H25" s="35" t="s">
        <v>2491</v>
      </c>
      <c r="I25" s="28" t="s">
        <v>10</v>
      </c>
      <c r="J25" s="36"/>
      <c r="K25" s="37"/>
      <c r="L25" s="38"/>
    </row>
    <row r="26" spans="2:12" ht="64.75" customHeight="1" x14ac:dyDescent="0.2">
      <c r="B26" s="151" t="s">
        <v>82</v>
      </c>
      <c r="C26" s="151" t="s">
        <v>21</v>
      </c>
      <c r="D26" s="153" t="s">
        <v>678</v>
      </c>
      <c r="E26" s="153" t="s">
        <v>679</v>
      </c>
      <c r="F26" s="22" t="s">
        <v>680</v>
      </c>
      <c r="G26" s="12" t="s">
        <v>36</v>
      </c>
      <c r="H26" s="34" t="s">
        <v>681</v>
      </c>
      <c r="I26" s="28" t="s">
        <v>10</v>
      </c>
      <c r="J26" s="11"/>
      <c r="K26" s="33"/>
      <c r="L26" s="29"/>
    </row>
    <row r="27" spans="2:12" ht="64.75" customHeight="1" x14ac:dyDescent="0.2">
      <c r="B27" s="152"/>
      <c r="C27" s="152"/>
      <c r="D27" s="154"/>
      <c r="E27" s="154"/>
      <c r="F27" s="22" t="s">
        <v>682</v>
      </c>
      <c r="G27" s="12" t="s">
        <v>35</v>
      </c>
      <c r="H27" s="34" t="s">
        <v>683</v>
      </c>
      <c r="I27" s="28" t="s">
        <v>10</v>
      </c>
      <c r="J27" s="11"/>
      <c r="K27" s="33"/>
      <c r="L27" s="29"/>
    </row>
    <row r="28" spans="2:12" ht="64.75" customHeight="1" x14ac:dyDescent="0.2">
      <c r="B28" s="152"/>
      <c r="C28" s="152"/>
      <c r="D28" s="154"/>
      <c r="E28" s="154"/>
      <c r="F28" s="22" t="s">
        <v>684</v>
      </c>
      <c r="G28" s="12" t="s">
        <v>39</v>
      </c>
      <c r="H28" s="34" t="s">
        <v>685</v>
      </c>
      <c r="I28" s="28" t="s">
        <v>10</v>
      </c>
      <c r="J28" s="11"/>
      <c r="K28" s="33"/>
      <c r="L28" s="29"/>
    </row>
    <row r="29" spans="2:12" ht="64.75" customHeight="1" x14ac:dyDescent="0.2">
      <c r="B29" s="152"/>
      <c r="C29" s="152"/>
      <c r="D29" s="154"/>
      <c r="E29" s="154"/>
      <c r="F29" s="22" t="s">
        <v>686</v>
      </c>
      <c r="G29" s="12" t="s">
        <v>39</v>
      </c>
      <c r="H29" s="34" t="s">
        <v>687</v>
      </c>
      <c r="I29" s="28" t="s">
        <v>10</v>
      </c>
      <c r="J29" s="11"/>
      <c r="K29" s="33"/>
      <c r="L29" s="29"/>
    </row>
    <row r="30" spans="2:12" ht="64.75" customHeight="1" x14ac:dyDescent="0.2">
      <c r="B30" s="152"/>
      <c r="C30" s="152"/>
      <c r="D30" s="154"/>
      <c r="E30" s="154"/>
      <c r="F30" s="22" t="s">
        <v>688</v>
      </c>
      <c r="G30" s="12" t="s">
        <v>38</v>
      </c>
      <c r="H30" s="34" t="s">
        <v>689</v>
      </c>
      <c r="I30" s="28" t="s">
        <v>10</v>
      </c>
      <c r="J30" s="11"/>
      <c r="K30" s="33"/>
      <c r="L30" s="29"/>
    </row>
    <row r="31" spans="2:12" ht="64.75" customHeight="1" x14ac:dyDescent="0.2">
      <c r="B31" s="152"/>
      <c r="C31" s="152"/>
      <c r="D31" s="154"/>
      <c r="E31" s="154"/>
      <c r="F31" s="22" t="s">
        <v>690</v>
      </c>
      <c r="G31" s="12" t="s">
        <v>35</v>
      </c>
      <c r="H31" s="34" t="s">
        <v>691</v>
      </c>
      <c r="I31" s="28" t="s">
        <v>10</v>
      </c>
      <c r="J31" s="11"/>
      <c r="K31" s="33"/>
      <c r="L31" s="29"/>
    </row>
    <row r="32" spans="2:12" ht="63" customHeight="1" x14ac:dyDescent="0.2">
      <c r="B32" s="143" t="s">
        <v>46</v>
      </c>
      <c r="C32" s="143" t="s">
        <v>23</v>
      </c>
      <c r="D32" s="145" t="s">
        <v>692</v>
      </c>
      <c r="E32" s="181" t="s">
        <v>693</v>
      </c>
      <c r="F32" s="23" t="s">
        <v>694</v>
      </c>
      <c r="G32" s="41" t="s">
        <v>35</v>
      </c>
      <c r="H32" s="35" t="s">
        <v>695</v>
      </c>
      <c r="I32" s="28" t="s">
        <v>10</v>
      </c>
      <c r="J32" s="36"/>
      <c r="K32" s="37"/>
      <c r="L32" s="38"/>
    </row>
    <row r="33" spans="2:73" ht="63" customHeight="1" x14ac:dyDescent="0.2">
      <c r="B33" s="144"/>
      <c r="C33" s="144"/>
      <c r="D33" s="146"/>
      <c r="E33" s="182"/>
      <c r="F33" s="23" t="s">
        <v>696</v>
      </c>
      <c r="G33" s="41" t="s">
        <v>43</v>
      </c>
      <c r="H33" s="35" t="s">
        <v>697</v>
      </c>
      <c r="I33" s="28" t="s">
        <v>10</v>
      </c>
      <c r="J33" s="36"/>
      <c r="K33" s="37"/>
      <c r="L33" s="38"/>
    </row>
    <row r="34" spans="2:73" ht="63" customHeight="1" x14ac:dyDescent="0.2">
      <c r="B34" s="144"/>
      <c r="C34" s="144"/>
      <c r="D34" s="146"/>
      <c r="E34" s="182"/>
      <c r="F34" s="23" t="s">
        <v>698</v>
      </c>
      <c r="G34" s="41" t="s">
        <v>35</v>
      </c>
      <c r="H34" s="35" t="s">
        <v>699</v>
      </c>
      <c r="I34" s="28" t="s">
        <v>10</v>
      </c>
      <c r="J34" s="36"/>
      <c r="K34" s="37"/>
      <c r="L34" s="38"/>
    </row>
    <row r="35" spans="2:73" ht="63" customHeight="1" x14ac:dyDescent="0.2">
      <c r="B35" s="144"/>
      <c r="C35" s="144"/>
      <c r="D35" s="146"/>
      <c r="E35" s="182"/>
      <c r="F35" s="23" t="s">
        <v>700</v>
      </c>
      <c r="G35" s="41" t="s">
        <v>39</v>
      </c>
      <c r="H35" s="35" t="s">
        <v>701</v>
      </c>
      <c r="I35" s="28" t="s">
        <v>10</v>
      </c>
      <c r="J35" s="36"/>
      <c r="K35" s="37"/>
      <c r="L35" s="38"/>
    </row>
    <row r="36" spans="2:73" ht="63" customHeight="1" x14ac:dyDescent="0.2">
      <c r="B36" s="144"/>
      <c r="C36" s="144"/>
      <c r="D36" s="146"/>
      <c r="E36" s="182"/>
      <c r="F36" s="23" t="s">
        <v>702</v>
      </c>
      <c r="G36" s="41" t="s">
        <v>43</v>
      </c>
      <c r="H36" s="35" t="s">
        <v>703</v>
      </c>
      <c r="I36" s="28" t="s">
        <v>10</v>
      </c>
      <c r="J36" s="36"/>
      <c r="K36" s="37"/>
      <c r="L36" s="38"/>
    </row>
    <row r="37" spans="2:73" ht="63" customHeight="1" x14ac:dyDescent="0.2">
      <c r="B37" s="144"/>
      <c r="C37" s="144"/>
      <c r="D37" s="146"/>
      <c r="E37" s="182"/>
      <c r="F37" s="23" t="s">
        <v>704</v>
      </c>
      <c r="G37" s="41" t="s">
        <v>36</v>
      </c>
      <c r="H37" s="35" t="s">
        <v>705</v>
      </c>
      <c r="I37" s="28" t="s">
        <v>10</v>
      </c>
      <c r="J37" s="36"/>
      <c r="K37" s="37"/>
      <c r="L37" s="38"/>
    </row>
    <row r="38" spans="2:73" ht="62.5" customHeight="1" x14ac:dyDescent="0.2">
      <c r="B38" s="151" t="s">
        <v>46</v>
      </c>
      <c r="C38" s="151" t="s">
        <v>24</v>
      </c>
      <c r="D38" s="167" t="s">
        <v>706</v>
      </c>
      <c r="E38" s="167" t="s">
        <v>707</v>
      </c>
      <c r="F38" s="22" t="s">
        <v>708</v>
      </c>
      <c r="G38" s="12" t="s">
        <v>36</v>
      </c>
      <c r="H38" s="34" t="s">
        <v>709</v>
      </c>
      <c r="I38" s="28" t="s">
        <v>10</v>
      </c>
      <c r="J38" s="11"/>
      <c r="K38" s="33"/>
      <c r="L38" s="29"/>
    </row>
    <row r="39" spans="2:73" ht="62.5" customHeight="1" x14ac:dyDescent="0.2">
      <c r="B39" s="152"/>
      <c r="C39" s="152"/>
      <c r="D39" s="168"/>
      <c r="E39" s="168"/>
      <c r="F39" s="22" t="s">
        <v>710</v>
      </c>
      <c r="G39" s="12" t="s">
        <v>43</v>
      </c>
      <c r="H39" s="34" t="s">
        <v>711</v>
      </c>
      <c r="I39" s="28" t="s">
        <v>10</v>
      </c>
      <c r="J39" s="11"/>
      <c r="K39" s="33"/>
      <c r="L39" s="29"/>
    </row>
    <row r="40" spans="2:73" ht="62.5" customHeight="1" x14ac:dyDescent="0.2">
      <c r="B40" s="152"/>
      <c r="C40" s="152"/>
      <c r="D40" s="168"/>
      <c r="E40" s="168"/>
      <c r="F40" s="22" t="s">
        <v>712</v>
      </c>
      <c r="G40" s="12" t="s">
        <v>39</v>
      </c>
      <c r="H40" s="34" t="s">
        <v>713</v>
      </c>
      <c r="I40" s="28" t="s">
        <v>10</v>
      </c>
      <c r="J40" s="11"/>
      <c r="K40" s="33"/>
      <c r="L40" s="29"/>
    </row>
    <row r="41" spans="2:73" ht="62.5" customHeight="1" x14ac:dyDescent="0.2">
      <c r="B41" s="152"/>
      <c r="C41" s="152"/>
      <c r="D41" s="168"/>
      <c r="E41" s="168"/>
      <c r="F41" s="22" t="s">
        <v>714</v>
      </c>
      <c r="G41" s="12" t="s">
        <v>35</v>
      </c>
      <c r="H41" s="34" t="s">
        <v>715</v>
      </c>
      <c r="I41" s="28" t="s">
        <v>10</v>
      </c>
      <c r="J41" s="11"/>
      <c r="K41" s="33"/>
      <c r="L41" s="29"/>
    </row>
    <row r="42" spans="2:73" ht="62.5" customHeight="1" x14ac:dyDescent="0.2">
      <c r="B42" s="152"/>
      <c r="C42" s="152"/>
      <c r="D42" s="168"/>
      <c r="E42" s="168"/>
      <c r="F42" s="22" t="s">
        <v>716</v>
      </c>
      <c r="G42" s="12" t="s">
        <v>43</v>
      </c>
      <c r="H42" s="34" t="s">
        <v>717</v>
      </c>
      <c r="I42" s="28" t="s">
        <v>10</v>
      </c>
      <c r="J42" s="11"/>
      <c r="K42" s="33"/>
      <c r="L42" s="29"/>
    </row>
    <row r="43" spans="2:73" ht="62.5" customHeight="1" x14ac:dyDescent="0.2">
      <c r="B43" s="152"/>
      <c r="C43" s="152"/>
      <c r="D43" s="168"/>
      <c r="E43" s="168"/>
      <c r="F43" s="22" t="s">
        <v>718</v>
      </c>
      <c r="G43" s="12" t="s">
        <v>39</v>
      </c>
      <c r="H43" s="34" t="s">
        <v>719</v>
      </c>
      <c r="I43" s="28" t="s">
        <v>10</v>
      </c>
      <c r="J43" s="11"/>
      <c r="K43" s="33"/>
      <c r="L43" s="29"/>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row>
    <row r="44" spans="2:73" ht="5.25" customHeight="1" x14ac:dyDescent="0.2">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row>
    <row r="45" spans="2:73" ht="31" customHeight="1" x14ac:dyDescent="0.2">
      <c r="B45" s="69" t="s">
        <v>34</v>
      </c>
      <c r="C45" s="69" t="s">
        <v>258</v>
      </c>
      <c r="D45" s="69" t="s">
        <v>259</v>
      </c>
      <c r="E45" s="169" t="s">
        <v>32</v>
      </c>
      <c r="F45" s="170"/>
      <c r="G45" s="169" t="s">
        <v>16</v>
      </c>
      <c r="H45" s="170"/>
      <c r="I45" s="71" t="s">
        <v>8</v>
      </c>
      <c r="J45" s="69" t="s">
        <v>17</v>
      </c>
      <c r="K45" s="72" t="s">
        <v>44</v>
      </c>
      <c r="L45" s="69" t="s">
        <v>45</v>
      </c>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row>
    <row r="46" spans="2:73" ht="83.5" customHeight="1" x14ac:dyDescent="0.2">
      <c r="B46" s="151" t="s">
        <v>46</v>
      </c>
      <c r="C46" s="151" t="s">
        <v>260</v>
      </c>
      <c r="D46" s="153" t="s">
        <v>720</v>
      </c>
      <c r="E46" s="129" t="s">
        <v>2489</v>
      </c>
      <c r="F46" s="130"/>
      <c r="G46" s="127" t="s">
        <v>2244</v>
      </c>
      <c r="H46" s="128"/>
      <c r="I46" s="28" t="s">
        <v>10</v>
      </c>
      <c r="J46" s="11"/>
      <c r="K46" s="33"/>
      <c r="L46" s="29"/>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row>
    <row r="47" spans="2:73" ht="90" customHeight="1" x14ac:dyDescent="0.2">
      <c r="B47" s="173"/>
      <c r="C47" s="173"/>
      <c r="D47" s="184"/>
      <c r="E47" s="133"/>
      <c r="F47" s="134"/>
      <c r="G47" s="127" t="s">
        <v>2245</v>
      </c>
      <c r="H47" s="128"/>
      <c r="I47" s="28" t="s">
        <v>10</v>
      </c>
      <c r="J47" s="11"/>
      <c r="K47" s="33"/>
      <c r="L47" s="29"/>
    </row>
    <row r="48" spans="2:73" ht="94.75" customHeight="1" x14ac:dyDescent="0.2">
      <c r="B48" s="143" t="s">
        <v>46</v>
      </c>
      <c r="C48" s="143" t="s">
        <v>261</v>
      </c>
      <c r="D48" s="181" t="s">
        <v>721</v>
      </c>
      <c r="E48" s="135" t="s">
        <v>722</v>
      </c>
      <c r="F48" s="136"/>
      <c r="G48" s="141" t="s">
        <v>2246</v>
      </c>
      <c r="H48" s="142"/>
      <c r="I48" s="28" t="s">
        <v>10</v>
      </c>
      <c r="J48" s="36"/>
      <c r="K48" s="37"/>
      <c r="L48" s="38"/>
    </row>
    <row r="49" spans="2:12" ht="72" customHeight="1" x14ac:dyDescent="0.2">
      <c r="B49" s="144"/>
      <c r="C49" s="144"/>
      <c r="D49" s="182"/>
      <c r="E49" s="137"/>
      <c r="F49" s="138"/>
      <c r="G49" s="141" t="s">
        <v>723</v>
      </c>
      <c r="H49" s="142"/>
      <c r="I49" s="28" t="s">
        <v>10</v>
      </c>
      <c r="J49" s="36"/>
      <c r="K49" s="37"/>
      <c r="L49" s="38"/>
    </row>
    <row r="50" spans="2:12" ht="94.75" customHeight="1" x14ac:dyDescent="0.2">
      <c r="B50" s="180"/>
      <c r="C50" s="180"/>
      <c r="D50" s="183"/>
      <c r="E50" s="139"/>
      <c r="F50" s="140"/>
      <c r="G50" s="141" t="s">
        <v>2247</v>
      </c>
      <c r="H50" s="142"/>
      <c r="I50" s="28" t="s">
        <v>10</v>
      </c>
      <c r="J50" s="36"/>
      <c r="K50" s="37"/>
      <c r="L50" s="38"/>
    </row>
    <row r="51" spans="2:12" ht="91.25" customHeight="1" x14ac:dyDescent="0.2">
      <c r="B51" s="151" t="s">
        <v>46</v>
      </c>
      <c r="C51" s="151" t="s">
        <v>262</v>
      </c>
      <c r="D51" s="153" t="s">
        <v>724</v>
      </c>
      <c r="E51" s="129" t="s">
        <v>725</v>
      </c>
      <c r="F51" s="130"/>
      <c r="G51" s="127" t="s">
        <v>2248</v>
      </c>
      <c r="H51" s="128"/>
      <c r="I51" s="28" t="s">
        <v>10</v>
      </c>
      <c r="J51" s="11"/>
      <c r="K51" s="33"/>
      <c r="L51" s="29"/>
    </row>
    <row r="52" spans="2:12" ht="91.25" customHeight="1" x14ac:dyDescent="0.2">
      <c r="B52" s="152"/>
      <c r="C52" s="152"/>
      <c r="D52" s="154"/>
      <c r="E52" s="131"/>
      <c r="F52" s="132"/>
      <c r="G52" s="127" t="s">
        <v>726</v>
      </c>
      <c r="H52" s="128"/>
      <c r="I52" s="28" t="s">
        <v>10</v>
      </c>
      <c r="J52" s="11"/>
      <c r="K52" s="33"/>
      <c r="L52" s="29"/>
    </row>
    <row r="53" spans="2:12" ht="91.25" customHeight="1" x14ac:dyDescent="0.2">
      <c r="B53" s="173"/>
      <c r="C53" s="173"/>
      <c r="D53" s="184"/>
      <c r="E53" s="133"/>
      <c r="F53" s="134"/>
      <c r="G53" s="127" t="s">
        <v>2249</v>
      </c>
      <c r="H53" s="128"/>
      <c r="I53" s="28" t="s">
        <v>10</v>
      </c>
      <c r="J53" s="11"/>
      <c r="K53" s="33"/>
      <c r="L53" s="29"/>
    </row>
    <row r="54" spans="2:12" ht="83.5" customHeight="1" x14ac:dyDescent="0.2">
      <c r="B54" s="143" t="s">
        <v>46</v>
      </c>
      <c r="C54" s="143" t="s">
        <v>263</v>
      </c>
      <c r="D54" s="181" t="s">
        <v>727</v>
      </c>
      <c r="E54" s="135" t="s">
        <v>2488</v>
      </c>
      <c r="F54" s="136"/>
      <c r="G54" s="141" t="s">
        <v>728</v>
      </c>
      <c r="H54" s="142"/>
      <c r="I54" s="28" t="s">
        <v>10</v>
      </c>
      <c r="J54" s="36"/>
      <c r="K54" s="37"/>
      <c r="L54" s="38"/>
    </row>
    <row r="55" spans="2:12" ht="83.5" customHeight="1" x14ac:dyDescent="0.2">
      <c r="B55" s="144"/>
      <c r="C55" s="144"/>
      <c r="D55" s="182"/>
      <c r="E55" s="137"/>
      <c r="F55" s="138"/>
      <c r="G55" s="141" t="s">
        <v>729</v>
      </c>
      <c r="H55" s="142"/>
      <c r="I55" s="28" t="s">
        <v>10</v>
      </c>
      <c r="J55" s="36"/>
      <c r="K55" s="37"/>
      <c r="L55" s="38"/>
    </row>
    <row r="56" spans="2:12" ht="83.5" customHeight="1" x14ac:dyDescent="0.2">
      <c r="B56" s="180"/>
      <c r="C56" s="180"/>
      <c r="D56" s="183"/>
      <c r="E56" s="139"/>
      <c r="F56" s="140"/>
      <c r="G56" s="141" t="s">
        <v>730</v>
      </c>
      <c r="H56" s="142"/>
      <c r="I56" s="28" t="s">
        <v>10</v>
      </c>
      <c r="J56" s="36"/>
      <c r="K56" s="37"/>
      <c r="L56" s="38"/>
    </row>
    <row r="57" spans="2:12" ht="84" customHeight="1" x14ac:dyDescent="0.2">
      <c r="B57" s="151" t="s">
        <v>46</v>
      </c>
      <c r="C57" s="151" t="s">
        <v>267</v>
      </c>
      <c r="D57" s="177" t="s">
        <v>731</v>
      </c>
      <c r="E57" s="129" t="s">
        <v>732</v>
      </c>
      <c r="F57" s="130"/>
      <c r="G57" s="127" t="s">
        <v>733</v>
      </c>
      <c r="H57" s="128"/>
      <c r="I57" s="28" t="s">
        <v>10</v>
      </c>
      <c r="J57" s="11"/>
      <c r="K57" s="33"/>
      <c r="L57" s="29"/>
    </row>
    <row r="58" spans="2:12" ht="84" customHeight="1" x14ac:dyDescent="0.2">
      <c r="B58" s="152"/>
      <c r="C58" s="152"/>
      <c r="D58" s="178"/>
      <c r="E58" s="131"/>
      <c r="F58" s="132"/>
      <c r="G58" s="127" t="s">
        <v>734</v>
      </c>
      <c r="H58" s="128"/>
      <c r="I58" s="28" t="s">
        <v>10</v>
      </c>
      <c r="J58" s="11"/>
      <c r="K58" s="33"/>
      <c r="L58" s="29"/>
    </row>
    <row r="59" spans="2:12" ht="84" customHeight="1" x14ac:dyDescent="0.2">
      <c r="B59" s="173"/>
      <c r="C59" s="173"/>
      <c r="D59" s="179"/>
      <c r="E59" s="133"/>
      <c r="F59" s="134"/>
      <c r="G59" s="127" t="s">
        <v>2250</v>
      </c>
      <c r="H59" s="128"/>
      <c r="I59" s="28" t="s">
        <v>10</v>
      </c>
      <c r="J59" s="11"/>
      <c r="K59" s="33"/>
      <c r="L59" s="29"/>
    </row>
    <row r="60" spans="2:12" ht="88.25" customHeight="1" x14ac:dyDescent="0.2">
      <c r="B60" s="143" t="s">
        <v>46</v>
      </c>
      <c r="C60" s="143" t="s">
        <v>268</v>
      </c>
      <c r="D60" s="181" t="s">
        <v>735</v>
      </c>
      <c r="E60" s="135" t="s">
        <v>2490</v>
      </c>
      <c r="F60" s="136"/>
      <c r="G60" s="141" t="s">
        <v>736</v>
      </c>
      <c r="H60" s="142"/>
      <c r="I60" s="28" t="s">
        <v>10</v>
      </c>
      <c r="J60" s="36"/>
      <c r="K60" s="37"/>
      <c r="L60" s="38"/>
    </row>
    <row r="61" spans="2:12" ht="88.25" customHeight="1" x14ac:dyDescent="0.2">
      <c r="B61" s="144"/>
      <c r="C61" s="144"/>
      <c r="D61" s="182"/>
      <c r="E61" s="137"/>
      <c r="F61" s="138"/>
      <c r="G61" s="141" t="s">
        <v>737</v>
      </c>
      <c r="H61" s="142"/>
      <c r="I61" s="28" t="s">
        <v>10</v>
      </c>
      <c r="J61" s="36"/>
      <c r="K61" s="37"/>
      <c r="L61" s="38"/>
    </row>
    <row r="62" spans="2:12" ht="88.25" customHeight="1" x14ac:dyDescent="0.2">
      <c r="B62" s="180"/>
      <c r="C62" s="180"/>
      <c r="D62" s="183"/>
      <c r="E62" s="139"/>
      <c r="F62" s="140"/>
      <c r="G62" s="141" t="s">
        <v>738</v>
      </c>
      <c r="H62" s="142"/>
      <c r="I62" s="28" t="s">
        <v>10</v>
      </c>
      <c r="J62" s="36"/>
      <c r="K62" s="37"/>
      <c r="L62" s="38"/>
    </row>
    <row r="63" spans="2:12" s="13" customFormat="1" x14ac:dyDescent="0.2">
      <c r="B63" s="3"/>
      <c r="C63" s="3"/>
      <c r="D63" s="3"/>
      <c r="E63" s="3"/>
      <c r="F63" s="89"/>
      <c r="G63" s="3"/>
      <c r="H63" s="89"/>
      <c r="I63" s="90"/>
      <c r="K63" s="31"/>
    </row>
    <row r="64" spans="2:12" s="13" customFormat="1" x14ac:dyDescent="0.2">
      <c r="B64" s="3"/>
      <c r="C64" s="3"/>
      <c r="D64" s="3"/>
      <c r="E64" s="3"/>
      <c r="F64" s="89"/>
      <c r="G64" s="3"/>
      <c r="H64" s="89"/>
      <c r="I64" s="90"/>
      <c r="K64" s="31"/>
    </row>
    <row r="65" spans="2:11" s="13" customFormat="1" x14ac:dyDescent="0.2">
      <c r="B65" s="3"/>
      <c r="C65" s="3"/>
      <c r="D65" s="3"/>
      <c r="E65" s="3"/>
      <c r="F65" s="89"/>
      <c r="G65" s="3"/>
      <c r="H65" s="89"/>
      <c r="I65" s="90"/>
      <c r="K65" s="31"/>
    </row>
    <row r="66" spans="2:11" s="13" customFormat="1" x14ac:dyDescent="0.2">
      <c r="B66" s="3"/>
      <c r="C66" s="3"/>
      <c r="D66" s="3"/>
      <c r="E66" s="3"/>
      <c r="F66" s="89"/>
      <c r="G66" s="3"/>
      <c r="H66" s="89"/>
      <c r="I66" s="90"/>
      <c r="K66" s="31"/>
    </row>
    <row r="67" spans="2:11" s="13" customFormat="1" x14ac:dyDescent="0.2">
      <c r="B67" s="3"/>
      <c r="C67" s="3"/>
      <c r="D67" s="3"/>
      <c r="E67" s="3"/>
      <c r="F67" s="89"/>
      <c r="G67" s="3"/>
      <c r="H67" s="89"/>
      <c r="I67" s="90"/>
      <c r="K67" s="31"/>
    </row>
    <row r="68" spans="2:11" s="13" customFormat="1" x14ac:dyDescent="0.2">
      <c r="B68" s="3"/>
      <c r="C68" s="3"/>
      <c r="D68" s="3"/>
      <c r="E68" s="3"/>
      <c r="F68" s="89"/>
      <c r="G68" s="3"/>
      <c r="H68" s="89"/>
      <c r="I68" s="90"/>
      <c r="K68" s="31"/>
    </row>
    <row r="69" spans="2:11" s="13" customFormat="1" x14ac:dyDescent="0.2">
      <c r="B69" s="3"/>
      <c r="C69" s="3"/>
      <c r="D69" s="3"/>
      <c r="E69" s="3"/>
      <c r="F69" s="89"/>
      <c r="G69" s="3"/>
      <c r="H69" s="89"/>
      <c r="I69" s="90"/>
      <c r="K69" s="31"/>
    </row>
    <row r="70" spans="2:11" s="13" customFormat="1" x14ac:dyDescent="0.2">
      <c r="B70" s="3"/>
      <c r="C70" s="3"/>
      <c r="D70" s="3"/>
      <c r="E70" s="3"/>
      <c r="F70" s="89"/>
      <c r="G70" s="3"/>
      <c r="H70" s="89"/>
      <c r="I70" s="90"/>
      <c r="K70" s="31"/>
    </row>
    <row r="71" spans="2:11" s="13" customFormat="1" x14ac:dyDescent="0.2">
      <c r="B71" s="3"/>
      <c r="C71" s="3"/>
      <c r="D71" s="3"/>
      <c r="E71" s="3"/>
      <c r="F71" s="89"/>
      <c r="G71" s="3"/>
      <c r="H71" s="89"/>
      <c r="I71" s="90"/>
      <c r="K71" s="31"/>
    </row>
    <row r="72" spans="2:11" s="13" customFormat="1" x14ac:dyDescent="0.2">
      <c r="B72" s="3"/>
      <c r="C72" s="3"/>
      <c r="D72" s="3"/>
      <c r="E72" s="3"/>
      <c r="F72" s="89"/>
      <c r="G72" s="3"/>
      <c r="H72" s="89"/>
      <c r="I72" s="90"/>
      <c r="K72" s="31"/>
    </row>
    <row r="73" spans="2:11" s="13" customFormat="1" x14ac:dyDescent="0.2">
      <c r="B73" s="3"/>
      <c r="C73" s="3"/>
      <c r="D73" s="3"/>
      <c r="E73" s="3"/>
      <c r="F73" s="89"/>
      <c r="G73" s="3"/>
      <c r="H73" s="89"/>
      <c r="I73" s="90"/>
      <c r="K73" s="31"/>
    </row>
    <row r="74" spans="2:11" s="13" customFormat="1" x14ac:dyDescent="0.2">
      <c r="B74" s="3"/>
      <c r="C74" s="3"/>
      <c r="D74" s="3"/>
      <c r="E74" s="3"/>
      <c r="F74" s="89"/>
      <c r="G74" s="3"/>
      <c r="H74" s="89"/>
      <c r="I74" s="90"/>
      <c r="K74" s="31"/>
    </row>
    <row r="75" spans="2:11" s="13" customFormat="1" x14ac:dyDescent="0.2">
      <c r="B75" s="3"/>
      <c r="C75" s="3"/>
      <c r="D75" s="3"/>
      <c r="E75" s="3"/>
      <c r="F75" s="89"/>
      <c r="G75" s="3"/>
      <c r="H75" s="89"/>
      <c r="I75" s="90"/>
      <c r="K75" s="31"/>
    </row>
    <row r="76" spans="2:11" s="13" customFormat="1" x14ac:dyDescent="0.2">
      <c r="B76" s="3"/>
      <c r="C76" s="3"/>
      <c r="D76" s="3"/>
      <c r="E76" s="3"/>
      <c r="F76" s="89"/>
      <c r="G76" s="3"/>
      <c r="H76" s="89"/>
      <c r="I76" s="90"/>
      <c r="K76" s="31"/>
    </row>
    <row r="77" spans="2:11" s="13" customFormat="1" x14ac:dyDescent="0.2">
      <c r="B77" s="3"/>
      <c r="C77" s="3"/>
      <c r="D77" s="3"/>
      <c r="E77" s="3"/>
      <c r="F77" s="89"/>
      <c r="G77" s="3"/>
      <c r="H77" s="89"/>
      <c r="I77" s="90"/>
      <c r="K77" s="31"/>
    </row>
    <row r="78" spans="2:11" s="13" customFormat="1" x14ac:dyDescent="0.2">
      <c r="B78" s="3"/>
      <c r="C78" s="3"/>
      <c r="D78" s="3"/>
      <c r="E78" s="3"/>
      <c r="F78" s="89"/>
      <c r="G78" s="3"/>
      <c r="H78" s="89"/>
      <c r="I78" s="90"/>
      <c r="K78" s="31"/>
    </row>
    <row r="79" spans="2:11" s="13" customFormat="1" x14ac:dyDescent="0.2">
      <c r="B79" s="3"/>
      <c r="C79" s="3"/>
      <c r="D79" s="3"/>
      <c r="E79" s="3"/>
      <c r="F79" s="89"/>
      <c r="G79" s="3"/>
      <c r="H79" s="89"/>
      <c r="I79" s="90"/>
      <c r="K79" s="31"/>
    </row>
    <row r="80" spans="2:11" s="13" customFormat="1" x14ac:dyDescent="0.2">
      <c r="B80" s="3"/>
      <c r="C80" s="3"/>
      <c r="D80" s="3"/>
      <c r="E80" s="3"/>
      <c r="F80" s="89"/>
      <c r="G80" s="3"/>
      <c r="H80" s="89"/>
      <c r="I80" s="90"/>
      <c r="K80" s="31"/>
    </row>
    <row r="81" spans="2:11" s="13" customFormat="1" x14ac:dyDescent="0.2">
      <c r="B81" s="3"/>
      <c r="C81" s="3"/>
      <c r="D81" s="3"/>
      <c r="E81" s="3"/>
      <c r="F81" s="89"/>
      <c r="G81" s="3"/>
      <c r="H81" s="89"/>
      <c r="I81" s="90"/>
      <c r="K81" s="31"/>
    </row>
    <row r="82" spans="2:11" s="13" customFormat="1" x14ac:dyDescent="0.2">
      <c r="B82" s="3"/>
      <c r="C82" s="3"/>
      <c r="D82" s="3"/>
      <c r="E82" s="3"/>
      <c r="F82" s="89"/>
      <c r="G82" s="3"/>
      <c r="H82" s="89"/>
      <c r="I82" s="90"/>
      <c r="K82" s="31"/>
    </row>
    <row r="83" spans="2:11" s="13" customFormat="1" x14ac:dyDescent="0.2">
      <c r="B83" s="3"/>
      <c r="C83" s="3"/>
      <c r="D83" s="3"/>
      <c r="E83" s="3"/>
      <c r="F83" s="89"/>
      <c r="G83" s="3"/>
      <c r="H83" s="89"/>
      <c r="I83" s="90"/>
      <c r="K83" s="31"/>
    </row>
    <row r="84" spans="2:11" s="13" customFormat="1" x14ac:dyDescent="0.2">
      <c r="B84" s="3"/>
      <c r="C84" s="3"/>
      <c r="D84" s="3"/>
      <c r="E84" s="3"/>
      <c r="F84" s="89"/>
      <c r="G84" s="3"/>
      <c r="H84" s="89"/>
      <c r="I84" s="90"/>
      <c r="K84" s="31"/>
    </row>
    <row r="85" spans="2:11" s="13" customFormat="1" x14ac:dyDescent="0.2">
      <c r="B85" s="3"/>
      <c r="C85" s="3"/>
      <c r="D85" s="3"/>
      <c r="E85" s="3"/>
      <c r="F85" s="89"/>
      <c r="G85" s="3"/>
      <c r="H85" s="89"/>
      <c r="I85" s="90"/>
      <c r="K85" s="31"/>
    </row>
    <row r="86" spans="2:11" s="13" customFormat="1" x14ac:dyDescent="0.2">
      <c r="B86" s="3"/>
      <c r="C86" s="3"/>
      <c r="D86" s="3"/>
      <c r="E86" s="3"/>
      <c r="F86" s="89"/>
      <c r="G86" s="3"/>
      <c r="H86" s="89"/>
      <c r="I86" s="90"/>
      <c r="K86" s="31"/>
    </row>
    <row r="87" spans="2:11" s="13" customFormat="1" x14ac:dyDescent="0.2">
      <c r="B87" s="3"/>
      <c r="C87" s="3"/>
      <c r="D87" s="3"/>
      <c r="E87" s="3"/>
      <c r="F87" s="89"/>
      <c r="G87" s="3"/>
      <c r="H87" s="89"/>
      <c r="I87" s="90"/>
      <c r="K87" s="31"/>
    </row>
    <row r="88" spans="2:11" s="13" customFormat="1" x14ac:dyDescent="0.2">
      <c r="B88" s="3"/>
      <c r="C88" s="3"/>
      <c r="D88" s="3"/>
      <c r="E88" s="3"/>
      <c r="F88" s="89"/>
      <c r="G88" s="3"/>
      <c r="H88" s="89"/>
      <c r="I88" s="90"/>
      <c r="K88" s="31"/>
    </row>
    <row r="89" spans="2:11" s="13" customFormat="1" x14ac:dyDescent="0.2">
      <c r="B89" s="3"/>
      <c r="C89" s="3"/>
      <c r="D89" s="3"/>
      <c r="E89" s="3"/>
      <c r="F89" s="89"/>
      <c r="G89" s="3"/>
      <c r="H89" s="89"/>
      <c r="I89" s="90"/>
      <c r="K89" s="31"/>
    </row>
    <row r="90" spans="2:11" s="13" customFormat="1" x14ac:dyDescent="0.2">
      <c r="B90" s="3"/>
      <c r="C90" s="3"/>
      <c r="D90" s="3"/>
      <c r="E90" s="3"/>
      <c r="F90" s="89"/>
      <c r="G90" s="3"/>
      <c r="H90" s="89"/>
      <c r="I90" s="90"/>
      <c r="K90" s="31"/>
    </row>
    <row r="91" spans="2:11" s="13" customFormat="1" x14ac:dyDescent="0.2">
      <c r="B91" s="3"/>
      <c r="C91" s="3"/>
      <c r="D91" s="3"/>
      <c r="E91" s="3"/>
      <c r="F91" s="89"/>
      <c r="G91" s="3"/>
      <c r="H91" s="89"/>
      <c r="I91" s="90"/>
      <c r="K91" s="31"/>
    </row>
    <row r="92" spans="2:11" s="13" customFormat="1" x14ac:dyDescent="0.2">
      <c r="B92" s="3"/>
      <c r="C92" s="3"/>
      <c r="D92" s="3"/>
      <c r="E92" s="3"/>
      <c r="F92" s="89"/>
      <c r="G92" s="3"/>
      <c r="H92" s="89"/>
      <c r="I92" s="90"/>
      <c r="K92" s="31"/>
    </row>
    <row r="93" spans="2:11" s="13" customFormat="1" x14ac:dyDescent="0.2">
      <c r="B93" s="3"/>
      <c r="C93" s="3"/>
      <c r="D93" s="3"/>
      <c r="E93" s="3"/>
      <c r="F93" s="89"/>
      <c r="G93" s="3"/>
      <c r="H93" s="89"/>
      <c r="I93" s="90"/>
      <c r="K93" s="31"/>
    </row>
    <row r="94" spans="2:11" s="13" customFormat="1" x14ac:dyDescent="0.2">
      <c r="B94" s="3"/>
      <c r="C94" s="3"/>
      <c r="D94" s="3"/>
      <c r="E94" s="3"/>
      <c r="F94" s="89"/>
      <c r="G94" s="3"/>
      <c r="H94" s="89"/>
      <c r="I94" s="90"/>
      <c r="K94" s="31"/>
    </row>
    <row r="95" spans="2:11" s="13" customFormat="1" x14ac:dyDescent="0.2">
      <c r="B95" s="3"/>
      <c r="C95" s="3"/>
      <c r="D95" s="3"/>
      <c r="E95" s="3"/>
      <c r="F95" s="89"/>
      <c r="G95" s="3"/>
      <c r="H95" s="89"/>
      <c r="I95" s="90"/>
      <c r="K95" s="31"/>
    </row>
    <row r="96" spans="2:11" s="13" customFormat="1" x14ac:dyDescent="0.2">
      <c r="B96" s="3"/>
      <c r="C96" s="3"/>
      <c r="D96" s="3"/>
      <c r="E96" s="3"/>
      <c r="F96" s="89"/>
      <c r="G96" s="3"/>
      <c r="H96" s="89"/>
      <c r="I96" s="90"/>
      <c r="K96" s="31"/>
    </row>
    <row r="97" spans="2:11" s="13" customFormat="1" x14ac:dyDescent="0.2">
      <c r="B97" s="3"/>
      <c r="C97" s="3"/>
      <c r="D97" s="3"/>
      <c r="E97" s="3"/>
      <c r="F97" s="89"/>
      <c r="G97" s="3"/>
      <c r="H97" s="89"/>
      <c r="I97" s="90"/>
      <c r="K97" s="31"/>
    </row>
    <row r="98" spans="2:11" s="13" customFormat="1" x14ac:dyDescent="0.2">
      <c r="B98" s="3"/>
      <c r="C98" s="3"/>
      <c r="D98" s="3"/>
      <c r="E98" s="3"/>
      <c r="F98" s="89"/>
      <c r="G98" s="3"/>
      <c r="H98" s="89"/>
      <c r="I98" s="90"/>
      <c r="K98" s="31"/>
    </row>
    <row r="99" spans="2:11" s="13" customFormat="1" x14ac:dyDescent="0.2">
      <c r="B99" s="3"/>
      <c r="C99" s="3"/>
      <c r="D99" s="3"/>
      <c r="E99" s="3"/>
      <c r="F99" s="89"/>
      <c r="G99" s="3"/>
      <c r="H99" s="89"/>
      <c r="I99" s="90"/>
      <c r="K99" s="31"/>
    </row>
    <row r="100" spans="2:11" s="13" customFormat="1" x14ac:dyDescent="0.2">
      <c r="B100" s="3"/>
      <c r="C100" s="3"/>
      <c r="D100" s="3"/>
      <c r="E100" s="3"/>
      <c r="F100" s="89"/>
      <c r="G100" s="3"/>
      <c r="H100" s="89"/>
      <c r="I100" s="90"/>
      <c r="K100" s="31"/>
    </row>
    <row r="101" spans="2:11" s="13" customFormat="1" x14ac:dyDescent="0.2">
      <c r="B101" s="3"/>
      <c r="C101" s="3"/>
      <c r="D101" s="3"/>
      <c r="E101" s="3"/>
      <c r="F101" s="89"/>
      <c r="G101" s="3"/>
      <c r="H101" s="89"/>
      <c r="I101" s="90"/>
      <c r="K101" s="31"/>
    </row>
    <row r="102" spans="2:11" s="13" customFormat="1" x14ac:dyDescent="0.2">
      <c r="B102" s="3"/>
      <c r="C102" s="3"/>
      <c r="D102" s="3"/>
      <c r="E102" s="3"/>
      <c r="F102" s="89"/>
      <c r="G102" s="3"/>
      <c r="H102" s="89"/>
      <c r="I102" s="90"/>
      <c r="K102" s="31"/>
    </row>
    <row r="103" spans="2:11" s="13" customFormat="1" x14ac:dyDescent="0.2">
      <c r="B103" s="3"/>
      <c r="C103" s="3"/>
      <c r="D103" s="3"/>
      <c r="E103" s="3"/>
      <c r="F103" s="89"/>
      <c r="G103" s="3"/>
      <c r="H103" s="89"/>
      <c r="I103" s="90"/>
      <c r="K103" s="31"/>
    </row>
    <row r="104" spans="2:11" s="13" customFormat="1" x14ac:dyDescent="0.2">
      <c r="B104" s="3"/>
      <c r="C104" s="3"/>
      <c r="D104" s="3"/>
      <c r="E104" s="3"/>
      <c r="F104" s="89"/>
      <c r="G104" s="3"/>
      <c r="H104" s="89"/>
      <c r="I104" s="90"/>
      <c r="K104" s="31"/>
    </row>
    <row r="105" spans="2:11" s="13" customFormat="1" x14ac:dyDescent="0.2">
      <c r="B105" s="3"/>
      <c r="C105" s="3"/>
      <c r="D105" s="3"/>
      <c r="E105" s="3"/>
      <c r="F105" s="89"/>
      <c r="G105" s="3"/>
      <c r="H105" s="89"/>
      <c r="I105" s="90"/>
      <c r="K105" s="31"/>
    </row>
    <row r="106" spans="2:11" s="13" customFormat="1" x14ac:dyDescent="0.2">
      <c r="B106" s="3"/>
      <c r="C106" s="3"/>
      <c r="D106" s="3"/>
      <c r="E106" s="3"/>
      <c r="F106" s="89"/>
      <c r="G106" s="3"/>
      <c r="H106" s="89"/>
      <c r="I106" s="90"/>
      <c r="K106" s="31"/>
    </row>
    <row r="107" spans="2:11" s="13" customFormat="1" x14ac:dyDescent="0.2">
      <c r="B107" s="3"/>
      <c r="C107" s="3"/>
      <c r="D107" s="3"/>
      <c r="E107" s="3"/>
      <c r="F107" s="89"/>
      <c r="G107" s="3"/>
      <c r="H107" s="89"/>
      <c r="I107" s="90"/>
      <c r="K107" s="31"/>
    </row>
    <row r="108" spans="2:11" s="13" customFormat="1" x14ac:dyDescent="0.2">
      <c r="B108" s="3"/>
      <c r="C108" s="3"/>
      <c r="D108" s="3"/>
      <c r="E108" s="3"/>
      <c r="F108" s="89"/>
      <c r="G108" s="3"/>
      <c r="H108" s="89"/>
      <c r="I108" s="90"/>
      <c r="K108" s="31"/>
    </row>
    <row r="109" spans="2:11" s="13" customFormat="1" x14ac:dyDescent="0.2">
      <c r="B109" s="3"/>
      <c r="C109" s="3"/>
      <c r="D109" s="3"/>
      <c r="E109" s="3"/>
      <c r="F109" s="89"/>
      <c r="G109" s="3"/>
      <c r="H109" s="89"/>
      <c r="I109" s="90"/>
      <c r="K109" s="31"/>
    </row>
    <row r="110" spans="2:11" s="13" customFormat="1" x14ac:dyDescent="0.2">
      <c r="B110" s="3"/>
      <c r="C110" s="3"/>
      <c r="D110" s="3"/>
      <c r="E110" s="3"/>
      <c r="F110" s="89"/>
      <c r="G110" s="3"/>
      <c r="H110" s="89"/>
      <c r="I110" s="90"/>
      <c r="K110" s="31"/>
    </row>
    <row r="111" spans="2:11" s="13" customFormat="1" x14ac:dyDescent="0.2">
      <c r="B111" s="3"/>
      <c r="C111" s="3"/>
      <c r="D111" s="3"/>
      <c r="E111" s="3"/>
      <c r="F111" s="89"/>
      <c r="G111" s="3"/>
      <c r="H111" s="89"/>
      <c r="I111" s="90"/>
      <c r="K111" s="31"/>
    </row>
    <row r="112" spans="2:11" s="13" customFormat="1" x14ac:dyDescent="0.2">
      <c r="B112" s="3"/>
      <c r="C112" s="3"/>
      <c r="D112" s="3"/>
      <c r="E112" s="3"/>
      <c r="F112" s="89"/>
      <c r="G112" s="3"/>
      <c r="H112" s="89"/>
      <c r="I112" s="90"/>
      <c r="K112" s="31"/>
    </row>
    <row r="113" spans="2:11" s="13" customFormat="1" x14ac:dyDescent="0.2">
      <c r="B113" s="3"/>
      <c r="C113" s="3"/>
      <c r="D113" s="3"/>
      <c r="E113" s="3"/>
      <c r="F113" s="89"/>
      <c r="G113" s="3"/>
      <c r="H113" s="89"/>
      <c r="I113" s="90"/>
      <c r="K113" s="31"/>
    </row>
    <row r="114" spans="2:11" s="13" customFormat="1" x14ac:dyDescent="0.2">
      <c r="B114" s="3"/>
      <c r="C114" s="3"/>
      <c r="D114" s="3"/>
      <c r="E114" s="3"/>
      <c r="F114" s="89"/>
      <c r="G114" s="3"/>
      <c r="H114" s="89"/>
      <c r="I114" s="90"/>
      <c r="K114" s="31"/>
    </row>
    <row r="115" spans="2:11" s="13" customFormat="1" x14ac:dyDescent="0.2">
      <c r="B115" s="3"/>
      <c r="C115" s="3"/>
      <c r="D115" s="3"/>
      <c r="E115" s="3"/>
      <c r="F115" s="89"/>
      <c r="G115" s="3"/>
      <c r="H115" s="89"/>
      <c r="I115" s="90"/>
      <c r="K115" s="31"/>
    </row>
    <row r="116" spans="2:11" s="13" customFormat="1" x14ac:dyDescent="0.2">
      <c r="B116" s="3"/>
      <c r="C116" s="3"/>
      <c r="D116" s="3"/>
      <c r="E116" s="3"/>
      <c r="F116" s="89"/>
      <c r="G116" s="3"/>
      <c r="H116" s="89"/>
      <c r="I116" s="90"/>
      <c r="K116" s="31"/>
    </row>
    <row r="117" spans="2:11" s="13" customFormat="1" x14ac:dyDescent="0.2">
      <c r="B117" s="3"/>
      <c r="C117" s="3"/>
      <c r="D117" s="3"/>
      <c r="E117" s="3"/>
      <c r="F117" s="89"/>
      <c r="G117" s="3"/>
      <c r="H117" s="89"/>
      <c r="I117" s="90"/>
      <c r="K117" s="31"/>
    </row>
    <row r="118" spans="2:11" s="13" customFormat="1" x14ac:dyDescent="0.2">
      <c r="B118" s="3"/>
      <c r="C118" s="3"/>
      <c r="D118" s="3"/>
      <c r="E118" s="3"/>
      <c r="F118" s="89"/>
      <c r="G118" s="3"/>
      <c r="H118" s="89"/>
      <c r="I118" s="90"/>
      <c r="K118" s="31"/>
    </row>
    <row r="119" spans="2:11" s="13" customFormat="1" x14ac:dyDescent="0.2">
      <c r="B119" s="3"/>
      <c r="C119" s="3"/>
      <c r="D119" s="3"/>
      <c r="E119" s="3"/>
      <c r="F119" s="89"/>
      <c r="G119" s="3"/>
      <c r="H119" s="89"/>
      <c r="I119" s="90"/>
      <c r="K119" s="31"/>
    </row>
    <row r="120" spans="2:11" s="13" customFormat="1" x14ac:dyDescent="0.2">
      <c r="B120" s="3"/>
      <c r="C120" s="3"/>
      <c r="D120" s="3"/>
      <c r="E120" s="3"/>
      <c r="F120" s="89"/>
      <c r="G120" s="3"/>
      <c r="H120" s="89"/>
      <c r="I120" s="90"/>
      <c r="K120" s="31"/>
    </row>
    <row r="121" spans="2:11" s="13" customFormat="1" x14ac:dyDescent="0.2">
      <c r="B121" s="3"/>
      <c r="C121" s="3"/>
      <c r="D121" s="3"/>
      <c r="E121" s="3"/>
      <c r="F121" s="89"/>
      <c r="G121" s="3"/>
      <c r="H121" s="89"/>
      <c r="I121" s="90"/>
      <c r="K121" s="31"/>
    </row>
    <row r="122" spans="2:11" s="13" customFormat="1" x14ac:dyDescent="0.2">
      <c r="B122" s="3"/>
      <c r="C122" s="3"/>
      <c r="D122" s="3"/>
      <c r="E122" s="3"/>
      <c r="F122" s="89"/>
      <c r="G122" s="3"/>
      <c r="H122" s="89"/>
      <c r="I122" s="90"/>
      <c r="K122" s="31"/>
    </row>
    <row r="123" spans="2:11" s="13" customFormat="1" x14ac:dyDescent="0.2">
      <c r="B123" s="3"/>
      <c r="C123" s="3"/>
      <c r="D123" s="3"/>
      <c r="E123" s="3"/>
      <c r="F123" s="89"/>
      <c r="G123" s="3"/>
      <c r="H123" s="89"/>
      <c r="I123" s="90"/>
      <c r="K123" s="31"/>
    </row>
    <row r="124" spans="2:11" s="13" customFormat="1" x14ac:dyDescent="0.2">
      <c r="B124" s="3"/>
      <c r="C124" s="3"/>
      <c r="D124" s="3"/>
      <c r="E124" s="3"/>
      <c r="F124" s="89"/>
      <c r="G124" s="3"/>
      <c r="H124" s="89"/>
      <c r="I124" s="90"/>
      <c r="K124" s="31"/>
    </row>
    <row r="125" spans="2:11" s="13" customFormat="1" x14ac:dyDescent="0.2">
      <c r="B125" s="3"/>
      <c r="C125" s="3"/>
      <c r="D125" s="3"/>
      <c r="E125" s="3"/>
      <c r="F125" s="89"/>
      <c r="G125" s="3"/>
      <c r="H125" s="89"/>
      <c r="I125" s="90"/>
      <c r="K125" s="31"/>
    </row>
    <row r="126" spans="2:11" s="13" customFormat="1" x14ac:dyDescent="0.2">
      <c r="B126" s="3"/>
      <c r="C126" s="3"/>
      <c r="D126" s="3"/>
      <c r="E126" s="3"/>
      <c r="F126" s="89"/>
      <c r="G126" s="3"/>
      <c r="H126" s="89"/>
      <c r="I126" s="90"/>
      <c r="K126" s="31"/>
    </row>
    <row r="127" spans="2:11" s="13" customFormat="1" x14ac:dyDescent="0.2">
      <c r="B127" s="3"/>
      <c r="C127" s="3"/>
      <c r="D127" s="3"/>
      <c r="E127" s="3"/>
      <c r="F127" s="89"/>
      <c r="G127" s="3"/>
      <c r="H127" s="89"/>
      <c r="I127" s="90"/>
      <c r="K127" s="31"/>
    </row>
    <row r="128" spans="2:11" s="13" customFormat="1" x14ac:dyDescent="0.2">
      <c r="B128" s="3"/>
      <c r="C128" s="3"/>
      <c r="D128" s="3"/>
      <c r="E128" s="3"/>
      <c r="F128" s="89"/>
      <c r="G128" s="3"/>
      <c r="H128" s="89"/>
      <c r="I128" s="90"/>
      <c r="K128" s="31"/>
    </row>
    <row r="129" spans="2:11" s="13" customFormat="1" x14ac:dyDescent="0.2">
      <c r="B129" s="3"/>
      <c r="C129" s="3"/>
      <c r="D129" s="3"/>
      <c r="E129" s="3"/>
      <c r="F129" s="89"/>
      <c r="G129" s="3"/>
      <c r="H129" s="89"/>
      <c r="I129" s="90"/>
      <c r="K129" s="31"/>
    </row>
    <row r="130" spans="2:11" s="13" customFormat="1" x14ac:dyDescent="0.2">
      <c r="B130" s="3"/>
      <c r="C130" s="3"/>
      <c r="D130" s="3"/>
      <c r="E130" s="3"/>
      <c r="F130" s="89"/>
      <c r="G130" s="3"/>
      <c r="H130" s="89"/>
      <c r="I130" s="90"/>
      <c r="K130" s="31"/>
    </row>
    <row r="131" spans="2:11" s="13" customFormat="1" x14ac:dyDescent="0.2">
      <c r="B131" s="3"/>
      <c r="C131" s="3"/>
      <c r="D131" s="3"/>
      <c r="E131" s="3"/>
      <c r="F131" s="89"/>
      <c r="G131" s="3"/>
      <c r="H131" s="89"/>
      <c r="I131" s="90"/>
      <c r="K131" s="31"/>
    </row>
    <row r="132" spans="2:11" s="13" customFormat="1" x14ac:dyDescent="0.2">
      <c r="B132" s="3"/>
      <c r="C132" s="3"/>
      <c r="D132" s="3"/>
      <c r="E132" s="3"/>
      <c r="F132" s="89"/>
      <c r="G132" s="3"/>
      <c r="H132" s="89"/>
      <c r="I132" s="90"/>
      <c r="K132" s="31"/>
    </row>
    <row r="133" spans="2:11" s="13" customFormat="1" x14ac:dyDescent="0.2">
      <c r="B133" s="3"/>
      <c r="C133" s="3"/>
      <c r="D133" s="3"/>
      <c r="E133" s="3"/>
      <c r="F133" s="89"/>
      <c r="G133" s="3"/>
      <c r="H133" s="89"/>
      <c r="I133" s="90"/>
      <c r="K133" s="31"/>
    </row>
    <row r="134" spans="2:11" s="13" customFormat="1" x14ac:dyDescent="0.2">
      <c r="B134" s="3"/>
      <c r="C134" s="3"/>
      <c r="D134" s="3"/>
      <c r="E134" s="3"/>
      <c r="F134" s="89"/>
      <c r="G134" s="3"/>
      <c r="H134" s="89"/>
      <c r="I134" s="90"/>
      <c r="K134" s="31"/>
    </row>
    <row r="135" spans="2:11" s="13" customFormat="1" x14ac:dyDescent="0.2">
      <c r="B135" s="3"/>
      <c r="C135" s="3"/>
      <c r="D135" s="3"/>
      <c r="E135" s="3"/>
      <c r="F135" s="89"/>
      <c r="G135" s="3"/>
      <c r="H135" s="89"/>
      <c r="I135" s="90"/>
      <c r="K135" s="31"/>
    </row>
    <row r="136" spans="2:11" s="13" customFormat="1" x14ac:dyDescent="0.2">
      <c r="B136" s="3"/>
      <c r="C136" s="3"/>
      <c r="D136" s="3"/>
      <c r="E136" s="3"/>
      <c r="F136" s="89"/>
      <c r="G136" s="3"/>
      <c r="H136" s="89"/>
      <c r="I136" s="90"/>
      <c r="K136" s="31"/>
    </row>
    <row r="137" spans="2:11" s="13" customFormat="1" x14ac:dyDescent="0.2">
      <c r="B137" s="3"/>
      <c r="C137" s="3"/>
      <c r="D137" s="3"/>
      <c r="E137" s="3"/>
      <c r="F137" s="89"/>
      <c r="G137" s="3"/>
      <c r="H137" s="89"/>
      <c r="I137" s="90"/>
      <c r="K137" s="31"/>
    </row>
    <row r="138" spans="2:11" s="13" customFormat="1" x14ac:dyDescent="0.2">
      <c r="B138" s="3"/>
      <c r="C138" s="3"/>
      <c r="D138" s="3"/>
      <c r="E138" s="3"/>
      <c r="F138" s="89"/>
      <c r="G138" s="3"/>
      <c r="H138" s="89"/>
      <c r="I138" s="90"/>
      <c r="K138" s="31"/>
    </row>
    <row r="139" spans="2:11" s="13" customFormat="1" x14ac:dyDescent="0.2">
      <c r="B139" s="3"/>
      <c r="C139" s="3"/>
      <c r="D139" s="3"/>
      <c r="E139" s="3"/>
      <c r="F139" s="89"/>
      <c r="G139" s="3"/>
      <c r="H139" s="89"/>
      <c r="I139" s="90"/>
      <c r="K139" s="31"/>
    </row>
    <row r="140" spans="2:11" s="13" customFormat="1" x14ac:dyDescent="0.2">
      <c r="B140" s="3"/>
      <c r="C140" s="3"/>
      <c r="D140" s="3"/>
      <c r="E140" s="3"/>
      <c r="F140" s="89"/>
      <c r="G140" s="3"/>
      <c r="H140" s="89"/>
      <c r="I140" s="90"/>
      <c r="K140" s="31"/>
    </row>
    <row r="141" spans="2:11" s="13" customFormat="1" x14ac:dyDescent="0.2">
      <c r="B141" s="3"/>
      <c r="C141" s="3"/>
      <c r="D141" s="3"/>
      <c r="E141" s="3"/>
      <c r="F141" s="89"/>
      <c r="G141" s="3"/>
      <c r="H141" s="89"/>
      <c r="I141" s="90"/>
      <c r="K141" s="31"/>
    </row>
    <row r="142" spans="2:11" s="13" customFormat="1" x14ac:dyDescent="0.2">
      <c r="B142" s="3"/>
      <c r="C142" s="3"/>
      <c r="D142" s="3"/>
      <c r="E142" s="3"/>
      <c r="F142" s="89"/>
      <c r="G142" s="3"/>
      <c r="H142" s="89"/>
      <c r="I142" s="90"/>
      <c r="K142" s="31"/>
    </row>
    <row r="143" spans="2:11" s="13" customFormat="1" x14ac:dyDescent="0.2">
      <c r="B143" s="3"/>
      <c r="C143" s="3"/>
      <c r="D143" s="3"/>
      <c r="E143" s="3"/>
      <c r="F143" s="89"/>
      <c r="G143" s="3"/>
      <c r="H143" s="89"/>
      <c r="I143" s="90"/>
      <c r="K143" s="31"/>
    </row>
    <row r="144" spans="2:11" s="13" customFormat="1" x14ac:dyDescent="0.2">
      <c r="B144" s="3"/>
      <c r="C144" s="3"/>
      <c r="D144" s="3"/>
      <c r="E144" s="3"/>
      <c r="F144" s="89"/>
      <c r="G144" s="3"/>
      <c r="H144" s="89"/>
      <c r="I144" s="90"/>
      <c r="K144" s="31"/>
    </row>
    <row r="145" spans="2:11" s="13" customFormat="1" x14ac:dyDescent="0.2">
      <c r="B145" s="3"/>
      <c r="C145" s="3"/>
      <c r="D145" s="3"/>
      <c r="E145" s="3"/>
      <c r="F145" s="89"/>
      <c r="G145" s="3"/>
      <c r="H145" s="89"/>
      <c r="I145" s="90"/>
      <c r="K145" s="31"/>
    </row>
    <row r="146" spans="2:11" s="13" customFormat="1" x14ac:dyDescent="0.2">
      <c r="B146" s="3"/>
      <c r="C146" s="3"/>
      <c r="D146" s="3"/>
      <c r="E146" s="3"/>
      <c r="F146" s="89"/>
      <c r="G146" s="3"/>
      <c r="H146" s="89"/>
      <c r="I146" s="90"/>
      <c r="K146" s="31"/>
    </row>
    <row r="147" spans="2:11" s="13" customFormat="1" x14ac:dyDescent="0.2">
      <c r="B147" s="3"/>
      <c r="C147" s="3"/>
      <c r="D147" s="3"/>
      <c r="E147" s="3"/>
      <c r="F147" s="89"/>
      <c r="G147" s="3"/>
      <c r="H147" s="89"/>
      <c r="I147" s="90"/>
      <c r="K147" s="31"/>
    </row>
    <row r="148" spans="2:11" s="13" customFormat="1" x14ac:dyDescent="0.2">
      <c r="B148" s="3"/>
      <c r="C148" s="3"/>
      <c r="D148" s="3"/>
      <c r="E148" s="3"/>
      <c r="F148" s="89"/>
      <c r="G148" s="3"/>
      <c r="H148" s="89"/>
      <c r="I148" s="90"/>
      <c r="K148" s="31"/>
    </row>
    <row r="149" spans="2:11" s="13" customFormat="1" x14ac:dyDescent="0.2">
      <c r="B149" s="3"/>
      <c r="C149" s="3"/>
      <c r="D149" s="3"/>
      <c r="E149" s="3"/>
      <c r="F149" s="89"/>
      <c r="G149" s="3"/>
      <c r="H149" s="89"/>
      <c r="I149" s="90"/>
      <c r="K149" s="31"/>
    </row>
    <row r="150" spans="2:11" s="13" customFormat="1" x14ac:dyDescent="0.2">
      <c r="B150" s="3"/>
      <c r="C150" s="3"/>
      <c r="D150" s="3"/>
      <c r="E150" s="3"/>
      <c r="F150" s="89"/>
      <c r="G150" s="3"/>
      <c r="H150" s="89"/>
      <c r="I150" s="90"/>
      <c r="K150" s="31"/>
    </row>
    <row r="151" spans="2:11" s="13" customFormat="1" x14ac:dyDescent="0.2">
      <c r="B151" s="3"/>
      <c r="C151" s="3"/>
      <c r="D151" s="3"/>
      <c r="E151" s="3"/>
      <c r="F151" s="89"/>
      <c r="G151" s="3"/>
      <c r="H151" s="89"/>
      <c r="I151" s="90"/>
      <c r="K151" s="31"/>
    </row>
    <row r="152" spans="2:11" s="13" customFormat="1" x14ac:dyDescent="0.2">
      <c r="B152" s="3"/>
      <c r="C152" s="3"/>
      <c r="D152" s="3"/>
      <c r="E152" s="3"/>
      <c r="F152" s="89"/>
      <c r="G152" s="3"/>
      <c r="H152" s="89"/>
      <c r="I152" s="90"/>
      <c r="K152" s="31"/>
    </row>
    <row r="153" spans="2:11" s="13" customFormat="1" x14ac:dyDescent="0.2">
      <c r="B153" s="3"/>
      <c r="C153" s="3"/>
      <c r="D153" s="3"/>
      <c r="E153" s="3"/>
      <c r="F153" s="89"/>
      <c r="G153" s="3"/>
      <c r="H153" s="89"/>
      <c r="I153" s="90"/>
      <c r="K153" s="31"/>
    </row>
    <row r="154" spans="2:11" s="13" customFormat="1" x14ac:dyDescent="0.2">
      <c r="B154" s="3"/>
      <c r="C154" s="3"/>
      <c r="D154" s="3"/>
      <c r="E154" s="3"/>
      <c r="F154" s="89"/>
      <c r="G154" s="3"/>
      <c r="H154" s="89"/>
      <c r="I154" s="90"/>
      <c r="K154" s="31"/>
    </row>
    <row r="155" spans="2:11" s="13" customFormat="1" x14ac:dyDescent="0.2">
      <c r="B155" s="3"/>
      <c r="C155" s="3"/>
      <c r="D155" s="3"/>
      <c r="E155" s="3"/>
      <c r="F155" s="89"/>
      <c r="G155" s="3"/>
      <c r="H155" s="89"/>
      <c r="I155" s="90"/>
      <c r="K155" s="31"/>
    </row>
    <row r="156" spans="2:11" s="13" customFormat="1" x14ac:dyDescent="0.2">
      <c r="B156" s="3"/>
      <c r="C156" s="3"/>
      <c r="D156" s="3"/>
      <c r="E156" s="3"/>
      <c r="F156" s="89"/>
      <c r="G156" s="3"/>
      <c r="H156" s="89"/>
      <c r="I156" s="90"/>
      <c r="K156" s="31"/>
    </row>
    <row r="157" spans="2:11" s="13" customFormat="1" x14ac:dyDescent="0.2">
      <c r="B157" s="3"/>
      <c r="C157" s="3"/>
      <c r="D157" s="3"/>
      <c r="E157" s="3"/>
      <c r="F157" s="89"/>
      <c r="G157" s="3"/>
      <c r="H157" s="89"/>
      <c r="I157" s="90"/>
      <c r="K157" s="31"/>
    </row>
    <row r="158" spans="2:11" s="13" customFormat="1" x14ac:dyDescent="0.2">
      <c r="B158" s="3"/>
      <c r="C158" s="3"/>
      <c r="D158" s="3"/>
      <c r="E158" s="3"/>
      <c r="F158" s="89"/>
      <c r="G158" s="3"/>
      <c r="H158" s="89"/>
      <c r="I158" s="90"/>
      <c r="K158" s="31"/>
    </row>
    <row r="159" spans="2:11" s="13" customFormat="1" x14ac:dyDescent="0.2">
      <c r="B159" s="3"/>
      <c r="C159" s="3"/>
      <c r="D159" s="3"/>
      <c r="E159" s="3"/>
      <c r="F159" s="89"/>
      <c r="G159" s="3"/>
      <c r="H159" s="89"/>
      <c r="I159" s="90"/>
      <c r="K159" s="31"/>
    </row>
    <row r="160" spans="2:11" s="13" customFormat="1" x14ac:dyDescent="0.2">
      <c r="B160" s="3"/>
      <c r="C160" s="3"/>
      <c r="D160" s="3"/>
      <c r="E160" s="3"/>
      <c r="F160" s="89"/>
      <c r="G160" s="3"/>
      <c r="H160" s="89"/>
      <c r="I160" s="90"/>
      <c r="K160" s="31"/>
    </row>
    <row r="161" spans="2:11" s="13" customFormat="1" x14ac:dyDescent="0.2">
      <c r="B161" s="3"/>
      <c r="C161" s="3"/>
      <c r="D161" s="3"/>
      <c r="E161" s="3"/>
      <c r="F161" s="89"/>
      <c r="G161" s="3"/>
      <c r="H161" s="89"/>
      <c r="I161" s="90"/>
      <c r="K161" s="31"/>
    </row>
    <row r="162" spans="2:11" s="13" customFormat="1" x14ac:dyDescent="0.2">
      <c r="B162" s="3"/>
      <c r="C162" s="3"/>
      <c r="D162" s="3"/>
      <c r="E162" s="3"/>
      <c r="F162" s="89"/>
      <c r="G162" s="3"/>
      <c r="H162" s="89"/>
      <c r="I162" s="90"/>
      <c r="K162" s="31"/>
    </row>
    <row r="163" spans="2:11" s="13" customFormat="1" x14ac:dyDescent="0.2">
      <c r="B163" s="3"/>
      <c r="C163" s="3"/>
      <c r="D163" s="3"/>
      <c r="E163" s="3"/>
      <c r="F163" s="89"/>
      <c r="G163" s="3"/>
      <c r="H163" s="89"/>
      <c r="I163" s="90"/>
      <c r="K163" s="31"/>
    </row>
    <row r="164" spans="2:11" s="13" customFormat="1" x14ac:dyDescent="0.2">
      <c r="B164" s="3"/>
      <c r="C164" s="3"/>
      <c r="D164" s="3"/>
      <c r="E164" s="3"/>
      <c r="F164" s="89"/>
      <c r="G164" s="3"/>
      <c r="H164" s="89"/>
      <c r="I164" s="90"/>
      <c r="K164" s="31"/>
    </row>
    <row r="165" spans="2:11" s="13" customFormat="1" x14ac:dyDescent="0.2">
      <c r="B165" s="3"/>
      <c r="C165" s="3"/>
      <c r="D165" s="3"/>
      <c r="E165" s="3"/>
      <c r="F165" s="89"/>
      <c r="G165" s="3"/>
      <c r="H165" s="89"/>
      <c r="I165" s="90"/>
      <c r="K165" s="31"/>
    </row>
    <row r="166" spans="2:11" s="13" customFormat="1" x14ac:dyDescent="0.2">
      <c r="B166" s="3"/>
      <c r="C166" s="3"/>
      <c r="D166" s="3"/>
      <c r="E166" s="3"/>
      <c r="F166" s="89"/>
      <c r="G166" s="3"/>
      <c r="H166" s="89"/>
      <c r="I166" s="90"/>
      <c r="K166" s="31"/>
    </row>
    <row r="167" spans="2:11" s="13" customFormat="1" x14ac:dyDescent="0.2">
      <c r="B167" s="3"/>
      <c r="C167" s="3"/>
      <c r="D167" s="3"/>
      <c r="E167" s="3"/>
      <c r="F167" s="89"/>
      <c r="G167" s="3"/>
      <c r="H167" s="89"/>
      <c r="I167" s="90"/>
      <c r="K167" s="31"/>
    </row>
    <row r="168" spans="2:11" s="13" customFormat="1" x14ac:dyDescent="0.2">
      <c r="B168" s="3"/>
      <c r="C168" s="3"/>
      <c r="D168" s="3"/>
      <c r="E168" s="3"/>
      <c r="F168" s="89"/>
      <c r="G168" s="3"/>
      <c r="H168" s="89"/>
      <c r="I168" s="90"/>
      <c r="K168" s="31"/>
    </row>
    <row r="169" spans="2:11" s="13" customFormat="1" x14ac:dyDescent="0.2">
      <c r="B169" s="3"/>
      <c r="C169" s="3"/>
      <c r="D169" s="3"/>
      <c r="E169" s="3"/>
      <c r="F169" s="89"/>
      <c r="G169" s="3"/>
      <c r="H169" s="89"/>
      <c r="I169" s="90"/>
      <c r="K169" s="31"/>
    </row>
    <row r="170" spans="2:11" s="13" customFormat="1" x14ac:dyDescent="0.2">
      <c r="B170" s="3"/>
      <c r="C170" s="3"/>
      <c r="D170" s="3"/>
      <c r="E170" s="3"/>
      <c r="F170" s="89"/>
      <c r="G170" s="3"/>
      <c r="H170" s="89"/>
      <c r="I170" s="90"/>
      <c r="K170" s="31"/>
    </row>
    <row r="171" spans="2:11" s="13" customFormat="1" x14ac:dyDescent="0.2">
      <c r="B171" s="3"/>
      <c r="C171" s="3"/>
      <c r="D171" s="3"/>
      <c r="E171" s="3"/>
      <c r="F171" s="89"/>
      <c r="G171" s="3"/>
      <c r="H171" s="89"/>
      <c r="I171" s="90"/>
      <c r="K171" s="31"/>
    </row>
    <row r="172" spans="2:11" s="13" customFormat="1" x14ac:dyDescent="0.2">
      <c r="B172" s="3"/>
      <c r="C172" s="3"/>
      <c r="D172" s="3"/>
      <c r="E172" s="3"/>
      <c r="F172" s="89"/>
      <c r="G172" s="3"/>
      <c r="H172" s="89"/>
      <c r="I172" s="90"/>
      <c r="K172" s="31"/>
    </row>
    <row r="173" spans="2:11" s="13" customFormat="1" x14ac:dyDescent="0.2">
      <c r="B173" s="3"/>
      <c r="C173" s="3"/>
      <c r="D173" s="3"/>
      <c r="E173" s="3"/>
      <c r="F173" s="89"/>
      <c r="G173" s="3"/>
      <c r="H173" s="89"/>
      <c r="I173" s="90"/>
      <c r="K173" s="31"/>
    </row>
    <row r="174" spans="2:11" s="13" customFormat="1" x14ac:dyDescent="0.2">
      <c r="B174" s="3"/>
      <c r="C174" s="3"/>
      <c r="D174" s="3"/>
      <c r="E174" s="3"/>
      <c r="F174" s="89"/>
      <c r="G174" s="3"/>
      <c r="H174" s="89"/>
      <c r="I174" s="90"/>
      <c r="K174" s="31"/>
    </row>
    <row r="175" spans="2:11" s="13" customFormat="1" x14ac:dyDescent="0.2">
      <c r="B175" s="3"/>
      <c r="C175" s="3"/>
      <c r="D175" s="3"/>
      <c r="E175" s="3"/>
      <c r="F175" s="89"/>
      <c r="G175" s="3"/>
      <c r="H175" s="89"/>
      <c r="I175" s="90"/>
      <c r="K175" s="31"/>
    </row>
    <row r="176" spans="2:11" s="13" customFormat="1" x14ac:dyDescent="0.2">
      <c r="B176" s="3"/>
      <c r="C176" s="3"/>
      <c r="D176" s="3"/>
      <c r="E176" s="3"/>
      <c r="F176" s="89"/>
      <c r="G176" s="3"/>
      <c r="H176" s="89"/>
      <c r="I176" s="90"/>
      <c r="K176" s="31"/>
    </row>
    <row r="177" spans="2:11" s="13" customFormat="1" x14ac:dyDescent="0.2">
      <c r="B177" s="3"/>
      <c r="C177" s="3"/>
      <c r="D177" s="3"/>
      <c r="E177" s="3"/>
      <c r="F177" s="89"/>
      <c r="G177" s="3"/>
      <c r="H177" s="89"/>
      <c r="I177" s="90"/>
      <c r="K177" s="31"/>
    </row>
    <row r="178" spans="2:11" s="13" customFormat="1" x14ac:dyDescent="0.2">
      <c r="B178" s="3"/>
      <c r="C178" s="3"/>
      <c r="D178" s="3"/>
      <c r="E178" s="3"/>
      <c r="F178" s="89"/>
      <c r="G178" s="3"/>
      <c r="H178" s="89"/>
      <c r="I178" s="90"/>
      <c r="K178" s="31"/>
    </row>
    <row r="179" spans="2:11" s="13" customFormat="1" x14ac:dyDescent="0.2">
      <c r="B179" s="3"/>
      <c r="C179" s="3"/>
      <c r="D179" s="3"/>
      <c r="E179" s="3"/>
      <c r="F179" s="89"/>
      <c r="G179" s="3"/>
      <c r="H179" s="89"/>
      <c r="I179" s="90"/>
      <c r="K179" s="31"/>
    </row>
    <row r="180" spans="2:11" s="13" customFormat="1" x14ac:dyDescent="0.2">
      <c r="B180" s="3"/>
      <c r="C180" s="3"/>
      <c r="D180" s="3"/>
      <c r="E180" s="3"/>
      <c r="F180" s="89"/>
      <c r="G180" s="3"/>
      <c r="H180" s="89"/>
      <c r="I180" s="90"/>
      <c r="K180" s="31"/>
    </row>
    <row r="181" spans="2:11" s="13" customFormat="1" x14ac:dyDescent="0.2">
      <c r="B181" s="3"/>
      <c r="C181" s="3"/>
      <c r="D181" s="3"/>
      <c r="E181" s="3"/>
      <c r="F181" s="89"/>
      <c r="G181" s="3"/>
      <c r="H181" s="89"/>
      <c r="I181" s="90"/>
      <c r="K181" s="31"/>
    </row>
    <row r="182" spans="2:11" s="13" customFormat="1" x14ac:dyDescent="0.2">
      <c r="B182" s="3"/>
      <c r="C182" s="3"/>
      <c r="D182" s="3"/>
      <c r="E182" s="3"/>
      <c r="F182" s="89"/>
      <c r="G182" s="3"/>
      <c r="H182" s="89"/>
      <c r="I182" s="90"/>
      <c r="K182" s="31"/>
    </row>
    <row r="183" spans="2:11" s="13" customFormat="1" x14ac:dyDescent="0.2">
      <c r="B183" s="3"/>
      <c r="C183" s="3"/>
      <c r="D183" s="3"/>
      <c r="E183" s="3"/>
      <c r="F183" s="89"/>
      <c r="G183" s="3"/>
      <c r="H183" s="89"/>
      <c r="I183" s="90"/>
      <c r="K183" s="31"/>
    </row>
    <row r="184" spans="2:11" s="13" customFormat="1" x14ac:dyDescent="0.2">
      <c r="B184" s="3"/>
      <c r="C184" s="3"/>
      <c r="D184" s="3"/>
      <c r="E184" s="3"/>
      <c r="F184" s="89"/>
      <c r="G184" s="3"/>
      <c r="H184" s="89"/>
      <c r="I184" s="90"/>
      <c r="K184" s="31"/>
    </row>
    <row r="185" spans="2:11" s="13" customFormat="1" x14ac:dyDescent="0.2">
      <c r="B185" s="3"/>
      <c r="C185" s="3"/>
      <c r="D185" s="3"/>
      <c r="E185" s="3"/>
      <c r="F185" s="89"/>
      <c r="G185" s="3"/>
      <c r="H185" s="89"/>
      <c r="I185" s="90"/>
      <c r="K185" s="31"/>
    </row>
    <row r="186" spans="2:11" s="13" customFormat="1" x14ac:dyDescent="0.2">
      <c r="B186" s="3"/>
      <c r="C186" s="3"/>
      <c r="D186" s="3"/>
      <c r="E186" s="3"/>
      <c r="F186" s="89"/>
      <c r="G186" s="3"/>
      <c r="H186" s="89"/>
      <c r="I186" s="90"/>
      <c r="K186" s="31"/>
    </row>
    <row r="187" spans="2:11" s="13" customFormat="1" x14ac:dyDescent="0.2">
      <c r="B187" s="3"/>
      <c r="C187" s="3"/>
      <c r="D187" s="3"/>
      <c r="E187" s="3"/>
      <c r="F187" s="89"/>
      <c r="G187" s="3"/>
      <c r="H187" s="89"/>
      <c r="I187" s="90"/>
      <c r="K187" s="31"/>
    </row>
    <row r="188" spans="2:11" s="13" customFormat="1" x14ac:dyDescent="0.2">
      <c r="B188" s="3"/>
      <c r="C188" s="3"/>
      <c r="D188" s="3"/>
      <c r="E188" s="3"/>
      <c r="F188" s="89"/>
      <c r="G188" s="3"/>
      <c r="H188" s="89"/>
      <c r="I188" s="90"/>
      <c r="K188" s="31"/>
    </row>
    <row r="189" spans="2:11" s="13" customFormat="1" x14ac:dyDescent="0.2">
      <c r="B189" s="3"/>
      <c r="C189" s="3"/>
      <c r="D189" s="3"/>
      <c r="E189" s="3"/>
      <c r="F189" s="89"/>
      <c r="G189" s="3"/>
      <c r="H189" s="89"/>
      <c r="I189" s="90"/>
      <c r="K189" s="31"/>
    </row>
    <row r="190" spans="2:11" s="13" customFormat="1" x14ac:dyDescent="0.2">
      <c r="B190" s="3"/>
      <c r="C190" s="3"/>
      <c r="D190" s="3"/>
      <c r="E190" s="3"/>
      <c r="F190" s="89"/>
      <c r="G190" s="3"/>
      <c r="H190" s="89"/>
      <c r="I190" s="90"/>
      <c r="K190" s="31"/>
    </row>
    <row r="191" spans="2:11" s="13" customFormat="1" x14ac:dyDescent="0.2">
      <c r="B191" s="3"/>
      <c r="C191" s="3"/>
      <c r="D191" s="3"/>
      <c r="E191" s="3"/>
      <c r="F191" s="89"/>
      <c r="G191" s="3"/>
      <c r="H191" s="89"/>
      <c r="I191" s="90"/>
      <c r="K191" s="31"/>
    </row>
    <row r="192" spans="2:11" s="13" customFormat="1" x14ac:dyDescent="0.2">
      <c r="B192" s="3"/>
      <c r="C192" s="3"/>
      <c r="D192" s="3"/>
      <c r="E192" s="3"/>
      <c r="F192" s="89"/>
      <c r="G192" s="3"/>
      <c r="H192" s="89"/>
      <c r="I192" s="90"/>
      <c r="K192" s="31"/>
    </row>
    <row r="193" spans="2:11" s="13" customFormat="1" x14ac:dyDescent="0.2">
      <c r="B193" s="3"/>
      <c r="C193" s="3"/>
      <c r="D193" s="3"/>
      <c r="E193" s="3"/>
      <c r="F193" s="89"/>
      <c r="G193" s="3"/>
      <c r="H193" s="89"/>
      <c r="I193" s="90"/>
      <c r="K193" s="31"/>
    </row>
    <row r="194" spans="2:11" s="13" customFormat="1" x14ac:dyDescent="0.2">
      <c r="B194" s="3"/>
      <c r="C194" s="3"/>
      <c r="D194" s="3"/>
      <c r="E194" s="3"/>
      <c r="F194" s="89"/>
      <c r="G194" s="3"/>
      <c r="H194" s="89"/>
      <c r="I194" s="90"/>
      <c r="K194" s="31"/>
    </row>
    <row r="195" spans="2:11" s="13" customFormat="1" x14ac:dyDescent="0.2">
      <c r="B195" s="3"/>
      <c r="C195" s="3"/>
      <c r="D195" s="3"/>
      <c r="E195" s="3"/>
      <c r="F195" s="89"/>
      <c r="G195" s="3"/>
      <c r="H195" s="89"/>
      <c r="I195" s="90"/>
      <c r="K195" s="31"/>
    </row>
    <row r="196" spans="2:11" s="13" customFormat="1" x14ac:dyDescent="0.2">
      <c r="B196" s="3"/>
      <c r="C196" s="3"/>
      <c r="D196" s="3"/>
      <c r="E196" s="3"/>
      <c r="F196" s="89"/>
      <c r="G196" s="3"/>
      <c r="H196" s="89"/>
      <c r="I196" s="90"/>
      <c r="K196" s="31"/>
    </row>
    <row r="197" spans="2:11" s="13" customFormat="1" x14ac:dyDescent="0.2">
      <c r="B197" s="3"/>
      <c r="C197" s="3"/>
      <c r="D197" s="3"/>
      <c r="E197" s="3"/>
      <c r="F197" s="89"/>
      <c r="G197" s="3"/>
      <c r="H197" s="89"/>
      <c r="I197" s="90"/>
      <c r="K197" s="31"/>
    </row>
    <row r="198" spans="2:11" s="13" customFormat="1" x14ac:dyDescent="0.2">
      <c r="B198" s="3"/>
      <c r="C198" s="3"/>
      <c r="D198" s="3"/>
      <c r="E198" s="3"/>
      <c r="F198" s="89"/>
      <c r="G198" s="3"/>
      <c r="H198" s="89"/>
      <c r="I198" s="90"/>
      <c r="K198" s="31"/>
    </row>
    <row r="199" spans="2:11" s="13" customFormat="1" x14ac:dyDescent="0.2">
      <c r="B199" s="3"/>
      <c r="C199" s="3"/>
      <c r="D199" s="3"/>
      <c r="E199" s="3"/>
      <c r="F199" s="89"/>
      <c r="G199" s="3"/>
      <c r="H199" s="89"/>
      <c r="I199" s="90"/>
      <c r="K199" s="31"/>
    </row>
    <row r="200" spans="2:11" s="13" customFormat="1" x14ac:dyDescent="0.2">
      <c r="B200" s="3"/>
      <c r="C200" s="3"/>
      <c r="D200" s="3"/>
      <c r="E200" s="3"/>
      <c r="F200" s="89"/>
      <c r="G200" s="3"/>
      <c r="H200" s="89"/>
      <c r="I200" s="90"/>
      <c r="K200" s="31"/>
    </row>
    <row r="201" spans="2:11" s="13" customFormat="1" x14ac:dyDescent="0.2">
      <c r="B201" s="3"/>
      <c r="C201" s="3"/>
      <c r="D201" s="3"/>
      <c r="E201" s="3"/>
      <c r="F201" s="89"/>
      <c r="G201" s="3"/>
      <c r="H201" s="89"/>
      <c r="I201" s="90"/>
      <c r="K201" s="31"/>
    </row>
    <row r="202" spans="2:11" s="13" customFormat="1" x14ac:dyDescent="0.2">
      <c r="B202" s="3"/>
      <c r="C202" s="3"/>
      <c r="D202" s="3"/>
      <c r="E202" s="3"/>
      <c r="F202" s="89"/>
      <c r="G202" s="3"/>
      <c r="H202" s="89"/>
      <c r="I202" s="90"/>
      <c r="K202" s="31"/>
    </row>
    <row r="203" spans="2:11" s="13" customFormat="1" x14ac:dyDescent="0.2">
      <c r="B203" s="3"/>
      <c r="C203" s="3"/>
      <c r="D203" s="3"/>
      <c r="E203" s="3"/>
      <c r="F203" s="89"/>
      <c r="G203" s="3"/>
      <c r="H203" s="89"/>
      <c r="I203" s="90"/>
      <c r="K203" s="31"/>
    </row>
    <row r="204" spans="2:11" s="13" customFormat="1" x14ac:dyDescent="0.2">
      <c r="B204" s="3"/>
      <c r="C204" s="3"/>
      <c r="D204" s="3"/>
      <c r="E204" s="3"/>
      <c r="F204" s="89"/>
      <c r="G204" s="3"/>
      <c r="H204" s="89"/>
      <c r="I204" s="90"/>
      <c r="K204" s="31"/>
    </row>
    <row r="205" spans="2:11" s="13" customFormat="1" x14ac:dyDescent="0.2">
      <c r="B205" s="3"/>
      <c r="C205" s="3"/>
      <c r="D205" s="3"/>
      <c r="E205" s="3"/>
      <c r="F205" s="89"/>
      <c r="G205" s="3"/>
      <c r="H205" s="89"/>
      <c r="I205" s="90"/>
      <c r="K205" s="31"/>
    </row>
    <row r="206" spans="2:11" s="13" customFormat="1" x14ac:dyDescent="0.2">
      <c r="B206" s="3"/>
      <c r="C206" s="3"/>
      <c r="D206" s="3"/>
      <c r="E206" s="3"/>
      <c r="F206" s="89"/>
      <c r="G206" s="3"/>
      <c r="H206" s="89"/>
      <c r="I206" s="90"/>
      <c r="K206" s="31"/>
    </row>
    <row r="207" spans="2:11" s="13" customFormat="1" x14ac:dyDescent="0.2">
      <c r="B207" s="3"/>
      <c r="C207" s="3"/>
      <c r="D207" s="3"/>
      <c r="E207" s="3"/>
      <c r="F207" s="89"/>
      <c r="G207" s="3"/>
      <c r="H207" s="89"/>
      <c r="I207" s="90"/>
      <c r="K207" s="31"/>
    </row>
    <row r="208" spans="2:11" s="13" customFormat="1" x14ac:dyDescent="0.2">
      <c r="B208" s="3"/>
      <c r="C208" s="3"/>
      <c r="D208" s="3"/>
      <c r="E208" s="3"/>
      <c r="F208" s="89"/>
      <c r="G208" s="3"/>
      <c r="H208" s="89"/>
      <c r="I208" s="90"/>
      <c r="K208" s="31"/>
    </row>
    <row r="209" spans="2:11" s="13" customFormat="1" x14ac:dyDescent="0.2">
      <c r="B209" s="3"/>
      <c r="C209" s="3"/>
      <c r="D209" s="3"/>
      <c r="E209" s="3"/>
      <c r="F209" s="89"/>
      <c r="G209" s="3"/>
      <c r="H209" s="89"/>
      <c r="I209" s="90"/>
      <c r="K209" s="31"/>
    </row>
    <row r="210" spans="2:11" s="13" customFormat="1" x14ac:dyDescent="0.2">
      <c r="B210" s="3"/>
      <c r="C210" s="3"/>
      <c r="D210" s="3"/>
      <c r="E210" s="3"/>
      <c r="F210" s="89"/>
      <c r="G210" s="3"/>
      <c r="H210" s="89"/>
      <c r="I210" s="90"/>
      <c r="K210" s="31"/>
    </row>
    <row r="211" spans="2:11" s="13" customFormat="1" x14ac:dyDescent="0.2">
      <c r="B211" s="3"/>
      <c r="C211" s="3"/>
      <c r="D211" s="3"/>
      <c r="E211" s="3"/>
      <c r="F211" s="89"/>
      <c r="G211" s="3"/>
      <c r="H211" s="89"/>
      <c r="I211" s="90"/>
      <c r="K211" s="31"/>
    </row>
    <row r="212" spans="2:11" s="13" customFormat="1" x14ac:dyDescent="0.2">
      <c r="B212" s="3"/>
      <c r="C212" s="3"/>
      <c r="D212" s="3"/>
      <c r="E212" s="3"/>
      <c r="F212" s="89"/>
      <c r="G212" s="3"/>
      <c r="H212" s="89"/>
      <c r="I212" s="90"/>
      <c r="K212" s="31"/>
    </row>
    <row r="213" spans="2:11" s="13" customFormat="1" x14ac:dyDescent="0.2">
      <c r="B213" s="3"/>
      <c r="C213" s="3"/>
      <c r="D213" s="3"/>
      <c r="E213" s="3"/>
      <c r="F213" s="89"/>
      <c r="G213" s="3"/>
      <c r="H213" s="89"/>
      <c r="I213" s="90"/>
      <c r="K213" s="31"/>
    </row>
    <row r="214" spans="2:11" s="13" customFormat="1" x14ac:dyDescent="0.2">
      <c r="B214" s="3"/>
      <c r="C214" s="3"/>
      <c r="D214" s="3"/>
      <c r="E214" s="3"/>
      <c r="F214" s="89"/>
      <c r="G214" s="3"/>
      <c r="H214" s="89"/>
      <c r="I214" s="90"/>
      <c r="K214" s="31"/>
    </row>
    <row r="215" spans="2:11" s="13" customFormat="1" x14ac:dyDescent="0.2">
      <c r="B215" s="3"/>
      <c r="C215" s="3"/>
      <c r="D215" s="3"/>
      <c r="E215" s="3"/>
      <c r="F215" s="89"/>
      <c r="G215" s="3"/>
      <c r="H215" s="89"/>
      <c r="I215" s="90"/>
      <c r="K215" s="31"/>
    </row>
    <row r="216" spans="2:11" s="13" customFormat="1" x14ac:dyDescent="0.2">
      <c r="B216" s="3"/>
      <c r="C216" s="3"/>
      <c r="D216" s="3"/>
      <c r="E216" s="3"/>
      <c r="F216" s="89"/>
      <c r="G216" s="3"/>
      <c r="H216" s="89"/>
      <c r="I216" s="90"/>
      <c r="K216" s="31"/>
    </row>
    <row r="217" spans="2:11" s="13" customFormat="1" x14ac:dyDescent="0.2">
      <c r="B217" s="3"/>
      <c r="C217" s="3"/>
      <c r="D217" s="3"/>
      <c r="E217" s="3"/>
      <c r="F217" s="89"/>
      <c r="G217" s="3"/>
      <c r="H217" s="89"/>
      <c r="I217" s="90"/>
      <c r="K217" s="31"/>
    </row>
    <row r="218" spans="2:11" s="13" customFormat="1" x14ac:dyDescent="0.2">
      <c r="B218" s="3"/>
      <c r="C218" s="3"/>
      <c r="D218" s="3"/>
      <c r="E218" s="3"/>
      <c r="F218" s="89"/>
      <c r="G218" s="3"/>
      <c r="H218" s="89"/>
      <c r="I218" s="90"/>
      <c r="K218" s="31"/>
    </row>
    <row r="219" spans="2:11" s="13" customFormat="1" x14ac:dyDescent="0.2">
      <c r="B219" s="3"/>
      <c r="C219" s="3"/>
      <c r="D219" s="3"/>
      <c r="E219" s="3"/>
      <c r="F219" s="89"/>
      <c r="G219" s="3"/>
      <c r="H219" s="89"/>
      <c r="I219" s="90"/>
      <c r="K219" s="31"/>
    </row>
    <row r="220" spans="2:11" s="13" customFormat="1" x14ac:dyDescent="0.2">
      <c r="B220" s="3"/>
      <c r="C220" s="3"/>
      <c r="D220" s="3"/>
      <c r="E220" s="3"/>
      <c r="F220" s="89"/>
      <c r="G220" s="3"/>
      <c r="H220" s="89"/>
      <c r="I220" s="90"/>
      <c r="K220" s="31"/>
    </row>
    <row r="221" spans="2:11" s="13" customFormat="1" x14ac:dyDescent="0.2">
      <c r="B221" s="3"/>
      <c r="C221" s="3"/>
      <c r="D221" s="3"/>
      <c r="E221" s="3"/>
      <c r="F221" s="89"/>
      <c r="G221" s="3"/>
      <c r="H221" s="89"/>
      <c r="I221" s="90"/>
      <c r="K221" s="31"/>
    </row>
    <row r="222" spans="2:11" s="13" customFormat="1" x14ac:dyDescent="0.2">
      <c r="B222" s="3"/>
      <c r="C222" s="3"/>
      <c r="D222" s="3"/>
      <c r="E222" s="3"/>
      <c r="F222" s="89"/>
      <c r="G222" s="3"/>
      <c r="H222" s="89"/>
      <c r="I222" s="90"/>
      <c r="K222" s="31"/>
    </row>
    <row r="223" spans="2:11" s="13" customFormat="1" x14ac:dyDescent="0.2">
      <c r="B223" s="3"/>
      <c r="C223" s="3"/>
      <c r="D223" s="3"/>
      <c r="E223" s="3"/>
      <c r="F223" s="89"/>
      <c r="G223" s="3"/>
      <c r="H223" s="89"/>
      <c r="I223" s="90"/>
      <c r="K223" s="31"/>
    </row>
    <row r="224" spans="2:11" s="13" customFormat="1" x14ac:dyDescent="0.2">
      <c r="B224" s="3"/>
      <c r="C224" s="3"/>
      <c r="D224" s="3"/>
      <c r="E224" s="3"/>
      <c r="F224" s="89"/>
      <c r="G224" s="3"/>
      <c r="H224" s="89"/>
      <c r="I224" s="90"/>
      <c r="K224" s="31"/>
    </row>
    <row r="225" spans="2:11" s="13" customFormat="1" x14ac:dyDescent="0.2">
      <c r="B225" s="3"/>
      <c r="C225" s="3"/>
      <c r="D225" s="3"/>
      <c r="E225" s="3"/>
      <c r="F225" s="89"/>
      <c r="G225" s="3"/>
      <c r="H225" s="89"/>
      <c r="I225" s="90"/>
      <c r="K225" s="31"/>
    </row>
    <row r="226" spans="2:11" s="13" customFormat="1" x14ac:dyDescent="0.2">
      <c r="B226" s="3"/>
      <c r="C226" s="3"/>
      <c r="D226" s="3"/>
      <c r="E226" s="3"/>
      <c r="F226" s="89"/>
      <c r="G226" s="3"/>
      <c r="H226" s="89"/>
      <c r="I226" s="90"/>
      <c r="K226" s="31"/>
    </row>
    <row r="227" spans="2:11" s="13" customFormat="1" x14ac:dyDescent="0.2">
      <c r="B227" s="3"/>
      <c r="C227" s="3"/>
      <c r="D227" s="3"/>
      <c r="E227" s="3"/>
      <c r="F227" s="89"/>
      <c r="G227" s="3"/>
      <c r="H227" s="89"/>
      <c r="I227" s="90"/>
      <c r="K227" s="31"/>
    </row>
    <row r="228" spans="2:11" s="13" customFormat="1" x14ac:dyDescent="0.2">
      <c r="B228" s="3"/>
      <c r="C228" s="3"/>
      <c r="D228" s="3"/>
      <c r="E228" s="3"/>
      <c r="F228" s="89"/>
      <c r="G228" s="3"/>
      <c r="H228" s="89"/>
      <c r="I228" s="90"/>
      <c r="K228" s="31"/>
    </row>
    <row r="229" spans="2:11" s="13" customFormat="1" x14ac:dyDescent="0.2">
      <c r="B229" s="3"/>
      <c r="C229" s="3"/>
      <c r="D229" s="3"/>
      <c r="E229" s="3"/>
      <c r="F229" s="89"/>
      <c r="G229" s="3"/>
      <c r="H229" s="89"/>
      <c r="I229" s="90"/>
      <c r="K229" s="31"/>
    </row>
    <row r="230" spans="2:11" s="13" customFormat="1" x14ac:dyDescent="0.2">
      <c r="B230" s="3"/>
      <c r="C230" s="3"/>
      <c r="D230" s="3"/>
      <c r="E230" s="3"/>
      <c r="F230" s="89"/>
      <c r="G230" s="3"/>
      <c r="H230" s="89"/>
      <c r="I230" s="90"/>
      <c r="K230" s="31"/>
    </row>
    <row r="231" spans="2:11" s="13" customFormat="1" x14ac:dyDescent="0.2">
      <c r="B231" s="3"/>
      <c r="C231" s="3"/>
      <c r="D231" s="3"/>
      <c r="E231" s="3"/>
      <c r="F231" s="89"/>
      <c r="G231" s="3"/>
      <c r="H231" s="89"/>
      <c r="I231" s="90"/>
      <c r="K231" s="31"/>
    </row>
    <row r="232" spans="2:11" s="13" customFormat="1" x14ac:dyDescent="0.2">
      <c r="B232" s="3"/>
      <c r="C232" s="3"/>
      <c r="D232" s="3"/>
      <c r="E232" s="3"/>
      <c r="F232" s="89"/>
      <c r="G232" s="3"/>
      <c r="H232" s="89"/>
      <c r="I232" s="90"/>
      <c r="K232" s="31"/>
    </row>
    <row r="233" spans="2:11" s="13" customFormat="1" x14ac:dyDescent="0.2">
      <c r="B233" s="3"/>
      <c r="C233" s="3"/>
      <c r="D233" s="3"/>
      <c r="E233" s="3"/>
      <c r="F233" s="89"/>
      <c r="G233" s="3"/>
      <c r="H233" s="89"/>
      <c r="I233" s="90"/>
      <c r="K233" s="31"/>
    </row>
    <row r="234" spans="2:11" s="13" customFormat="1" x14ac:dyDescent="0.2">
      <c r="B234" s="3"/>
      <c r="C234" s="3"/>
      <c r="D234" s="3"/>
      <c r="E234" s="3"/>
      <c r="F234" s="89"/>
      <c r="G234" s="3"/>
      <c r="H234" s="89"/>
      <c r="I234" s="90"/>
      <c r="K234" s="31"/>
    </row>
    <row r="235" spans="2:11" s="13" customFormat="1" x14ac:dyDescent="0.2">
      <c r="B235" s="3"/>
      <c r="C235" s="3"/>
      <c r="D235" s="3"/>
      <c r="E235" s="3"/>
      <c r="F235" s="89"/>
      <c r="G235" s="3"/>
      <c r="H235" s="89"/>
      <c r="I235" s="90"/>
      <c r="K235" s="31"/>
    </row>
    <row r="236" spans="2:11" s="13" customFormat="1" x14ac:dyDescent="0.2">
      <c r="B236" s="3"/>
      <c r="C236" s="3"/>
      <c r="D236" s="3"/>
      <c r="E236" s="3"/>
      <c r="F236" s="89"/>
      <c r="G236" s="3"/>
      <c r="H236" s="89"/>
      <c r="I236" s="90"/>
      <c r="K236" s="31"/>
    </row>
    <row r="237" spans="2:11" s="13" customFormat="1" x14ac:dyDescent="0.2">
      <c r="B237" s="3"/>
      <c r="C237" s="3"/>
      <c r="D237" s="3"/>
      <c r="E237" s="3"/>
      <c r="F237" s="89"/>
      <c r="G237" s="3"/>
      <c r="H237" s="89"/>
      <c r="I237" s="90"/>
      <c r="K237" s="31"/>
    </row>
    <row r="238" spans="2:11" s="13" customFormat="1" x14ac:dyDescent="0.2">
      <c r="B238" s="3"/>
      <c r="C238" s="3"/>
      <c r="D238" s="3"/>
      <c r="E238" s="3"/>
      <c r="F238" s="89"/>
      <c r="G238" s="3"/>
      <c r="H238" s="89"/>
      <c r="I238" s="90"/>
      <c r="K238" s="31"/>
    </row>
    <row r="239" spans="2:11" s="13" customFormat="1" x14ac:dyDescent="0.2">
      <c r="B239" s="3"/>
      <c r="C239" s="3"/>
      <c r="D239" s="3"/>
      <c r="E239" s="3"/>
      <c r="F239" s="89"/>
      <c r="G239" s="3"/>
      <c r="H239" s="89"/>
      <c r="I239" s="90"/>
      <c r="K239" s="31"/>
    </row>
    <row r="240" spans="2:11" s="13" customFormat="1" x14ac:dyDescent="0.2">
      <c r="B240" s="3"/>
      <c r="C240" s="3"/>
      <c r="D240" s="3"/>
      <c r="E240" s="3"/>
      <c r="F240" s="89"/>
      <c r="G240" s="3"/>
      <c r="H240" s="89"/>
      <c r="I240" s="90"/>
      <c r="K240" s="31"/>
    </row>
    <row r="241" spans="2:11" s="13" customFormat="1" x14ac:dyDescent="0.2">
      <c r="B241" s="3"/>
      <c r="C241" s="3"/>
      <c r="D241" s="3"/>
      <c r="E241" s="3"/>
      <c r="F241" s="89"/>
      <c r="G241" s="3"/>
      <c r="H241" s="89"/>
      <c r="I241" s="90"/>
      <c r="K241" s="31"/>
    </row>
    <row r="242" spans="2:11" s="13" customFormat="1" x14ac:dyDescent="0.2">
      <c r="B242" s="3"/>
      <c r="C242" s="3"/>
      <c r="D242" s="3"/>
      <c r="E242" s="3"/>
      <c r="F242" s="89"/>
      <c r="G242" s="3"/>
      <c r="H242" s="89"/>
      <c r="I242" s="90"/>
      <c r="K242" s="31"/>
    </row>
    <row r="243" spans="2:11" s="13" customFormat="1" x14ac:dyDescent="0.2">
      <c r="B243" s="3"/>
      <c r="C243" s="3"/>
      <c r="D243" s="3"/>
      <c r="E243" s="3"/>
      <c r="F243" s="89"/>
      <c r="G243" s="3"/>
      <c r="H243" s="89"/>
      <c r="I243" s="90"/>
      <c r="K243" s="31"/>
    </row>
    <row r="244" spans="2:11" s="13" customFormat="1" x14ac:dyDescent="0.2">
      <c r="B244" s="3"/>
      <c r="C244" s="3"/>
      <c r="D244" s="3"/>
      <c r="E244" s="3"/>
      <c r="F244" s="89"/>
      <c r="G244" s="3"/>
      <c r="H244" s="89"/>
      <c r="I244" s="90"/>
      <c r="K244" s="31"/>
    </row>
    <row r="245" spans="2:11" s="13" customFormat="1" x14ac:dyDescent="0.2">
      <c r="B245" s="3"/>
      <c r="C245" s="3"/>
      <c r="D245" s="3"/>
      <c r="E245" s="3"/>
      <c r="F245" s="89"/>
      <c r="G245" s="3"/>
      <c r="H245" s="89"/>
      <c r="I245" s="90"/>
      <c r="K245" s="31"/>
    </row>
    <row r="246" spans="2:11" s="13" customFormat="1" x14ac:dyDescent="0.2">
      <c r="B246" s="3"/>
      <c r="C246" s="3"/>
      <c r="D246" s="3"/>
      <c r="E246" s="3"/>
      <c r="F246" s="89"/>
      <c r="G246" s="3"/>
      <c r="H246" s="89"/>
      <c r="I246" s="90"/>
      <c r="K246" s="31"/>
    </row>
    <row r="247" spans="2:11" s="13" customFormat="1" x14ac:dyDescent="0.2">
      <c r="B247" s="3"/>
      <c r="C247" s="3"/>
      <c r="D247" s="3"/>
      <c r="E247" s="3"/>
      <c r="F247" s="89"/>
      <c r="G247" s="3"/>
      <c r="H247" s="89"/>
      <c r="I247" s="90"/>
      <c r="K247" s="31"/>
    </row>
    <row r="248" spans="2:11" s="13" customFormat="1" x14ac:dyDescent="0.2">
      <c r="B248" s="3"/>
      <c r="C248" s="3"/>
      <c r="D248" s="3"/>
      <c r="E248" s="3"/>
      <c r="F248" s="89"/>
      <c r="G248" s="3"/>
      <c r="H248" s="89"/>
      <c r="I248" s="90"/>
      <c r="K248" s="31"/>
    </row>
    <row r="249" spans="2:11" s="13" customFormat="1" x14ac:dyDescent="0.2">
      <c r="B249" s="3"/>
      <c r="C249" s="3"/>
      <c r="D249" s="3"/>
      <c r="E249" s="3"/>
      <c r="F249" s="89"/>
      <c r="G249" s="3"/>
      <c r="H249" s="89"/>
      <c r="I249" s="90"/>
      <c r="K249" s="31"/>
    </row>
    <row r="250" spans="2:11" s="13" customFormat="1" x14ac:dyDescent="0.2">
      <c r="B250" s="3"/>
      <c r="C250" s="3"/>
      <c r="D250" s="3"/>
      <c r="E250" s="3"/>
      <c r="F250" s="89"/>
      <c r="G250" s="3"/>
      <c r="H250" s="89"/>
      <c r="I250" s="90"/>
      <c r="K250" s="31"/>
    </row>
    <row r="251" spans="2:11" s="13" customFormat="1" x14ac:dyDescent="0.2">
      <c r="B251" s="3"/>
      <c r="C251" s="3"/>
      <c r="D251" s="3"/>
      <c r="E251" s="3"/>
      <c r="F251" s="89"/>
      <c r="G251" s="3"/>
      <c r="H251" s="89"/>
      <c r="I251" s="90"/>
      <c r="K251" s="31"/>
    </row>
    <row r="252" spans="2:11" s="13" customFormat="1" x14ac:dyDescent="0.2">
      <c r="B252" s="3"/>
      <c r="C252" s="3"/>
      <c r="D252" s="3"/>
      <c r="E252" s="3"/>
      <c r="F252" s="89"/>
      <c r="G252" s="3"/>
      <c r="H252" s="89"/>
      <c r="I252" s="90"/>
      <c r="K252" s="31"/>
    </row>
    <row r="253" spans="2:11" s="13" customFormat="1" x14ac:dyDescent="0.2">
      <c r="B253" s="3"/>
      <c r="C253" s="3"/>
      <c r="D253" s="3"/>
      <c r="E253" s="3"/>
      <c r="F253" s="89"/>
      <c r="G253" s="3"/>
      <c r="H253" s="89"/>
      <c r="I253" s="90"/>
      <c r="K253" s="31"/>
    </row>
    <row r="254" spans="2:11" s="13" customFormat="1" x14ac:dyDescent="0.2">
      <c r="B254" s="3"/>
      <c r="C254" s="3"/>
      <c r="D254" s="3"/>
      <c r="E254" s="3"/>
      <c r="F254" s="89"/>
      <c r="G254" s="3"/>
      <c r="H254" s="89"/>
      <c r="I254" s="90"/>
      <c r="K254" s="31"/>
    </row>
    <row r="255" spans="2:11" s="13" customFormat="1" x14ac:dyDescent="0.2">
      <c r="B255" s="3"/>
      <c r="C255" s="3"/>
      <c r="D255" s="3"/>
      <c r="E255" s="3"/>
      <c r="F255" s="89"/>
      <c r="G255" s="3"/>
      <c r="H255" s="89"/>
      <c r="I255" s="90"/>
      <c r="K255" s="31"/>
    </row>
    <row r="256" spans="2:11" s="13" customFormat="1" x14ac:dyDescent="0.2">
      <c r="B256" s="3"/>
      <c r="C256" s="3"/>
      <c r="D256" s="3"/>
      <c r="E256" s="3"/>
      <c r="F256" s="89"/>
      <c r="G256" s="3"/>
      <c r="H256" s="89"/>
      <c r="I256" s="90"/>
      <c r="K256" s="31"/>
    </row>
    <row r="257" spans="2:11" s="13" customFormat="1" x14ac:dyDescent="0.2">
      <c r="B257" s="3"/>
      <c r="C257" s="3"/>
      <c r="D257" s="3"/>
      <c r="E257" s="3"/>
      <c r="F257" s="89"/>
      <c r="G257" s="3"/>
      <c r="H257" s="89"/>
      <c r="I257" s="90"/>
      <c r="K257" s="31"/>
    </row>
    <row r="258" spans="2:11" s="13" customFormat="1" x14ac:dyDescent="0.2">
      <c r="B258" s="3"/>
      <c r="C258" s="3"/>
      <c r="D258" s="3"/>
      <c r="E258" s="3"/>
      <c r="F258" s="89"/>
      <c r="G258" s="3"/>
      <c r="H258" s="89"/>
      <c r="I258" s="90"/>
      <c r="K258" s="31"/>
    </row>
    <row r="259" spans="2:11" s="13" customFormat="1" x14ac:dyDescent="0.2">
      <c r="B259" s="3"/>
      <c r="C259" s="3"/>
      <c r="D259" s="3"/>
      <c r="E259" s="3"/>
      <c r="F259" s="89"/>
      <c r="G259" s="3"/>
      <c r="H259" s="89"/>
      <c r="I259" s="90"/>
      <c r="K259" s="31"/>
    </row>
    <row r="260" spans="2:11" s="13" customFormat="1" x14ac:dyDescent="0.2">
      <c r="B260" s="3"/>
      <c r="C260" s="3"/>
      <c r="D260" s="3"/>
      <c r="E260" s="3"/>
      <c r="F260" s="89"/>
      <c r="G260" s="3"/>
      <c r="H260" s="89"/>
      <c r="I260" s="90"/>
      <c r="K260" s="31"/>
    </row>
    <row r="261" spans="2:11" s="13" customFormat="1" x14ac:dyDescent="0.2">
      <c r="B261" s="3"/>
      <c r="C261" s="3"/>
      <c r="D261" s="3"/>
      <c r="E261" s="3"/>
      <c r="F261" s="89"/>
      <c r="G261" s="3"/>
      <c r="H261" s="89"/>
      <c r="I261" s="90"/>
      <c r="K261" s="31"/>
    </row>
    <row r="262" spans="2:11" s="13" customFormat="1" x14ac:dyDescent="0.2">
      <c r="B262" s="3"/>
      <c r="C262" s="3"/>
      <c r="D262" s="3"/>
      <c r="E262" s="3"/>
      <c r="F262" s="89"/>
      <c r="G262" s="3"/>
      <c r="H262" s="89"/>
      <c r="I262" s="90"/>
      <c r="K262" s="31"/>
    </row>
    <row r="263" spans="2:11" s="13" customFormat="1" x14ac:dyDescent="0.2">
      <c r="B263" s="3"/>
      <c r="C263" s="3"/>
      <c r="D263" s="3"/>
      <c r="E263" s="3"/>
      <c r="F263" s="89"/>
      <c r="G263" s="3"/>
      <c r="H263" s="89"/>
      <c r="I263" s="90"/>
      <c r="K263" s="31"/>
    </row>
    <row r="264" spans="2:11" s="13" customFormat="1" x14ac:dyDescent="0.2">
      <c r="B264" s="3"/>
      <c r="C264" s="3"/>
      <c r="D264" s="3"/>
      <c r="E264" s="3"/>
      <c r="F264" s="89"/>
      <c r="G264" s="3"/>
      <c r="H264" s="89"/>
      <c r="I264" s="90"/>
      <c r="K264" s="31"/>
    </row>
    <row r="265" spans="2:11" s="13" customFormat="1" x14ac:dyDescent="0.2">
      <c r="B265" s="3"/>
      <c r="C265" s="3"/>
      <c r="D265" s="3"/>
      <c r="E265" s="3"/>
      <c r="F265" s="89"/>
      <c r="G265" s="3"/>
      <c r="H265" s="89"/>
      <c r="I265" s="90"/>
      <c r="K265" s="31"/>
    </row>
    <row r="266" spans="2:11" s="13" customFormat="1" x14ac:dyDescent="0.2">
      <c r="B266" s="3"/>
      <c r="C266" s="3"/>
      <c r="D266" s="3"/>
      <c r="E266" s="3"/>
      <c r="F266" s="89"/>
      <c r="G266" s="3"/>
      <c r="H266" s="89"/>
      <c r="I266" s="90"/>
      <c r="K266" s="31"/>
    </row>
    <row r="267" spans="2:11" s="13" customFormat="1" x14ac:dyDescent="0.2">
      <c r="B267" s="3"/>
      <c r="C267" s="3"/>
      <c r="D267" s="3"/>
      <c r="E267" s="3"/>
      <c r="F267" s="89"/>
      <c r="G267" s="3"/>
      <c r="H267" s="89"/>
      <c r="I267" s="90"/>
      <c r="K267" s="31"/>
    </row>
    <row r="268" spans="2:11" s="13" customFormat="1" x14ac:dyDescent="0.2">
      <c r="B268" s="3"/>
      <c r="C268" s="3"/>
      <c r="D268" s="3"/>
      <c r="E268" s="3"/>
      <c r="F268" s="89"/>
      <c r="G268" s="3"/>
      <c r="H268" s="89"/>
      <c r="I268" s="90"/>
      <c r="K268" s="31"/>
    </row>
    <row r="269" spans="2:11" s="13" customFormat="1" x14ac:dyDescent="0.2">
      <c r="B269" s="3"/>
      <c r="C269" s="3"/>
      <c r="D269" s="3"/>
      <c r="E269" s="3"/>
      <c r="F269" s="89"/>
      <c r="G269" s="3"/>
      <c r="H269" s="89"/>
      <c r="I269" s="90"/>
      <c r="K269" s="31"/>
    </row>
    <row r="270" spans="2:11" s="13" customFormat="1" x14ac:dyDescent="0.2">
      <c r="B270" s="3"/>
      <c r="C270" s="3"/>
      <c r="D270" s="3"/>
      <c r="E270" s="3"/>
      <c r="F270" s="89"/>
      <c r="G270" s="3"/>
      <c r="H270" s="89"/>
      <c r="I270" s="90"/>
      <c r="K270" s="31"/>
    </row>
    <row r="271" spans="2:11" s="13" customFormat="1" x14ac:dyDescent="0.2">
      <c r="B271" s="3"/>
      <c r="C271" s="3"/>
      <c r="D271" s="3"/>
      <c r="E271" s="3"/>
      <c r="F271" s="89"/>
      <c r="G271" s="3"/>
      <c r="H271" s="89"/>
      <c r="I271" s="90"/>
      <c r="K271" s="31"/>
    </row>
    <row r="272" spans="2:11" s="13" customFormat="1" x14ac:dyDescent="0.2">
      <c r="B272" s="3"/>
      <c r="C272" s="3"/>
      <c r="D272" s="3"/>
      <c r="E272" s="3"/>
      <c r="F272" s="89"/>
      <c r="G272" s="3"/>
      <c r="H272" s="89"/>
      <c r="I272" s="90"/>
      <c r="K272" s="31"/>
    </row>
  </sheetData>
  <mergeCells count="70">
    <mergeCell ref="G45:H45"/>
    <mergeCell ref="E57:F59"/>
    <mergeCell ref="G57:H57"/>
    <mergeCell ref="G58:H58"/>
    <mergeCell ref="G59:H59"/>
    <mergeCell ref="E60:F62"/>
    <mergeCell ref="G60:H60"/>
    <mergeCell ref="G61:H61"/>
    <mergeCell ref="G62:H62"/>
    <mergeCell ref="E51:F53"/>
    <mergeCell ref="G51:H51"/>
    <mergeCell ref="G52:H52"/>
    <mergeCell ref="G53:H53"/>
    <mergeCell ref="E54:F56"/>
    <mergeCell ref="G54:H54"/>
    <mergeCell ref="G55:H55"/>
    <mergeCell ref="G56:H56"/>
    <mergeCell ref="G46:H46"/>
    <mergeCell ref="G47:H47"/>
    <mergeCell ref="E48:F50"/>
    <mergeCell ref="G48:H48"/>
    <mergeCell ref="G49:H49"/>
    <mergeCell ref="G50:H50"/>
    <mergeCell ref="E46:F47"/>
    <mergeCell ref="B57:B59"/>
    <mergeCell ref="C57:C59"/>
    <mergeCell ref="D57:D59"/>
    <mergeCell ref="B60:B62"/>
    <mergeCell ref="C60:C62"/>
    <mergeCell ref="D60:D62"/>
    <mergeCell ref="B51:B53"/>
    <mergeCell ref="C51:C53"/>
    <mergeCell ref="D51:D53"/>
    <mergeCell ref="B54:B56"/>
    <mergeCell ref="C54:C56"/>
    <mergeCell ref="D54:D56"/>
    <mergeCell ref="B48:B50"/>
    <mergeCell ref="C48:C50"/>
    <mergeCell ref="D48:D50"/>
    <mergeCell ref="B38:B43"/>
    <mergeCell ref="C38:C43"/>
    <mergeCell ref="D38:D43"/>
    <mergeCell ref="E38:E43"/>
    <mergeCell ref="B46:B47"/>
    <mergeCell ref="C46:C47"/>
    <mergeCell ref="D46:D47"/>
    <mergeCell ref="E45:F45"/>
    <mergeCell ref="B26:B31"/>
    <mergeCell ref="C26:C31"/>
    <mergeCell ref="D26:D31"/>
    <mergeCell ref="E26:E31"/>
    <mergeCell ref="B32:B37"/>
    <mergeCell ref="C32:C37"/>
    <mergeCell ref="D32:D37"/>
    <mergeCell ref="E32:E37"/>
    <mergeCell ref="B20:B25"/>
    <mergeCell ref="C20:C25"/>
    <mergeCell ref="D20:D25"/>
    <mergeCell ref="E20:E25"/>
    <mergeCell ref="B2:J2"/>
    <mergeCell ref="B4:J4"/>
    <mergeCell ref="B6:H8"/>
    <mergeCell ref="I6:J6"/>
    <mergeCell ref="I7:J8"/>
    <mergeCell ref="C10:J10"/>
    <mergeCell ref="C11:J11"/>
    <mergeCell ref="B14:B19"/>
    <mergeCell ref="C14:C19"/>
    <mergeCell ref="D14:D19"/>
    <mergeCell ref="E14:E19"/>
  </mergeCells>
  <conditionalFormatting sqref="I1 I63:I1048576">
    <cfRule type="cellIs" dxfId="345" priority="14" operator="equal">
      <formula>1</formula>
    </cfRule>
  </conditionalFormatting>
  <conditionalFormatting sqref="I7">
    <cfRule type="cellIs" dxfId="344" priority="13" operator="equal">
      <formula>1</formula>
    </cfRule>
  </conditionalFormatting>
  <conditionalFormatting sqref="I14:I43">
    <cfRule type="expression" dxfId="191" priority="5" stopIfTrue="1">
      <formula>TRIM(UPPER(I14))="N/A"</formula>
    </cfRule>
    <cfRule type="expression" dxfId="190" priority="6">
      <formula>I14&gt;=0.9</formula>
    </cfRule>
    <cfRule type="expression" dxfId="189" priority="7">
      <formula>AND(I14&gt;=0.8, I14&lt;0.9)</formula>
    </cfRule>
    <cfRule type="expression" dxfId="188" priority="8">
      <formula>I14&lt;0.8</formula>
    </cfRule>
  </conditionalFormatting>
  <conditionalFormatting sqref="I46:I62">
    <cfRule type="expression" dxfId="183" priority="1" stopIfTrue="1">
      <formula>TRIM(UPPER(I46))="N/A"</formula>
    </cfRule>
    <cfRule type="expression" dxfId="182" priority="2">
      <formula>I46&gt;=0.9</formula>
    </cfRule>
    <cfRule type="expression" dxfId="181" priority="3">
      <formula>AND(I46&gt;=0.8, I46&lt;0.9)</formula>
    </cfRule>
    <cfRule type="expression" dxfId="180" priority="4">
      <formula>I46&lt;0.8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C071AEC-61C7-9B47-BAC7-C40B8C51E862}">
          <x14:formula1>
            <xm:f>'Listas desplegables'!$C$4:$C$15</xm:f>
          </x14:formula1>
          <xm:sqref>I14:I43 I46:I62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3C6E3-D695-469C-88CD-5F6B135AF9D9}">
  <sheetPr>
    <tabColor rgb="FF0993A5"/>
  </sheetPr>
  <dimension ref="A1:BA521"/>
  <sheetViews>
    <sheetView zoomScale="74" zoomScaleNormal="74" workbookViewId="0">
      <selection activeCell="I14" sqref="I14"/>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3" customWidth="1"/>
    <col min="14" max="53" width="10.6640625" style="13"/>
    <col min="54" max="16384" width="10.6640625" style="1"/>
  </cols>
  <sheetData>
    <row r="1" spans="2:53" ht="5.25" customHeight="1" x14ac:dyDescent="0.2">
      <c r="K1" s="13"/>
      <c r="L1" s="13"/>
    </row>
    <row r="2" spans="2:53" ht="60" customHeight="1" x14ac:dyDescent="0.2">
      <c r="B2" s="155" t="s">
        <v>28</v>
      </c>
      <c r="C2" s="155"/>
      <c r="D2" s="155"/>
      <c r="E2" s="155"/>
      <c r="F2" s="155"/>
      <c r="G2" s="155"/>
      <c r="H2" s="155"/>
      <c r="I2" s="155"/>
      <c r="J2" s="156"/>
      <c r="K2" s="13"/>
      <c r="L2" s="13"/>
    </row>
    <row r="3" spans="2:53" s="13" customFormat="1" ht="4.5" customHeight="1" x14ac:dyDescent="0.2">
      <c r="B3" s="14"/>
      <c r="C3" s="14"/>
      <c r="D3" s="14"/>
      <c r="E3" s="14"/>
      <c r="F3" s="14"/>
      <c r="G3" s="45"/>
      <c r="H3" s="14"/>
      <c r="I3" s="14"/>
    </row>
    <row r="4" spans="2:53" s="2" customFormat="1" ht="45" customHeight="1" x14ac:dyDescent="0.2">
      <c r="B4" s="157" t="s">
        <v>739</v>
      </c>
      <c r="C4" s="158"/>
      <c r="D4" s="158"/>
      <c r="E4" s="158"/>
      <c r="F4" s="158"/>
      <c r="G4" s="158"/>
      <c r="H4" s="158"/>
      <c r="I4" s="158"/>
      <c r="J4" s="159"/>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row>
    <row r="5" spans="2:53" ht="4.5" customHeight="1" x14ac:dyDescent="0.2">
      <c r="B5" s="7"/>
      <c r="C5" s="7"/>
      <c r="D5" s="7"/>
      <c r="E5" s="7"/>
      <c r="F5" s="8"/>
      <c r="G5" s="46"/>
      <c r="H5" s="8"/>
      <c r="I5" s="8"/>
      <c r="J5" s="8"/>
      <c r="K5" s="13"/>
      <c r="L5" s="13"/>
    </row>
    <row r="6" spans="2:53" ht="23" customHeight="1" x14ac:dyDescent="0.2">
      <c r="B6" s="160" t="s">
        <v>12</v>
      </c>
      <c r="C6" s="160"/>
      <c r="D6" s="160"/>
      <c r="E6" s="160"/>
      <c r="F6" s="160"/>
      <c r="G6" s="160"/>
      <c r="H6" s="160"/>
      <c r="I6" s="162" t="s">
        <v>11</v>
      </c>
      <c r="J6" s="108"/>
      <c r="K6" s="13"/>
      <c r="L6" s="13"/>
    </row>
    <row r="7" spans="2:53" ht="15.75" customHeight="1" x14ac:dyDescent="0.2">
      <c r="B7" s="160"/>
      <c r="C7" s="160"/>
      <c r="D7" s="160"/>
      <c r="E7" s="160"/>
      <c r="F7" s="160"/>
      <c r="G7" s="160"/>
      <c r="H7" s="160"/>
      <c r="I7" s="163">
        <f>AVERAGEIF(I14:I39,"&lt;&gt;N/A")</f>
        <v>0.4</v>
      </c>
      <c r="J7" s="164"/>
      <c r="K7" s="13"/>
      <c r="L7" s="13"/>
    </row>
    <row r="8" spans="2:53" ht="15.75" customHeight="1" x14ac:dyDescent="0.2">
      <c r="B8" s="161"/>
      <c r="C8" s="161"/>
      <c r="D8" s="161"/>
      <c r="E8" s="161"/>
      <c r="F8" s="161"/>
      <c r="G8" s="161"/>
      <c r="H8" s="161"/>
      <c r="I8" s="163"/>
      <c r="J8" s="164"/>
      <c r="K8" s="13"/>
      <c r="L8" s="13"/>
    </row>
    <row r="9" spans="2:53" ht="5.25" customHeight="1" x14ac:dyDescent="0.2">
      <c r="F9" s="5"/>
      <c r="G9" s="47"/>
      <c r="K9" s="13"/>
      <c r="L9" s="13"/>
    </row>
    <row r="10" spans="2:53" ht="338.5" customHeight="1" x14ac:dyDescent="0.2">
      <c r="B10" s="40" t="s">
        <v>13</v>
      </c>
      <c r="C10" s="147" t="s">
        <v>740</v>
      </c>
      <c r="D10" s="148"/>
      <c r="E10" s="148"/>
      <c r="F10" s="148"/>
      <c r="G10" s="148"/>
      <c r="H10" s="148"/>
      <c r="I10" s="148"/>
      <c r="J10" s="149"/>
      <c r="K10" s="31"/>
      <c r="L10" s="13"/>
    </row>
    <row r="11" spans="2:53" ht="82" customHeight="1" x14ac:dyDescent="0.2">
      <c r="B11" s="39" t="s">
        <v>14</v>
      </c>
      <c r="C11" s="150" t="s">
        <v>741</v>
      </c>
      <c r="D11" s="150"/>
      <c r="E11" s="150"/>
      <c r="F11" s="150"/>
      <c r="G11" s="150"/>
      <c r="H11" s="150"/>
      <c r="I11" s="150"/>
      <c r="J11" s="150"/>
      <c r="K11" s="31"/>
      <c r="L11" s="13"/>
    </row>
    <row r="12" spans="2:53" ht="5.25" customHeight="1" x14ac:dyDescent="0.2"/>
    <row r="13" spans="2:53" s="73" customFormat="1" ht="32" x14ac:dyDescent="0.2">
      <c r="B13" s="69" t="s">
        <v>34</v>
      </c>
      <c r="C13" s="69" t="s">
        <v>15</v>
      </c>
      <c r="D13" s="69" t="s">
        <v>108</v>
      </c>
      <c r="E13" s="69" t="s">
        <v>109</v>
      </c>
      <c r="F13" s="70" t="s">
        <v>32</v>
      </c>
      <c r="G13" s="69" t="s">
        <v>40</v>
      </c>
      <c r="H13" s="70" t="s">
        <v>16</v>
      </c>
      <c r="I13" s="71" t="s">
        <v>8</v>
      </c>
      <c r="J13" s="69" t="s">
        <v>17</v>
      </c>
      <c r="K13" s="72" t="s">
        <v>44</v>
      </c>
      <c r="L13" s="69" t="s">
        <v>45</v>
      </c>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c r="AY13" s="98"/>
      <c r="AZ13" s="98"/>
      <c r="BA13" s="98"/>
    </row>
    <row r="14" spans="2:53" ht="125.5" customHeight="1" x14ac:dyDescent="0.2">
      <c r="B14" s="151" t="s">
        <v>83</v>
      </c>
      <c r="C14" s="151" t="s">
        <v>19</v>
      </c>
      <c r="D14" s="153" t="s">
        <v>742</v>
      </c>
      <c r="E14" s="177" t="s">
        <v>2487</v>
      </c>
      <c r="F14" s="78" t="s">
        <v>743</v>
      </c>
      <c r="G14" s="12" t="s">
        <v>744</v>
      </c>
      <c r="H14" s="34" t="s">
        <v>745</v>
      </c>
      <c r="I14" s="28">
        <v>0.4</v>
      </c>
      <c r="J14" s="11"/>
      <c r="K14" s="33"/>
      <c r="L14" s="29"/>
    </row>
    <row r="15" spans="2:53" ht="125.5" customHeight="1" x14ac:dyDescent="0.2">
      <c r="B15" s="152"/>
      <c r="C15" s="152"/>
      <c r="D15" s="154"/>
      <c r="E15" s="178"/>
      <c r="F15" s="78" t="s">
        <v>746</v>
      </c>
      <c r="G15" s="12" t="s">
        <v>35</v>
      </c>
      <c r="H15" s="34" t="s">
        <v>747</v>
      </c>
      <c r="I15" s="28" t="s">
        <v>10</v>
      </c>
      <c r="J15" s="11"/>
      <c r="K15" s="33"/>
      <c r="L15" s="29"/>
    </row>
    <row r="16" spans="2:53" ht="125.5" customHeight="1" x14ac:dyDescent="0.2">
      <c r="B16" s="152"/>
      <c r="C16" s="152"/>
      <c r="D16" s="154"/>
      <c r="E16" s="178"/>
      <c r="F16" s="78" t="s">
        <v>748</v>
      </c>
      <c r="G16" s="12" t="s">
        <v>43</v>
      </c>
      <c r="H16" s="34" t="s">
        <v>749</v>
      </c>
      <c r="I16" s="28" t="s">
        <v>10</v>
      </c>
      <c r="J16" s="11"/>
      <c r="K16" s="33"/>
      <c r="L16" s="29"/>
    </row>
    <row r="17" spans="2:12" ht="125.5" customHeight="1" x14ac:dyDescent="0.2">
      <c r="B17" s="152"/>
      <c r="C17" s="152"/>
      <c r="D17" s="154"/>
      <c r="E17" s="178"/>
      <c r="F17" s="78" t="s">
        <v>750</v>
      </c>
      <c r="G17" s="12" t="s">
        <v>36</v>
      </c>
      <c r="H17" s="34" t="s">
        <v>751</v>
      </c>
      <c r="I17" s="28" t="s">
        <v>10</v>
      </c>
      <c r="J17" s="11"/>
      <c r="K17" s="33"/>
      <c r="L17" s="29"/>
    </row>
    <row r="18" spans="2:12" ht="125.5" customHeight="1" x14ac:dyDescent="0.2">
      <c r="B18" s="152"/>
      <c r="C18" s="152"/>
      <c r="D18" s="154"/>
      <c r="E18" s="178"/>
      <c r="F18" s="78" t="s">
        <v>752</v>
      </c>
      <c r="G18" s="12" t="s">
        <v>43</v>
      </c>
      <c r="H18" s="34" t="s">
        <v>753</v>
      </c>
      <c r="I18" s="28" t="s">
        <v>10</v>
      </c>
      <c r="J18" s="11"/>
      <c r="K18" s="33"/>
      <c r="L18" s="29"/>
    </row>
    <row r="19" spans="2:12" ht="125.5" customHeight="1" x14ac:dyDescent="0.2">
      <c r="B19" s="152"/>
      <c r="C19" s="152"/>
      <c r="D19" s="154"/>
      <c r="E19" s="178"/>
      <c r="F19" s="78" t="s">
        <v>754</v>
      </c>
      <c r="G19" s="12" t="s">
        <v>43</v>
      </c>
      <c r="H19" s="34" t="s">
        <v>755</v>
      </c>
      <c r="I19" s="28" t="s">
        <v>10</v>
      </c>
      <c r="J19" s="11"/>
      <c r="K19" s="33"/>
      <c r="L19" s="29"/>
    </row>
    <row r="20" spans="2:12" ht="125.5" customHeight="1" x14ac:dyDescent="0.2">
      <c r="B20" s="152"/>
      <c r="C20" s="152"/>
      <c r="D20" s="154"/>
      <c r="E20" s="178"/>
      <c r="F20" s="78" t="s">
        <v>756</v>
      </c>
      <c r="G20" s="12" t="s">
        <v>110</v>
      </c>
      <c r="H20" s="34" t="s">
        <v>757</v>
      </c>
      <c r="I20" s="28" t="s">
        <v>10</v>
      </c>
      <c r="J20" s="11"/>
      <c r="K20" s="33"/>
      <c r="L20" s="29"/>
    </row>
    <row r="21" spans="2:12" ht="125.5" customHeight="1" x14ac:dyDescent="0.2">
      <c r="B21" s="152"/>
      <c r="C21" s="152"/>
      <c r="D21" s="154"/>
      <c r="E21" s="178"/>
      <c r="F21" s="78" t="s">
        <v>758</v>
      </c>
      <c r="G21" s="12" t="s">
        <v>39</v>
      </c>
      <c r="H21" s="34" t="s">
        <v>759</v>
      </c>
      <c r="I21" s="28" t="s">
        <v>10</v>
      </c>
      <c r="J21" s="11"/>
      <c r="K21" s="33"/>
      <c r="L21" s="29"/>
    </row>
    <row r="22" spans="2:12" ht="72" customHeight="1" x14ac:dyDescent="0.2">
      <c r="B22" s="143" t="s">
        <v>83</v>
      </c>
      <c r="C22" s="143" t="s">
        <v>20</v>
      </c>
      <c r="D22" s="145" t="s">
        <v>760</v>
      </c>
      <c r="E22" s="181" t="s">
        <v>2485</v>
      </c>
      <c r="F22" s="23" t="s">
        <v>761</v>
      </c>
      <c r="G22" s="41" t="s">
        <v>36</v>
      </c>
      <c r="H22" s="35" t="s">
        <v>762</v>
      </c>
      <c r="I22" s="28" t="s">
        <v>10</v>
      </c>
      <c r="J22" s="36"/>
      <c r="K22" s="37"/>
      <c r="L22" s="38"/>
    </row>
    <row r="23" spans="2:12" ht="72" customHeight="1" x14ac:dyDescent="0.2">
      <c r="B23" s="144"/>
      <c r="C23" s="144"/>
      <c r="D23" s="146"/>
      <c r="E23" s="182"/>
      <c r="F23" s="23" t="s">
        <v>763</v>
      </c>
      <c r="G23" s="41" t="s">
        <v>38</v>
      </c>
      <c r="H23" s="35" t="s">
        <v>764</v>
      </c>
      <c r="I23" s="28" t="s">
        <v>10</v>
      </c>
      <c r="J23" s="36"/>
      <c r="K23" s="37"/>
      <c r="L23" s="38"/>
    </row>
    <row r="24" spans="2:12" ht="72" customHeight="1" x14ac:dyDescent="0.2">
      <c r="B24" s="144"/>
      <c r="C24" s="144"/>
      <c r="D24" s="146"/>
      <c r="E24" s="182"/>
      <c r="F24" s="23" t="s">
        <v>765</v>
      </c>
      <c r="G24" s="41" t="s">
        <v>36</v>
      </c>
      <c r="H24" s="35" t="s">
        <v>766</v>
      </c>
      <c r="I24" s="28" t="s">
        <v>10</v>
      </c>
      <c r="J24" s="36"/>
      <c r="K24" s="37"/>
      <c r="L24" s="38"/>
    </row>
    <row r="25" spans="2:12" ht="72" customHeight="1" x14ac:dyDescent="0.2">
      <c r="B25" s="144"/>
      <c r="C25" s="144"/>
      <c r="D25" s="146"/>
      <c r="E25" s="182"/>
      <c r="F25" s="23" t="s">
        <v>767</v>
      </c>
      <c r="G25" s="41" t="s">
        <v>35</v>
      </c>
      <c r="H25" s="35" t="s">
        <v>768</v>
      </c>
      <c r="I25" s="28" t="s">
        <v>10</v>
      </c>
      <c r="J25" s="36"/>
      <c r="K25" s="37"/>
      <c r="L25" s="38"/>
    </row>
    <row r="26" spans="2:12" ht="79.75" customHeight="1" x14ac:dyDescent="0.2">
      <c r="B26" s="151" t="s">
        <v>83</v>
      </c>
      <c r="C26" s="151" t="s">
        <v>21</v>
      </c>
      <c r="D26" s="177" t="s">
        <v>769</v>
      </c>
      <c r="E26" s="177" t="s">
        <v>2486</v>
      </c>
      <c r="F26" s="22" t="s">
        <v>770</v>
      </c>
      <c r="G26" s="12" t="s">
        <v>36</v>
      </c>
      <c r="H26" s="34" t="s">
        <v>771</v>
      </c>
      <c r="I26" s="28" t="s">
        <v>10</v>
      </c>
      <c r="J26" s="11"/>
      <c r="K26" s="33"/>
      <c r="L26" s="29"/>
    </row>
    <row r="27" spans="2:12" ht="79.75" customHeight="1" x14ac:dyDescent="0.2">
      <c r="B27" s="152"/>
      <c r="C27" s="152"/>
      <c r="D27" s="178"/>
      <c r="E27" s="178"/>
      <c r="F27" s="22" t="s">
        <v>772</v>
      </c>
      <c r="G27" s="12" t="s">
        <v>43</v>
      </c>
      <c r="H27" s="34" t="s">
        <v>773</v>
      </c>
      <c r="I27" s="28" t="s">
        <v>10</v>
      </c>
      <c r="J27" s="11"/>
      <c r="K27" s="33"/>
      <c r="L27" s="29"/>
    </row>
    <row r="28" spans="2:12" ht="79.75" customHeight="1" x14ac:dyDescent="0.2">
      <c r="B28" s="152"/>
      <c r="C28" s="152"/>
      <c r="D28" s="178"/>
      <c r="E28" s="178"/>
      <c r="F28" s="22" t="s">
        <v>774</v>
      </c>
      <c r="G28" s="12" t="s">
        <v>43</v>
      </c>
      <c r="H28" s="34" t="s">
        <v>775</v>
      </c>
      <c r="I28" s="28" t="s">
        <v>10</v>
      </c>
      <c r="J28" s="11"/>
      <c r="K28" s="33"/>
      <c r="L28" s="29"/>
    </row>
    <row r="29" spans="2:12" ht="66" customHeight="1" x14ac:dyDescent="0.2">
      <c r="B29" s="143" t="s">
        <v>83</v>
      </c>
      <c r="C29" s="143" t="s">
        <v>23</v>
      </c>
      <c r="D29" s="181" t="s">
        <v>776</v>
      </c>
      <c r="E29" s="181" t="s">
        <v>777</v>
      </c>
      <c r="F29" s="23" t="s">
        <v>778</v>
      </c>
      <c r="G29" s="41" t="s">
        <v>36</v>
      </c>
      <c r="H29" s="35" t="s">
        <v>779</v>
      </c>
      <c r="I29" s="28" t="s">
        <v>10</v>
      </c>
      <c r="J29" s="36"/>
      <c r="K29" s="37"/>
      <c r="L29" s="38"/>
    </row>
    <row r="30" spans="2:12" ht="66" customHeight="1" x14ac:dyDescent="0.2">
      <c r="B30" s="144"/>
      <c r="C30" s="144"/>
      <c r="D30" s="182"/>
      <c r="E30" s="182"/>
      <c r="F30" s="23" t="s">
        <v>780</v>
      </c>
      <c r="G30" s="41" t="s">
        <v>43</v>
      </c>
      <c r="H30" s="35" t="s">
        <v>781</v>
      </c>
      <c r="I30" s="28" t="s">
        <v>10</v>
      </c>
      <c r="J30" s="36"/>
      <c r="K30" s="37"/>
      <c r="L30" s="38"/>
    </row>
    <row r="31" spans="2:12" ht="66" customHeight="1" x14ac:dyDescent="0.2">
      <c r="B31" s="144"/>
      <c r="C31" s="144"/>
      <c r="D31" s="182"/>
      <c r="E31" s="182"/>
      <c r="F31" s="23" t="s">
        <v>782</v>
      </c>
      <c r="G31" s="41" t="s">
        <v>43</v>
      </c>
      <c r="H31" s="35" t="s">
        <v>783</v>
      </c>
      <c r="I31" s="28" t="s">
        <v>10</v>
      </c>
      <c r="J31" s="36"/>
      <c r="K31" s="37"/>
      <c r="L31" s="38"/>
    </row>
    <row r="32" spans="2:12" ht="66" customHeight="1" x14ac:dyDescent="0.2">
      <c r="B32" s="144"/>
      <c r="C32" s="144"/>
      <c r="D32" s="182"/>
      <c r="E32" s="182"/>
      <c r="F32" s="23" t="s">
        <v>784</v>
      </c>
      <c r="G32" s="41" t="s">
        <v>35</v>
      </c>
      <c r="H32" s="35" t="s">
        <v>785</v>
      </c>
      <c r="I32" s="28" t="s">
        <v>10</v>
      </c>
      <c r="J32" s="36"/>
      <c r="K32" s="37"/>
      <c r="L32" s="38"/>
    </row>
    <row r="33" spans="2:53" ht="66" customHeight="1" x14ac:dyDescent="0.2">
      <c r="B33" s="144"/>
      <c r="C33" s="144"/>
      <c r="D33" s="182"/>
      <c r="E33" s="182"/>
      <c r="F33" s="23" t="s">
        <v>786</v>
      </c>
      <c r="G33" s="41" t="s">
        <v>43</v>
      </c>
      <c r="H33" s="35" t="s">
        <v>787</v>
      </c>
      <c r="I33" s="28" t="s">
        <v>10</v>
      </c>
      <c r="J33" s="36"/>
      <c r="K33" s="37"/>
      <c r="L33" s="38"/>
    </row>
    <row r="34" spans="2:53" ht="54" customHeight="1" x14ac:dyDescent="0.2">
      <c r="B34" s="151" t="s">
        <v>83</v>
      </c>
      <c r="C34" s="151" t="s">
        <v>24</v>
      </c>
      <c r="D34" s="185" t="s">
        <v>788</v>
      </c>
      <c r="E34" s="185" t="s">
        <v>789</v>
      </c>
      <c r="F34" s="22" t="s">
        <v>790</v>
      </c>
      <c r="G34" s="12" t="s">
        <v>36</v>
      </c>
      <c r="H34" s="34" t="s">
        <v>791</v>
      </c>
      <c r="I34" s="28" t="s">
        <v>10</v>
      </c>
      <c r="J34" s="11"/>
      <c r="K34" s="33"/>
      <c r="L34" s="29"/>
    </row>
    <row r="35" spans="2:53" ht="54" customHeight="1" x14ac:dyDescent="0.2">
      <c r="B35" s="152"/>
      <c r="C35" s="152"/>
      <c r="D35" s="186"/>
      <c r="E35" s="186"/>
      <c r="F35" s="22" t="s">
        <v>792</v>
      </c>
      <c r="G35" s="12" t="s">
        <v>36</v>
      </c>
      <c r="H35" s="34" t="s">
        <v>793</v>
      </c>
      <c r="I35" s="28" t="s">
        <v>10</v>
      </c>
      <c r="J35" s="11"/>
      <c r="K35" s="33"/>
      <c r="L35" s="29"/>
    </row>
    <row r="36" spans="2:53" ht="54" customHeight="1" x14ac:dyDescent="0.2">
      <c r="B36" s="152"/>
      <c r="C36" s="152"/>
      <c r="D36" s="186"/>
      <c r="E36" s="186"/>
      <c r="F36" s="22" t="s">
        <v>794</v>
      </c>
      <c r="G36" s="12" t="s">
        <v>43</v>
      </c>
      <c r="H36" s="34" t="s">
        <v>795</v>
      </c>
      <c r="I36" s="28" t="s">
        <v>10</v>
      </c>
      <c r="J36" s="11"/>
      <c r="K36" s="33"/>
      <c r="L36" s="29"/>
    </row>
    <row r="37" spans="2:53" ht="54" customHeight="1" x14ac:dyDescent="0.2">
      <c r="B37" s="152"/>
      <c r="C37" s="152"/>
      <c r="D37" s="186"/>
      <c r="E37" s="186"/>
      <c r="F37" s="22" t="s">
        <v>796</v>
      </c>
      <c r="G37" s="12" t="s">
        <v>35</v>
      </c>
      <c r="H37" s="34" t="s">
        <v>797</v>
      </c>
      <c r="I37" s="28" t="s">
        <v>10</v>
      </c>
      <c r="J37" s="11"/>
      <c r="K37" s="33"/>
      <c r="L37" s="29"/>
    </row>
    <row r="38" spans="2:53" ht="54" customHeight="1" x14ac:dyDescent="0.2">
      <c r="B38" s="152"/>
      <c r="C38" s="152"/>
      <c r="D38" s="186"/>
      <c r="E38" s="186"/>
      <c r="F38" s="22" t="s">
        <v>798</v>
      </c>
      <c r="G38" s="12" t="s">
        <v>36</v>
      </c>
      <c r="H38" s="34" t="s">
        <v>799</v>
      </c>
      <c r="I38" s="28" t="s">
        <v>10</v>
      </c>
      <c r="J38" s="11"/>
      <c r="K38" s="33"/>
      <c r="L38" s="29"/>
    </row>
    <row r="39" spans="2:53" ht="54" customHeight="1" x14ac:dyDescent="0.2">
      <c r="B39" s="152"/>
      <c r="C39" s="152"/>
      <c r="D39" s="186"/>
      <c r="E39" s="186"/>
      <c r="F39" s="22" t="s">
        <v>800</v>
      </c>
      <c r="G39" s="12" t="s">
        <v>36</v>
      </c>
      <c r="H39" s="34" t="s">
        <v>801</v>
      </c>
      <c r="I39" s="28" t="s">
        <v>10</v>
      </c>
      <c r="J39" s="11"/>
      <c r="K39" s="33"/>
      <c r="L39" s="29"/>
    </row>
    <row r="40" spans="2:53" ht="5.25" customHeight="1" x14ac:dyDescent="0.2">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row>
    <row r="41" spans="2:53" ht="31" customHeight="1" x14ac:dyDescent="0.2">
      <c r="B41" s="69" t="s">
        <v>34</v>
      </c>
      <c r="C41" s="69" t="s">
        <v>258</v>
      </c>
      <c r="D41" s="69" t="s">
        <v>259</v>
      </c>
      <c r="E41" s="169" t="s">
        <v>32</v>
      </c>
      <c r="F41" s="170"/>
      <c r="G41" s="169" t="s">
        <v>16</v>
      </c>
      <c r="H41" s="170"/>
      <c r="I41" s="71" t="s">
        <v>8</v>
      </c>
      <c r="J41" s="69" t="s">
        <v>17</v>
      </c>
      <c r="K41" s="72" t="s">
        <v>44</v>
      </c>
      <c r="L41" s="69" t="s">
        <v>45</v>
      </c>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row>
    <row r="42" spans="2:53" ht="95.5" customHeight="1" x14ac:dyDescent="0.2">
      <c r="B42" s="143" t="s">
        <v>83</v>
      </c>
      <c r="C42" s="143" t="s">
        <v>260</v>
      </c>
      <c r="D42" s="145" t="s">
        <v>802</v>
      </c>
      <c r="E42" s="135" t="s">
        <v>803</v>
      </c>
      <c r="F42" s="136"/>
      <c r="G42" s="141" t="s">
        <v>2251</v>
      </c>
      <c r="H42" s="142"/>
      <c r="I42" s="28" t="s">
        <v>10</v>
      </c>
      <c r="J42" s="36"/>
      <c r="K42" s="37"/>
      <c r="L42" s="38"/>
    </row>
    <row r="43" spans="2:53" ht="95.5" customHeight="1" x14ac:dyDescent="0.2">
      <c r="B43" s="144"/>
      <c r="C43" s="144"/>
      <c r="D43" s="146"/>
      <c r="E43" s="137"/>
      <c r="F43" s="138"/>
      <c r="G43" s="141" t="s">
        <v>2252</v>
      </c>
      <c r="H43" s="142"/>
      <c r="I43" s="28" t="s">
        <v>10</v>
      </c>
      <c r="J43" s="36"/>
      <c r="K43" s="37"/>
      <c r="L43" s="38"/>
    </row>
    <row r="44" spans="2:53" ht="95.5" customHeight="1" x14ac:dyDescent="0.2">
      <c r="B44" s="144"/>
      <c r="C44" s="144"/>
      <c r="D44" s="146"/>
      <c r="E44" s="139"/>
      <c r="F44" s="140"/>
      <c r="G44" s="141" t="s">
        <v>2253</v>
      </c>
      <c r="H44" s="142"/>
      <c r="I44" s="28" t="s">
        <v>10</v>
      </c>
      <c r="J44" s="36"/>
      <c r="K44" s="37"/>
      <c r="L44" s="38"/>
    </row>
    <row r="45" spans="2:53" ht="70.25" customHeight="1" x14ac:dyDescent="0.2">
      <c r="B45" s="151" t="s">
        <v>83</v>
      </c>
      <c r="C45" s="151" t="s">
        <v>261</v>
      </c>
      <c r="D45" s="177" t="s">
        <v>804</v>
      </c>
      <c r="E45" s="129" t="s">
        <v>805</v>
      </c>
      <c r="F45" s="130"/>
      <c r="G45" s="127" t="s">
        <v>2254</v>
      </c>
      <c r="H45" s="128"/>
      <c r="I45" s="28" t="s">
        <v>10</v>
      </c>
      <c r="J45" s="11"/>
      <c r="K45" s="33"/>
      <c r="L45" s="29"/>
    </row>
    <row r="46" spans="2:53" ht="70.25" customHeight="1" x14ac:dyDescent="0.2">
      <c r="B46" s="152"/>
      <c r="C46" s="152"/>
      <c r="D46" s="178"/>
      <c r="E46" s="131"/>
      <c r="F46" s="132"/>
      <c r="G46" s="127" t="s">
        <v>806</v>
      </c>
      <c r="H46" s="128"/>
      <c r="I46" s="28" t="s">
        <v>10</v>
      </c>
      <c r="J46" s="11"/>
      <c r="K46" s="33"/>
      <c r="L46" s="29"/>
    </row>
    <row r="47" spans="2:53" ht="70.25" customHeight="1" x14ac:dyDescent="0.2">
      <c r="B47" s="173"/>
      <c r="C47" s="173"/>
      <c r="D47" s="179"/>
      <c r="E47" s="133"/>
      <c r="F47" s="134"/>
      <c r="G47" s="127" t="s">
        <v>2255</v>
      </c>
      <c r="H47" s="128"/>
      <c r="I47" s="28" t="s">
        <v>10</v>
      </c>
      <c r="J47" s="11"/>
      <c r="K47" s="33"/>
      <c r="L47" s="29"/>
    </row>
    <row r="48" spans="2:53" ht="85" customHeight="1" x14ac:dyDescent="0.2">
      <c r="B48" s="143" t="s">
        <v>83</v>
      </c>
      <c r="C48" s="143" t="s">
        <v>262</v>
      </c>
      <c r="D48" s="181" t="s">
        <v>807</v>
      </c>
      <c r="E48" s="135" t="s">
        <v>808</v>
      </c>
      <c r="F48" s="136"/>
      <c r="G48" s="141" t="s">
        <v>809</v>
      </c>
      <c r="H48" s="142"/>
      <c r="I48" s="28" t="s">
        <v>10</v>
      </c>
      <c r="J48" s="36"/>
      <c r="K48" s="37"/>
      <c r="L48" s="38"/>
    </row>
    <row r="49" spans="2:12" ht="67" customHeight="1" x14ac:dyDescent="0.2">
      <c r="B49" s="144"/>
      <c r="C49" s="144"/>
      <c r="D49" s="182"/>
      <c r="E49" s="137"/>
      <c r="F49" s="138"/>
      <c r="G49" s="141" t="s">
        <v>810</v>
      </c>
      <c r="H49" s="142"/>
      <c r="I49" s="28" t="s">
        <v>10</v>
      </c>
      <c r="J49" s="36"/>
      <c r="K49" s="37"/>
      <c r="L49" s="38"/>
    </row>
    <row r="50" spans="2:12" ht="85" customHeight="1" x14ac:dyDescent="0.2">
      <c r="B50" s="144"/>
      <c r="C50" s="180"/>
      <c r="D50" s="183"/>
      <c r="E50" s="139"/>
      <c r="F50" s="140"/>
      <c r="G50" s="141" t="s">
        <v>811</v>
      </c>
      <c r="H50" s="142"/>
      <c r="I50" s="28" t="s">
        <v>10</v>
      </c>
      <c r="J50" s="36"/>
      <c r="K50" s="37"/>
      <c r="L50" s="38"/>
    </row>
    <row r="51" spans="2:12" ht="87.5" customHeight="1" x14ac:dyDescent="0.2">
      <c r="B51" s="151" t="s">
        <v>83</v>
      </c>
      <c r="C51" s="151" t="s">
        <v>263</v>
      </c>
      <c r="D51" s="177" t="s">
        <v>812</v>
      </c>
      <c r="E51" s="129" t="s">
        <v>813</v>
      </c>
      <c r="F51" s="130"/>
      <c r="G51" s="127" t="s">
        <v>814</v>
      </c>
      <c r="H51" s="128"/>
      <c r="I51" s="28" t="s">
        <v>10</v>
      </c>
      <c r="J51" s="11"/>
      <c r="K51" s="33"/>
      <c r="L51" s="29"/>
    </row>
    <row r="52" spans="2:12" ht="87.5" customHeight="1" x14ac:dyDescent="0.2">
      <c r="B52" s="152"/>
      <c r="C52" s="152"/>
      <c r="D52" s="178"/>
      <c r="E52" s="133"/>
      <c r="F52" s="134"/>
      <c r="G52" s="127" t="s">
        <v>815</v>
      </c>
      <c r="H52" s="128"/>
      <c r="I52" s="28" t="s">
        <v>10</v>
      </c>
      <c r="J52" s="11"/>
      <c r="K52" s="33"/>
      <c r="L52" s="29"/>
    </row>
    <row r="53" spans="2:12" ht="102.5" customHeight="1" x14ac:dyDescent="0.2">
      <c r="B53" s="143" t="s">
        <v>83</v>
      </c>
      <c r="C53" s="143" t="s">
        <v>264</v>
      </c>
      <c r="D53" s="181" t="s">
        <v>816</v>
      </c>
      <c r="E53" s="135" t="s">
        <v>817</v>
      </c>
      <c r="F53" s="136"/>
      <c r="G53" s="141" t="s">
        <v>2256</v>
      </c>
      <c r="H53" s="142"/>
      <c r="I53" s="28" t="s">
        <v>10</v>
      </c>
      <c r="J53" s="36"/>
      <c r="K53" s="37"/>
      <c r="L53" s="38"/>
    </row>
    <row r="54" spans="2:12" ht="102.5" customHeight="1" x14ac:dyDescent="0.2">
      <c r="B54" s="144"/>
      <c r="C54" s="144"/>
      <c r="D54" s="182"/>
      <c r="E54" s="137"/>
      <c r="F54" s="138"/>
      <c r="G54" s="141" t="s">
        <v>2257</v>
      </c>
      <c r="H54" s="142"/>
      <c r="I54" s="28" t="s">
        <v>10</v>
      </c>
      <c r="J54" s="36"/>
      <c r="K54" s="37"/>
      <c r="L54" s="38"/>
    </row>
    <row r="55" spans="2:12" ht="102.5" customHeight="1" x14ac:dyDescent="0.2">
      <c r="B55" s="144"/>
      <c r="C55" s="180"/>
      <c r="D55" s="183"/>
      <c r="E55" s="139"/>
      <c r="F55" s="140"/>
      <c r="G55" s="141" t="s">
        <v>818</v>
      </c>
      <c r="H55" s="142"/>
      <c r="I55" s="28" t="s">
        <v>10</v>
      </c>
      <c r="J55" s="36"/>
      <c r="K55" s="37"/>
      <c r="L55" s="38"/>
    </row>
    <row r="56" spans="2:12" ht="81.5" customHeight="1" x14ac:dyDescent="0.2">
      <c r="B56" s="151" t="s">
        <v>46</v>
      </c>
      <c r="C56" s="151" t="s">
        <v>265</v>
      </c>
      <c r="D56" s="177" t="s">
        <v>819</v>
      </c>
      <c r="E56" s="129" t="s">
        <v>820</v>
      </c>
      <c r="F56" s="130"/>
      <c r="G56" s="127" t="s">
        <v>821</v>
      </c>
      <c r="H56" s="128"/>
      <c r="I56" s="28" t="s">
        <v>10</v>
      </c>
      <c r="J56" s="11"/>
      <c r="K56" s="33"/>
      <c r="L56" s="29"/>
    </row>
    <row r="57" spans="2:12" ht="81.5" customHeight="1" x14ac:dyDescent="0.2">
      <c r="B57" s="152"/>
      <c r="C57" s="152"/>
      <c r="D57" s="178"/>
      <c r="E57" s="131"/>
      <c r="F57" s="132"/>
      <c r="G57" s="127" t="s">
        <v>822</v>
      </c>
      <c r="H57" s="128"/>
      <c r="I57" s="28" t="s">
        <v>10</v>
      </c>
      <c r="J57" s="11"/>
      <c r="K57" s="33"/>
      <c r="L57" s="29"/>
    </row>
    <row r="58" spans="2:12" ht="81.5" customHeight="1" x14ac:dyDescent="0.2">
      <c r="B58" s="173"/>
      <c r="C58" s="173"/>
      <c r="D58" s="179"/>
      <c r="E58" s="133"/>
      <c r="F58" s="134"/>
      <c r="G58" s="127" t="s">
        <v>823</v>
      </c>
      <c r="H58" s="128"/>
      <c r="I58" s="28" t="s">
        <v>10</v>
      </c>
      <c r="J58" s="11"/>
      <c r="K58" s="33"/>
      <c r="L58" s="29"/>
    </row>
    <row r="59" spans="2:12" ht="124.25" customHeight="1" x14ac:dyDescent="0.2">
      <c r="B59" s="101" t="s">
        <v>83</v>
      </c>
      <c r="C59" s="101" t="s">
        <v>266</v>
      </c>
      <c r="D59" s="102" t="s">
        <v>2258</v>
      </c>
      <c r="E59" s="188" t="s">
        <v>824</v>
      </c>
      <c r="F59" s="189"/>
      <c r="G59" s="189"/>
      <c r="H59" s="190"/>
      <c r="I59" s="28" t="s">
        <v>10</v>
      </c>
      <c r="J59" s="106"/>
      <c r="K59" s="104"/>
      <c r="L59" s="105"/>
    </row>
    <row r="60" spans="2:12" ht="103.75" customHeight="1" x14ac:dyDescent="0.2">
      <c r="B60" s="151" t="s">
        <v>83</v>
      </c>
      <c r="C60" s="151" t="s">
        <v>267</v>
      </c>
      <c r="D60" s="177" t="s">
        <v>825</v>
      </c>
      <c r="E60" s="129" t="s">
        <v>826</v>
      </c>
      <c r="F60" s="130"/>
      <c r="G60" s="127" t="s">
        <v>827</v>
      </c>
      <c r="H60" s="128"/>
      <c r="I60" s="28" t="s">
        <v>10</v>
      </c>
      <c r="J60" s="11"/>
      <c r="K60" s="33"/>
      <c r="L60" s="29"/>
    </row>
    <row r="61" spans="2:12" ht="103.75" customHeight="1" x14ac:dyDescent="0.2">
      <c r="B61" s="152"/>
      <c r="C61" s="152"/>
      <c r="D61" s="178"/>
      <c r="E61" s="131"/>
      <c r="F61" s="132"/>
      <c r="G61" s="127" t="s">
        <v>828</v>
      </c>
      <c r="H61" s="128"/>
      <c r="I61" s="28" t="s">
        <v>10</v>
      </c>
      <c r="J61" s="11"/>
      <c r="K61" s="33"/>
      <c r="L61" s="29"/>
    </row>
    <row r="62" spans="2:12" ht="103.75" customHeight="1" x14ac:dyDescent="0.2">
      <c r="B62" s="173"/>
      <c r="C62" s="173"/>
      <c r="D62" s="179"/>
      <c r="E62" s="133"/>
      <c r="F62" s="134"/>
      <c r="G62" s="127" t="s">
        <v>829</v>
      </c>
      <c r="H62" s="128"/>
      <c r="I62" s="28" t="s">
        <v>10</v>
      </c>
      <c r="J62" s="11"/>
      <c r="K62" s="33"/>
      <c r="L62" s="29"/>
    </row>
    <row r="63" spans="2:12" s="13" customFormat="1" x14ac:dyDescent="0.2">
      <c r="B63" s="3"/>
      <c r="C63" s="3"/>
      <c r="D63" s="3"/>
      <c r="E63" s="3"/>
      <c r="F63" s="89"/>
      <c r="G63" s="3"/>
      <c r="H63" s="89"/>
      <c r="I63" s="90"/>
      <c r="K63" s="31"/>
    </row>
    <row r="64" spans="2:12" s="13" customFormat="1" x14ac:dyDescent="0.2">
      <c r="B64" s="3"/>
      <c r="C64" s="3"/>
      <c r="D64" s="3"/>
      <c r="E64" s="3"/>
      <c r="F64" s="89"/>
      <c r="G64" s="3"/>
      <c r="H64" s="89"/>
      <c r="I64" s="90"/>
      <c r="K64" s="31"/>
    </row>
    <row r="65" spans="2:11" s="13" customFormat="1" x14ac:dyDescent="0.2">
      <c r="B65" s="3"/>
      <c r="C65" s="3"/>
      <c r="D65" s="3"/>
      <c r="E65" s="3"/>
      <c r="F65" s="89"/>
      <c r="G65" s="3"/>
      <c r="H65" s="89"/>
      <c r="I65" s="90"/>
      <c r="K65" s="31"/>
    </row>
    <row r="66" spans="2:11" s="13" customFormat="1" x14ac:dyDescent="0.2">
      <c r="B66" s="3"/>
      <c r="C66" s="3"/>
      <c r="D66" s="3"/>
      <c r="E66" s="3"/>
      <c r="F66" s="89"/>
      <c r="G66" s="3"/>
      <c r="H66" s="89"/>
      <c r="I66" s="90"/>
      <c r="K66" s="31"/>
    </row>
    <row r="67" spans="2:11" s="13" customFormat="1" x14ac:dyDescent="0.2">
      <c r="B67" s="3"/>
      <c r="C67" s="3"/>
      <c r="D67" s="3"/>
      <c r="E67" s="3"/>
      <c r="F67" s="89"/>
      <c r="G67" s="3"/>
      <c r="H67" s="89"/>
      <c r="I67" s="90"/>
      <c r="K67" s="31"/>
    </row>
    <row r="68" spans="2:11" s="13" customFormat="1" x14ac:dyDescent="0.2">
      <c r="B68" s="3"/>
      <c r="C68" s="3"/>
      <c r="D68" s="3"/>
      <c r="E68" s="3"/>
      <c r="F68" s="89"/>
      <c r="G68" s="3"/>
      <c r="H68" s="89"/>
      <c r="I68" s="90"/>
      <c r="K68" s="31"/>
    </row>
    <row r="69" spans="2:11" s="13" customFormat="1" x14ac:dyDescent="0.2">
      <c r="B69" s="3"/>
      <c r="C69" s="3"/>
      <c r="D69" s="3"/>
      <c r="E69" s="3"/>
      <c r="F69" s="89"/>
      <c r="G69" s="3"/>
      <c r="H69" s="89"/>
      <c r="I69" s="90"/>
      <c r="K69" s="31"/>
    </row>
    <row r="70" spans="2:11" s="13" customFormat="1" x14ac:dyDescent="0.2">
      <c r="B70" s="3"/>
      <c r="C70" s="3"/>
      <c r="D70" s="3"/>
      <c r="E70" s="3"/>
      <c r="F70" s="89"/>
      <c r="G70" s="3"/>
      <c r="H70" s="89"/>
      <c r="I70" s="90"/>
      <c r="K70" s="31"/>
    </row>
    <row r="71" spans="2:11" s="13" customFormat="1" x14ac:dyDescent="0.2">
      <c r="B71" s="3"/>
      <c r="C71" s="3"/>
      <c r="D71" s="3"/>
      <c r="E71" s="3"/>
      <c r="F71" s="89"/>
      <c r="G71" s="3"/>
      <c r="H71" s="89"/>
      <c r="I71" s="90"/>
      <c r="K71" s="31"/>
    </row>
    <row r="72" spans="2:11" s="13" customFormat="1" x14ac:dyDescent="0.2">
      <c r="B72" s="3"/>
      <c r="C72" s="3"/>
      <c r="D72" s="3"/>
      <c r="E72" s="3"/>
      <c r="F72" s="89"/>
      <c r="G72" s="3"/>
      <c r="H72" s="89"/>
      <c r="I72" s="90"/>
      <c r="K72" s="31"/>
    </row>
    <row r="73" spans="2:11" s="13" customFormat="1" x14ac:dyDescent="0.2">
      <c r="B73" s="3"/>
      <c r="C73" s="3"/>
      <c r="D73" s="3"/>
      <c r="E73" s="3"/>
      <c r="F73" s="89"/>
      <c r="G73" s="3"/>
      <c r="H73" s="89"/>
      <c r="I73" s="90"/>
      <c r="K73" s="31"/>
    </row>
    <row r="74" spans="2:11" s="13" customFormat="1" x14ac:dyDescent="0.2">
      <c r="B74" s="3"/>
      <c r="C74" s="3"/>
      <c r="D74" s="3"/>
      <c r="E74" s="3"/>
      <c r="F74" s="89"/>
      <c r="G74" s="3"/>
      <c r="H74" s="89"/>
      <c r="I74" s="90"/>
      <c r="K74" s="31"/>
    </row>
    <row r="75" spans="2:11" s="13" customFormat="1" x14ac:dyDescent="0.2">
      <c r="B75" s="3"/>
      <c r="C75" s="3"/>
      <c r="D75" s="3"/>
      <c r="E75" s="3"/>
      <c r="F75" s="89"/>
      <c r="G75" s="3"/>
      <c r="H75" s="89"/>
      <c r="I75" s="90"/>
      <c r="K75" s="31"/>
    </row>
    <row r="76" spans="2:11" s="13" customFormat="1" x14ac:dyDescent="0.2">
      <c r="B76" s="3"/>
      <c r="C76" s="3"/>
      <c r="D76" s="3"/>
      <c r="E76" s="3"/>
      <c r="F76" s="89"/>
      <c r="G76" s="3"/>
      <c r="H76" s="89"/>
      <c r="I76" s="90"/>
      <c r="K76" s="31"/>
    </row>
    <row r="77" spans="2:11" s="13" customFormat="1" x14ac:dyDescent="0.2">
      <c r="B77" s="3"/>
      <c r="C77" s="3"/>
      <c r="D77" s="3"/>
      <c r="E77" s="3"/>
      <c r="F77" s="89"/>
      <c r="G77" s="3"/>
      <c r="H77" s="89"/>
      <c r="I77" s="90"/>
      <c r="K77" s="31"/>
    </row>
    <row r="78" spans="2:11" s="13" customFormat="1" x14ac:dyDescent="0.2">
      <c r="B78" s="3"/>
      <c r="C78" s="3"/>
      <c r="D78" s="3"/>
      <c r="E78" s="3"/>
      <c r="F78" s="89"/>
      <c r="G78" s="3"/>
      <c r="H78" s="89"/>
      <c r="I78" s="90"/>
      <c r="K78" s="31"/>
    </row>
    <row r="79" spans="2:11" s="13" customFormat="1" x14ac:dyDescent="0.2">
      <c r="B79" s="3"/>
      <c r="C79" s="3"/>
      <c r="D79" s="3"/>
      <c r="E79" s="3"/>
      <c r="F79" s="89"/>
      <c r="G79" s="3"/>
      <c r="H79" s="89"/>
      <c r="I79" s="90"/>
      <c r="K79" s="31"/>
    </row>
    <row r="80" spans="2:11" s="13" customFormat="1" x14ac:dyDescent="0.2">
      <c r="B80" s="3"/>
      <c r="C80" s="3"/>
      <c r="D80" s="3"/>
      <c r="E80" s="3"/>
      <c r="F80" s="89"/>
      <c r="G80" s="3"/>
      <c r="H80" s="89"/>
      <c r="I80" s="90"/>
      <c r="K80" s="31"/>
    </row>
    <row r="81" spans="2:11" s="13" customFormat="1" x14ac:dyDescent="0.2">
      <c r="B81" s="3"/>
      <c r="C81" s="3"/>
      <c r="D81" s="3"/>
      <c r="E81" s="3"/>
      <c r="F81" s="89"/>
      <c r="G81" s="3"/>
      <c r="H81" s="89"/>
      <c r="I81" s="90"/>
      <c r="K81" s="31"/>
    </row>
    <row r="82" spans="2:11" s="13" customFormat="1" x14ac:dyDescent="0.2">
      <c r="B82" s="3"/>
      <c r="C82" s="3"/>
      <c r="D82" s="3"/>
      <c r="E82" s="3"/>
      <c r="F82" s="89"/>
      <c r="G82" s="3"/>
      <c r="H82" s="89"/>
      <c r="I82" s="90"/>
      <c r="K82" s="31"/>
    </row>
    <row r="83" spans="2:11" s="13" customFormat="1" x14ac:dyDescent="0.2">
      <c r="B83" s="3"/>
      <c r="C83" s="3"/>
      <c r="D83" s="3"/>
      <c r="E83" s="3"/>
      <c r="F83" s="89"/>
      <c r="G83" s="3"/>
      <c r="H83" s="89"/>
      <c r="I83" s="90"/>
      <c r="K83" s="31"/>
    </row>
    <row r="84" spans="2:11" s="13" customFormat="1" x14ac:dyDescent="0.2">
      <c r="B84" s="3"/>
      <c r="C84" s="3"/>
      <c r="D84" s="3"/>
      <c r="E84" s="3"/>
      <c r="F84" s="89"/>
      <c r="G84" s="3"/>
      <c r="H84" s="89"/>
      <c r="I84" s="90"/>
      <c r="K84" s="31"/>
    </row>
    <row r="85" spans="2:11" s="13" customFormat="1" x14ac:dyDescent="0.2">
      <c r="B85" s="3"/>
      <c r="C85" s="3"/>
      <c r="D85" s="3"/>
      <c r="E85" s="3"/>
      <c r="F85" s="89"/>
      <c r="G85" s="3"/>
      <c r="H85" s="89"/>
      <c r="I85" s="90"/>
      <c r="K85" s="31"/>
    </row>
    <row r="86" spans="2:11" s="13" customFormat="1" x14ac:dyDescent="0.2">
      <c r="B86" s="3"/>
      <c r="C86" s="3"/>
      <c r="D86" s="3"/>
      <c r="E86" s="3"/>
      <c r="F86" s="89"/>
      <c r="G86" s="3"/>
      <c r="H86" s="89"/>
      <c r="I86" s="90"/>
      <c r="K86" s="31"/>
    </row>
    <row r="87" spans="2:11" s="13" customFormat="1" x14ac:dyDescent="0.2">
      <c r="B87" s="3"/>
      <c r="C87" s="3"/>
      <c r="D87" s="3"/>
      <c r="E87" s="3"/>
      <c r="F87" s="89"/>
      <c r="G87" s="3"/>
      <c r="H87" s="89"/>
      <c r="I87" s="90"/>
      <c r="K87" s="31"/>
    </row>
    <row r="88" spans="2:11" s="13" customFormat="1" x14ac:dyDescent="0.2">
      <c r="B88" s="3"/>
      <c r="C88" s="3"/>
      <c r="D88" s="3"/>
      <c r="E88" s="3"/>
      <c r="F88" s="89"/>
      <c r="G88" s="3"/>
      <c r="H88" s="89"/>
      <c r="I88" s="90"/>
      <c r="K88" s="31"/>
    </row>
    <row r="89" spans="2:11" s="13" customFormat="1" x14ac:dyDescent="0.2">
      <c r="B89" s="3"/>
      <c r="C89" s="3"/>
      <c r="D89" s="3"/>
      <c r="E89" s="3"/>
      <c r="F89" s="89"/>
      <c r="G89" s="3"/>
      <c r="H89" s="89"/>
      <c r="I89" s="90"/>
      <c r="K89" s="31"/>
    </row>
    <row r="90" spans="2:11" s="13" customFormat="1" x14ac:dyDescent="0.2">
      <c r="B90" s="3"/>
      <c r="C90" s="3"/>
      <c r="D90" s="3"/>
      <c r="E90" s="3"/>
      <c r="F90" s="89"/>
      <c r="G90" s="3"/>
      <c r="H90" s="89"/>
      <c r="I90" s="90"/>
      <c r="K90" s="31"/>
    </row>
    <row r="91" spans="2:11" s="13" customFormat="1" x14ac:dyDescent="0.2">
      <c r="B91" s="3"/>
      <c r="C91" s="3"/>
      <c r="D91" s="3"/>
      <c r="E91" s="3"/>
      <c r="F91" s="89"/>
      <c r="G91" s="3"/>
      <c r="H91" s="89"/>
      <c r="I91" s="90"/>
      <c r="K91" s="31"/>
    </row>
    <row r="92" spans="2:11" s="13" customFormat="1" x14ac:dyDescent="0.2">
      <c r="B92" s="3"/>
      <c r="C92" s="3"/>
      <c r="D92" s="3"/>
      <c r="E92" s="3"/>
      <c r="F92" s="89"/>
      <c r="G92" s="3"/>
      <c r="H92" s="89"/>
      <c r="I92" s="90"/>
      <c r="K92" s="31"/>
    </row>
    <row r="93" spans="2:11" s="13" customFormat="1" x14ac:dyDescent="0.2">
      <c r="B93" s="3"/>
      <c r="C93" s="3"/>
      <c r="D93" s="3"/>
      <c r="E93" s="3"/>
      <c r="F93" s="89"/>
      <c r="G93" s="3"/>
      <c r="H93" s="89"/>
      <c r="I93" s="90"/>
      <c r="K93" s="31"/>
    </row>
    <row r="94" spans="2:11" s="13" customFormat="1" x14ac:dyDescent="0.2">
      <c r="B94" s="3"/>
      <c r="C94" s="3"/>
      <c r="D94" s="3"/>
      <c r="E94" s="3"/>
      <c r="F94" s="89"/>
      <c r="G94" s="3"/>
      <c r="H94" s="89"/>
      <c r="I94" s="90"/>
      <c r="K94" s="31"/>
    </row>
    <row r="95" spans="2:11" s="13" customFormat="1" x14ac:dyDescent="0.2">
      <c r="B95" s="3"/>
      <c r="C95" s="3"/>
      <c r="D95" s="3"/>
      <c r="E95" s="3"/>
      <c r="F95" s="89"/>
      <c r="G95" s="3"/>
      <c r="H95" s="89"/>
      <c r="I95" s="90"/>
      <c r="K95" s="31"/>
    </row>
    <row r="96" spans="2:11" s="13" customFormat="1" x14ac:dyDescent="0.2">
      <c r="B96" s="3"/>
      <c r="C96" s="3"/>
      <c r="D96" s="3"/>
      <c r="E96" s="3"/>
      <c r="F96" s="89"/>
      <c r="G96" s="3"/>
      <c r="H96" s="89"/>
      <c r="I96" s="90"/>
      <c r="K96" s="31"/>
    </row>
    <row r="97" spans="2:11" s="13" customFormat="1" x14ac:dyDescent="0.2">
      <c r="B97" s="3"/>
      <c r="C97" s="3"/>
      <c r="D97" s="3"/>
      <c r="E97" s="3"/>
      <c r="F97" s="89"/>
      <c r="G97" s="3"/>
      <c r="H97" s="89"/>
      <c r="I97" s="90"/>
      <c r="K97" s="31"/>
    </row>
    <row r="98" spans="2:11" s="13" customFormat="1" x14ac:dyDescent="0.2">
      <c r="B98" s="3"/>
      <c r="C98" s="3"/>
      <c r="D98" s="3"/>
      <c r="E98" s="3"/>
      <c r="F98" s="89"/>
      <c r="G98" s="3"/>
      <c r="H98" s="89"/>
      <c r="I98" s="90"/>
      <c r="K98" s="31"/>
    </row>
    <row r="99" spans="2:11" s="13" customFormat="1" x14ac:dyDescent="0.2">
      <c r="B99" s="3"/>
      <c r="C99" s="3"/>
      <c r="D99" s="3"/>
      <c r="E99" s="3"/>
      <c r="F99" s="89"/>
      <c r="G99" s="3"/>
      <c r="H99" s="89"/>
      <c r="I99" s="90"/>
      <c r="K99" s="31"/>
    </row>
    <row r="100" spans="2:11" s="13" customFormat="1" x14ac:dyDescent="0.2">
      <c r="B100" s="3"/>
      <c r="C100" s="3"/>
      <c r="D100" s="3"/>
      <c r="E100" s="3"/>
      <c r="F100" s="89"/>
      <c r="G100" s="3"/>
      <c r="H100" s="89"/>
      <c r="I100" s="90"/>
      <c r="K100" s="31"/>
    </row>
    <row r="101" spans="2:11" s="13" customFormat="1" x14ac:dyDescent="0.2">
      <c r="B101" s="3"/>
      <c r="C101" s="3"/>
      <c r="D101" s="3"/>
      <c r="E101" s="3"/>
      <c r="F101" s="89"/>
      <c r="G101" s="3"/>
      <c r="H101" s="89"/>
      <c r="I101" s="90"/>
      <c r="K101" s="31"/>
    </row>
    <row r="102" spans="2:11" s="13" customFormat="1" x14ac:dyDescent="0.2">
      <c r="B102" s="3"/>
      <c r="C102" s="3"/>
      <c r="D102" s="3"/>
      <c r="E102" s="3"/>
      <c r="F102" s="89"/>
      <c r="G102" s="3"/>
      <c r="H102" s="89"/>
      <c r="I102" s="90"/>
      <c r="K102" s="31"/>
    </row>
    <row r="103" spans="2:11" s="13" customFormat="1" x14ac:dyDescent="0.2">
      <c r="B103" s="3"/>
      <c r="C103" s="3"/>
      <c r="D103" s="3"/>
      <c r="E103" s="3"/>
      <c r="F103" s="89"/>
      <c r="G103" s="3"/>
      <c r="H103" s="89"/>
      <c r="I103" s="90"/>
      <c r="K103" s="31"/>
    </row>
    <row r="104" spans="2:11" s="13" customFormat="1" x14ac:dyDescent="0.2">
      <c r="B104" s="3"/>
      <c r="C104" s="3"/>
      <c r="D104" s="3"/>
      <c r="E104" s="3"/>
      <c r="F104" s="89"/>
      <c r="G104" s="3"/>
      <c r="H104" s="89"/>
      <c r="I104" s="90"/>
      <c r="K104" s="31"/>
    </row>
    <row r="105" spans="2:11" s="13" customFormat="1" x14ac:dyDescent="0.2">
      <c r="B105" s="3"/>
      <c r="C105" s="3"/>
      <c r="D105" s="3"/>
      <c r="E105" s="3"/>
      <c r="F105" s="89"/>
      <c r="G105" s="3"/>
      <c r="H105" s="89"/>
      <c r="I105" s="90"/>
      <c r="K105" s="31"/>
    </row>
    <row r="106" spans="2:11" s="13" customFormat="1" x14ac:dyDescent="0.2">
      <c r="B106" s="3"/>
      <c r="C106" s="3"/>
      <c r="D106" s="3"/>
      <c r="E106" s="3"/>
      <c r="F106" s="89"/>
      <c r="G106" s="3"/>
      <c r="H106" s="89"/>
      <c r="I106" s="90"/>
      <c r="K106" s="31"/>
    </row>
    <row r="107" spans="2:11" s="13" customFormat="1" x14ac:dyDescent="0.2">
      <c r="B107" s="3"/>
      <c r="C107" s="3"/>
      <c r="D107" s="3"/>
      <c r="E107" s="3"/>
      <c r="F107" s="89"/>
      <c r="G107" s="3"/>
      <c r="H107" s="89"/>
      <c r="I107" s="90"/>
      <c r="K107" s="31"/>
    </row>
    <row r="108" spans="2:11" s="13" customFormat="1" x14ac:dyDescent="0.2">
      <c r="B108" s="3"/>
      <c r="C108" s="3"/>
      <c r="D108" s="3"/>
      <c r="E108" s="3"/>
      <c r="F108" s="89"/>
      <c r="G108" s="3"/>
      <c r="H108" s="89"/>
      <c r="I108" s="90"/>
      <c r="K108" s="31"/>
    </row>
    <row r="109" spans="2:11" s="13" customFormat="1" x14ac:dyDescent="0.2">
      <c r="B109" s="3"/>
      <c r="C109" s="3"/>
      <c r="D109" s="3"/>
      <c r="E109" s="3"/>
      <c r="F109" s="89"/>
      <c r="G109" s="3"/>
      <c r="H109" s="89"/>
      <c r="I109" s="90"/>
      <c r="K109" s="31"/>
    </row>
    <row r="110" spans="2:11" s="13" customFormat="1" x14ac:dyDescent="0.2">
      <c r="B110" s="3"/>
      <c r="C110" s="3"/>
      <c r="D110" s="3"/>
      <c r="E110" s="3"/>
      <c r="F110" s="89"/>
      <c r="G110" s="3"/>
      <c r="H110" s="89"/>
      <c r="I110" s="90"/>
      <c r="K110" s="31"/>
    </row>
    <row r="111" spans="2:11" s="13" customFormat="1" x14ac:dyDescent="0.2">
      <c r="B111" s="3"/>
      <c r="C111" s="3"/>
      <c r="D111" s="3"/>
      <c r="E111" s="3"/>
      <c r="F111" s="89"/>
      <c r="G111" s="3"/>
      <c r="H111" s="89"/>
      <c r="I111" s="90"/>
      <c r="K111" s="31"/>
    </row>
    <row r="112" spans="2:11" s="13" customFormat="1" x14ac:dyDescent="0.2">
      <c r="B112" s="3"/>
      <c r="C112" s="3"/>
      <c r="D112" s="3"/>
      <c r="E112" s="3"/>
      <c r="F112" s="89"/>
      <c r="G112" s="3"/>
      <c r="H112" s="89"/>
      <c r="I112" s="90"/>
      <c r="K112" s="31"/>
    </row>
    <row r="113" spans="2:11" s="13" customFormat="1" x14ac:dyDescent="0.2">
      <c r="B113" s="3"/>
      <c r="C113" s="3"/>
      <c r="D113" s="3"/>
      <c r="E113" s="3"/>
      <c r="F113" s="89"/>
      <c r="G113" s="3"/>
      <c r="H113" s="89"/>
      <c r="I113" s="90"/>
      <c r="K113" s="31"/>
    </row>
    <row r="114" spans="2:11" s="13" customFormat="1" x14ac:dyDescent="0.2">
      <c r="B114" s="3"/>
      <c r="C114" s="3"/>
      <c r="D114" s="3"/>
      <c r="E114" s="3"/>
      <c r="F114" s="89"/>
      <c r="G114" s="3"/>
      <c r="H114" s="89"/>
      <c r="I114" s="90"/>
      <c r="K114" s="31"/>
    </row>
    <row r="115" spans="2:11" s="13" customFormat="1" x14ac:dyDescent="0.2">
      <c r="B115" s="3"/>
      <c r="C115" s="3"/>
      <c r="D115" s="3"/>
      <c r="E115" s="3"/>
      <c r="F115" s="89"/>
      <c r="G115" s="3"/>
      <c r="H115" s="89"/>
      <c r="I115" s="90"/>
      <c r="K115" s="31"/>
    </row>
    <row r="116" spans="2:11" s="13" customFormat="1" x14ac:dyDescent="0.2">
      <c r="B116" s="3"/>
      <c r="C116" s="3"/>
      <c r="D116" s="3"/>
      <c r="E116" s="3"/>
      <c r="F116" s="89"/>
      <c r="G116" s="3"/>
      <c r="H116" s="89"/>
      <c r="I116" s="90"/>
      <c r="K116" s="31"/>
    </row>
    <row r="117" spans="2:11" s="13" customFormat="1" x14ac:dyDescent="0.2">
      <c r="B117" s="3"/>
      <c r="C117" s="3"/>
      <c r="D117" s="3"/>
      <c r="E117" s="3"/>
      <c r="F117" s="89"/>
      <c r="G117" s="3"/>
      <c r="H117" s="89"/>
      <c r="I117" s="90"/>
      <c r="K117" s="31"/>
    </row>
    <row r="118" spans="2:11" s="13" customFormat="1" x14ac:dyDescent="0.2">
      <c r="B118" s="3"/>
      <c r="C118" s="3"/>
      <c r="D118" s="3"/>
      <c r="E118" s="3"/>
      <c r="F118" s="89"/>
      <c r="G118" s="3"/>
      <c r="H118" s="89"/>
      <c r="I118" s="90"/>
      <c r="K118" s="31"/>
    </row>
    <row r="119" spans="2:11" s="13" customFormat="1" x14ac:dyDescent="0.2">
      <c r="B119" s="3"/>
      <c r="C119" s="3"/>
      <c r="D119" s="3"/>
      <c r="E119" s="3"/>
      <c r="F119" s="89"/>
      <c r="G119" s="3"/>
      <c r="H119" s="89"/>
      <c r="I119" s="90"/>
      <c r="K119" s="31"/>
    </row>
    <row r="120" spans="2:11" s="13" customFormat="1" x14ac:dyDescent="0.2">
      <c r="B120" s="3"/>
      <c r="C120" s="3"/>
      <c r="D120" s="3"/>
      <c r="E120" s="3"/>
      <c r="F120" s="89"/>
      <c r="G120" s="3"/>
      <c r="H120" s="89"/>
      <c r="I120" s="90"/>
      <c r="K120" s="31"/>
    </row>
    <row r="121" spans="2:11" s="13" customFormat="1" x14ac:dyDescent="0.2">
      <c r="B121" s="3"/>
      <c r="C121" s="3"/>
      <c r="D121" s="3"/>
      <c r="E121" s="3"/>
      <c r="F121" s="89"/>
      <c r="G121" s="3"/>
      <c r="H121" s="89"/>
      <c r="I121" s="90"/>
      <c r="K121" s="31"/>
    </row>
    <row r="122" spans="2:11" s="13" customFormat="1" x14ac:dyDescent="0.2">
      <c r="B122" s="3"/>
      <c r="C122" s="3"/>
      <c r="D122" s="3"/>
      <c r="E122" s="3"/>
      <c r="F122" s="89"/>
      <c r="G122" s="3"/>
      <c r="H122" s="89"/>
      <c r="I122" s="90"/>
      <c r="K122" s="31"/>
    </row>
    <row r="123" spans="2:11" s="13" customFormat="1" x14ac:dyDescent="0.2">
      <c r="B123" s="3"/>
      <c r="C123" s="3"/>
      <c r="D123" s="3"/>
      <c r="E123" s="3"/>
      <c r="F123" s="89"/>
      <c r="G123" s="3"/>
      <c r="H123" s="89"/>
      <c r="I123" s="90"/>
      <c r="K123" s="31"/>
    </row>
    <row r="124" spans="2:11" s="13" customFormat="1" x14ac:dyDescent="0.2">
      <c r="B124" s="3"/>
      <c r="C124" s="3"/>
      <c r="D124" s="3"/>
      <c r="E124" s="3"/>
      <c r="F124" s="89"/>
      <c r="G124" s="3"/>
      <c r="H124" s="89"/>
      <c r="I124" s="90"/>
      <c r="K124" s="31"/>
    </row>
    <row r="125" spans="2:11" s="13" customFormat="1" x14ac:dyDescent="0.2">
      <c r="B125" s="3"/>
      <c r="C125" s="3"/>
      <c r="D125" s="3"/>
      <c r="E125" s="3"/>
      <c r="F125" s="89"/>
      <c r="G125" s="3"/>
      <c r="H125" s="89"/>
      <c r="I125" s="90"/>
      <c r="K125" s="31"/>
    </row>
    <row r="126" spans="2:11" s="13" customFormat="1" x14ac:dyDescent="0.2">
      <c r="B126" s="3"/>
      <c r="C126" s="3"/>
      <c r="D126" s="3"/>
      <c r="E126" s="3"/>
      <c r="F126" s="89"/>
      <c r="G126" s="3"/>
      <c r="H126" s="89"/>
      <c r="I126" s="90"/>
      <c r="K126" s="31"/>
    </row>
    <row r="127" spans="2:11" s="13" customFormat="1" x14ac:dyDescent="0.2">
      <c r="B127" s="3"/>
      <c r="C127" s="3"/>
      <c r="D127" s="3"/>
      <c r="E127" s="3"/>
      <c r="F127" s="89"/>
      <c r="G127" s="3"/>
      <c r="H127" s="89"/>
      <c r="I127" s="90"/>
      <c r="K127" s="31"/>
    </row>
    <row r="128" spans="2:11" s="13" customFormat="1" x14ac:dyDescent="0.2">
      <c r="B128" s="3"/>
      <c r="C128" s="3"/>
      <c r="D128" s="3"/>
      <c r="E128" s="3"/>
      <c r="F128" s="89"/>
      <c r="G128" s="3"/>
      <c r="H128" s="89"/>
      <c r="I128" s="90"/>
      <c r="K128" s="31"/>
    </row>
    <row r="129" spans="2:11" s="13" customFormat="1" x14ac:dyDescent="0.2">
      <c r="B129" s="3"/>
      <c r="C129" s="3"/>
      <c r="D129" s="3"/>
      <c r="E129" s="3"/>
      <c r="F129" s="89"/>
      <c r="G129" s="3"/>
      <c r="H129" s="89"/>
      <c r="I129" s="90"/>
      <c r="K129" s="31"/>
    </row>
    <row r="130" spans="2:11" s="13" customFormat="1" x14ac:dyDescent="0.2">
      <c r="B130" s="3"/>
      <c r="C130" s="3"/>
      <c r="D130" s="3"/>
      <c r="E130" s="3"/>
      <c r="F130" s="89"/>
      <c r="G130" s="3"/>
      <c r="H130" s="89"/>
      <c r="I130" s="90"/>
      <c r="K130" s="31"/>
    </row>
    <row r="131" spans="2:11" s="13" customFormat="1" x14ac:dyDescent="0.2">
      <c r="B131" s="3"/>
      <c r="C131" s="3"/>
      <c r="D131" s="3"/>
      <c r="E131" s="3"/>
      <c r="F131" s="89"/>
      <c r="G131" s="3"/>
      <c r="H131" s="89"/>
      <c r="I131" s="90"/>
      <c r="K131" s="31"/>
    </row>
    <row r="132" spans="2:11" s="13" customFormat="1" x14ac:dyDescent="0.2">
      <c r="B132" s="3"/>
      <c r="C132" s="3"/>
      <c r="D132" s="3"/>
      <c r="E132" s="3"/>
      <c r="F132" s="89"/>
      <c r="G132" s="3"/>
      <c r="H132" s="89"/>
      <c r="I132" s="90"/>
      <c r="K132" s="31"/>
    </row>
    <row r="133" spans="2:11" s="13" customFormat="1" x14ac:dyDescent="0.2">
      <c r="B133" s="3"/>
      <c r="C133" s="3"/>
      <c r="D133" s="3"/>
      <c r="E133" s="3"/>
      <c r="F133" s="89"/>
      <c r="G133" s="3"/>
      <c r="H133" s="89"/>
      <c r="I133" s="90"/>
      <c r="K133" s="31"/>
    </row>
    <row r="134" spans="2:11" s="13" customFormat="1" x14ac:dyDescent="0.2">
      <c r="B134" s="3"/>
      <c r="C134" s="3"/>
      <c r="D134" s="3"/>
      <c r="E134" s="3"/>
      <c r="F134" s="89"/>
      <c r="G134" s="3"/>
      <c r="H134" s="89"/>
      <c r="I134" s="90"/>
      <c r="K134" s="31"/>
    </row>
    <row r="135" spans="2:11" s="13" customFormat="1" x14ac:dyDescent="0.2">
      <c r="B135" s="3"/>
      <c r="C135" s="3"/>
      <c r="D135" s="3"/>
      <c r="E135" s="3"/>
      <c r="F135" s="89"/>
      <c r="G135" s="3"/>
      <c r="H135" s="89"/>
      <c r="I135" s="90"/>
      <c r="K135" s="31"/>
    </row>
    <row r="136" spans="2:11" s="13" customFormat="1" x14ac:dyDescent="0.2">
      <c r="B136" s="3"/>
      <c r="C136" s="3"/>
      <c r="D136" s="3"/>
      <c r="E136" s="3"/>
      <c r="F136" s="89"/>
      <c r="G136" s="3"/>
      <c r="H136" s="89"/>
      <c r="I136" s="90"/>
      <c r="K136" s="31"/>
    </row>
    <row r="137" spans="2:11" s="13" customFormat="1" x14ac:dyDescent="0.2">
      <c r="B137" s="3"/>
      <c r="C137" s="3"/>
      <c r="D137" s="3"/>
      <c r="E137" s="3"/>
      <c r="F137" s="89"/>
      <c r="G137" s="3"/>
      <c r="H137" s="89"/>
      <c r="I137" s="90"/>
      <c r="K137" s="31"/>
    </row>
    <row r="138" spans="2:11" s="13" customFormat="1" x14ac:dyDescent="0.2">
      <c r="B138" s="3"/>
      <c r="C138" s="3"/>
      <c r="D138" s="3"/>
      <c r="E138" s="3"/>
      <c r="F138" s="89"/>
      <c r="G138" s="3"/>
      <c r="H138" s="89"/>
      <c r="I138" s="90"/>
      <c r="K138" s="31"/>
    </row>
    <row r="139" spans="2:11" s="13" customFormat="1" x14ac:dyDescent="0.2">
      <c r="B139" s="3"/>
      <c r="C139" s="3"/>
      <c r="D139" s="3"/>
      <c r="E139" s="3"/>
      <c r="F139" s="89"/>
      <c r="G139" s="3"/>
      <c r="H139" s="89"/>
      <c r="I139" s="90"/>
      <c r="K139" s="31"/>
    </row>
    <row r="140" spans="2:11" s="13" customFormat="1" x14ac:dyDescent="0.2">
      <c r="B140" s="3"/>
      <c r="C140" s="3"/>
      <c r="D140" s="3"/>
      <c r="E140" s="3"/>
      <c r="F140" s="89"/>
      <c r="G140" s="3"/>
      <c r="H140" s="89"/>
      <c r="I140" s="90"/>
      <c r="K140" s="31"/>
    </row>
    <row r="141" spans="2:11" s="13" customFormat="1" x14ac:dyDescent="0.2">
      <c r="B141" s="3"/>
      <c r="C141" s="3"/>
      <c r="D141" s="3"/>
      <c r="E141" s="3"/>
      <c r="F141" s="89"/>
      <c r="G141" s="3"/>
      <c r="H141" s="89"/>
      <c r="I141" s="90"/>
      <c r="K141" s="31"/>
    </row>
    <row r="142" spans="2:11" s="13" customFormat="1" x14ac:dyDescent="0.2">
      <c r="B142" s="3"/>
      <c r="C142" s="3"/>
      <c r="D142" s="3"/>
      <c r="E142" s="3"/>
      <c r="F142" s="89"/>
      <c r="G142" s="3"/>
      <c r="H142" s="89"/>
      <c r="I142" s="90"/>
      <c r="K142" s="31"/>
    </row>
    <row r="143" spans="2:11" s="13" customFormat="1" x14ac:dyDescent="0.2">
      <c r="B143" s="3"/>
      <c r="C143" s="3"/>
      <c r="D143" s="3"/>
      <c r="E143" s="3"/>
      <c r="F143" s="89"/>
      <c r="G143" s="3"/>
      <c r="H143" s="89"/>
      <c r="I143" s="90"/>
      <c r="K143" s="31"/>
    </row>
    <row r="144" spans="2:11" s="13" customFormat="1" x14ac:dyDescent="0.2">
      <c r="B144" s="3"/>
      <c r="C144" s="3"/>
      <c r="D144" s="3"/>
      <c r="E144" s="3"/>
      <c r="F144" s="89"/>
      <c r="G144" s="3"/>
      <c r="H144" s="89"/>
      <c r="I144" s="90"/>
      <c r="K144" s="31"/>
    </row>
    <row r="145" spans="2:11" s="13" customFormat="1" x14ac:dyDescent="0.2">
      <c r="B145" s="3"/>
      <c r="C145" s="3"/>
      <c r="D145" s="3"/>
      <c r="E145" s="3"/>
      <c r="F145" s="89"/>
      <c r="G145" s="3"/>
      <c r="H145" s="89"/>
      <c r="I145" s="90"/>
      <c r="K145" s="31"/>
    </row>
    <row r="146" spans="2:11" s="13" customFormat="1" x14ac:dyDescent="0.2">
      <c r="B146" s="3"/>
      <c r="C146" s="3"/>
      <c r="D146" s="3"/>
      <c r="E146" s="3"/>
      <c r="F146" s="89"/>
      <c r="G146" s="3"/>
      <c r="H146" s="89"/>
      <c r="I146" s="90"/>
      <c r="K146" s="31"/>
    </row>
    <row r="147" spans="2:11" s="13" customFormat="1" x14ac:dyDescent="0.2">
      <c r="B147" s="3"/>
      <c r="C147" s="3"/>
      <c r="D147" s="3"/>
      <c r="E147" s="3"/>
      <c r="F147" s="89"/>
      <c r="G147" s="3"/>
      <c r="H147" s="89"/>
      <c r="I147" s="90"/>
      <c r="K147" s="31"/>
    </row>
    <row r="148" spans="2:11" s="13" customFormat="1" x14ac:dyDescent="0.2">
      <c r="B148" s="3"/>
      <c r="C148" s="3"/>
      <c r="D148" s="3"/>
      <c r="E148" s="3"/>
      <c r="F148" s="89"/>
      <c r="G148" s="3"/>
      <c r="H148" s="89"/>
      <c r="I148" s="90"/>
      <c r="K148" s="31"/>
    </row>
    <row r="149" spans="2:11" s="13" customFormat="1" x14ac:dyDescent="0.2">
      <c r="B149" s="3"/>
      <c r="C149" s="3"/>
      <c r="D149" s="3"/>
      <c r="E149" s="3"/>
      <c r="F149" s="89"/>
      <c r="G149" s="3"/>
      <c r="H149" s="89"/>
      <c r="I149" s="90"/>
      <c r="K149" s="31"/>
    </row>
    <row r="150" spans="2:11" s="13" customFormat="1" x14ac:dyDescent="0.2">
      <c r="B150" s="3"/>
      <c r="C150" s="3"/>
      <c r="D150" s="3"/>
      <c r="E150" s="3"/>
      <c r="F150" s="89"/>
      <c r="G150" s="3"/>
      <c r="H150" s="89"/>
      <c r="I150" s="90"/>
      <c r="K150" s="31"/>
    </row>
    <row r="151" spans="2:11" s="13" customFormat="1" x14ac:dyDescent="0.2">
      <c r="B151" s="3"/>
      <c r="C151" s="3"/>
      <c r="D151" s="3"/>
      <c r="E151" s="3"/>
      <c r="F151" s="89"/>
      <c r="G151" s="3"/>
      <c r="H151" s="89"/>
      <c r="I151" s="90"/>
      <c r="K151" s="31"/>
    </row>
    <row r="152" spans="2:11" s="13" customFormat="1" x14ac:dyDescent="0.2">
      <c r="B152" s="3"/>
      <c r="C152" s="3"/>
      <c r="D152" s="3"/>
      <c r="E152" s="3"/>
      <c r="F152" s="89"/>
      <c r="G152" s="3"/>
      <c r="H152" s="89"/>
      <c r="I152" s="90"/>
      <c r="K152" s="31"/>
    </row>
    <row r="153" spans="2:11" s="13" customFormat="1" x14ac:dyDescent="0.2">
      <c r="B153" s="3"/>
      <c r="C153" s="3"/>
      <c r="D153" s="3"/>
      <c r="E153" s="3"/>
      <c r="F153" s="89"/>
      <c r="G153" s="3"/>
      <c r="H153" s="89"/>
      <c r="I153" s="90"/>
      <c r="K153" s="31"/>
    </row>
    <row r="154" spans="2:11" s="13" customFormat="1" x14ac:dyDescent="0.2">
      <c r="B154" s="3"/>
      <c r="C154" s="3"/>
      <c r="D154" s="3"/>
      <c r="E154" s="3"/>
      <c r="F154" s="89"/>
      <c r="G154" s="3"/>
      <c r="H154" s="89"/>
      <c r="I154" s="90"/>
      <c r="K154" s="31"/>
    </row>
    <row r="155" spans="2:11" s="13" customFormat="1" x14ac:dyDescent="0.2">
      <c r="B155" s="3"/>
      <c r="C155" s="3"/>
      <c r="D155" s="3"/>
      <c r="E155" s="3"/>
      <c r="F155" s="89"/>
      <c r="G155" s="3"/>
      <c r="H155" s="89"/>
      <c r="I155" s="90"/>
      <c r="K155" s="31"/>
    </row>
    <row r="156" spans="2:11" s="13" customFormat="1" x14ac:dyDescent="0.2">
      <c r="B156" s="3"/>
      <c r="C156" s="3"/>
      <c r="D156" s="3"/>
      <c r="E156" s="3"/>
      <c r="F156" s="89"/>
      <c r="G156" s="3"/>
      <c r="H156" s="89"/>
      <c r="I156" s="90"/>
      <c r="K156" s="31"/>
    </row>
    <row r="157" spans="2:11" s="13" customFormat="1" x14ac:dyDescent="0.2">
      <c r="B157" s="3"/>
      <c r="C157" s="3"/>
      <c r="D157" s="3"/>
      <c r="E157" s="3"/>
      <c r="F157" s="89"/>
      <c r="G157" s="3"/>
      <c r="H157" s="89"/>
      <c r="I157" s="90"/>
      <c r="K157" s="31"/>
    </row>
    <row r="158" spans="2:11" s="13" customFormat="1" x14ac:dyDescent="0.2">
      <c r="B158" s="3"/>
      <c r="C158" s="3"/>
      <c r="D158" s="3"/>
      <c r="E158" s="3"/>
      <c r="F158" s="89"/>
      <c r="G158" s="3"/>
      <c r="H158" s="89"/>
      <c r="I158" s="90"/>
      <c r="K158" s="31"/>
    </row>
    <row r="159" spans="2:11" s="13" customFormat="1" x14ac:dyDescent="0.2">
      <c r="B159" s="3"/>
      <c r="C159" s="3"/>
      <c r="D159" s="3"/>
      <c r="E159" s="3"/>
      <c r="F159" s="89"/>
      <c r="G159" s="3"/>
      <c r="H159" s="89"/>
      <c r="I159" s="90"/>
      <c r="K159" s="31"/>
    </row>
    <row r="160" spans="2:11" s="13" customFormat="1" x14ac:dyDescent="0.2">
      <c r="B160" s="3"/>
      <c r="C160" s="3"/>
      <c r="D160" s="3"/>
      <c r="E160" s="3"/>
      <c r="F160" s="89"/>
      <c r="G160" s="3"/>
      <c r="H160" s="89"/>
      <c r="I160" s="90"/>
      <c r="K160" s="31"/>
    </row>
    <row r="161" spans="2:11" s="13" customFormat="1" x14ac:dyDescent="0.2">
      <c r="B161" s="3"/>
      <c r="C161" s="3"/>
      <c r="D161" s="3"/>
      <c r="E161" s="3"/>
      <c r="F161" s="89"/>
      <c r="G161" s="3"/>
      <c r="H161" s="89"/>
      <c r="I161" s="90"/>
      <c r="K161" s="31"/>
    </row>
    <row r="162" spans="2:11" s="13" customFormat="1" x14ac:dyDescent="0.2">
      <c r="B162" s="3"/>
      <c r="C162" s="3"/>
      <c r="D162" s="3"/>
      <c r="E162" s="3"/>
      <c r="F162" s="89"/>
      <c r="G162" s="3"/>
      <c r="H162" s="89"/>
      <c r="I162" s="90"/>
      <c r="K162" s="31"/>
    </row>
    <row r="163" spans="2:11" s="13" customFormat="1" x14ac:dyDescent="0.2">
      <c r="B163" s="3"/>
      <c r="C163" s="3"/>
      <c r="D163" s="3"/>
      <c r="E163" s="3"/>
      <c r="F163" s="89"/>
      <c r="G163" s="3"/>
      <c r="H163" s="89"/>
      <c r="I163" s="90"/>
      <c r="K163" s="31"/>
    </row>
    <row r="164" spans="2:11" s="13" customFormat="1" x14ac:dyDescent="0.2">
      <c r="B164" s="3"/>
      <c r="C164" s="3"/>
      <c r="D164" s="3"/>
      <c r="E164" s="3"/>
      <c r="F164" s="89"/>
      <c r="G164" s="3"/>
      <c r="H164" s="89"/>
      <c r="I164" s="90"/>
      <c r="K164" s="31"/>
    </row>
    <row r="165" spans="2:11" s="13" customFormat="1" x14ac:dyDescent="0.2">
      <c r="B165" s="3"/>
      <c r="C165" s="3"/>
      <c r="D165" s="3"/>
      <c r="E165" s="3"/>
      <c r="F165" s="89"/>
      <c r="G165" s="3"/>
      <c r="H165" s="89"/>
      <c r="I165" s="90"/>
      <c r="K165" s="31"/>
    </row>
    <row r="166" spans="2:11" s="13" customFormat="1" x14ac:dyDescent="0.2">
      <c r="B166" s="3"/>
      <c r="C166" s="3"/>
      <c r="D166" s="3"/>
      <c r="E166" s="3"/>
      <c r="F166" s="89"/>
      <c r="G166" s="3"/>
      <c r="H166" s="89"/>
      <c r="I166" s="90"/>
      <c r="K166" s="31"/>
    </row>
    <row r="167" spans="2:11" s="13" customFormat="1" x14ac:dyDescent="0.2">
      <c r="B167" s="3"/>
      <c r="C167" s="3"/>
      <c r="D167" s="3"/>
      <c r="E167" s="3"/>
      <c r="F167" s="89"/>
      <c r="G167" s="3"/>
      <c r="H167" s="89"/>
      <c r="I167" s="90"/>
      <c r="K167" s="31"/>
    </row>
    <row r="168" spans="2:11" s="13" customFormat="1" x14ac:dyDescent="0.2">
      <c r="B168" s="3"/>
      <c r="C168" s="3"/>
      <c r="D168" s="3"/>
      <c r="E168" s="3"/>
      <c r="F168" s="89"/>
      <c r="G168" s="3"/>
      <c r="H168" s="89"/>
      <c r="I168" s="90"/>
      <c r="K168" s="31"/>
    </row>
    <row r="169" spans="2:11" s="13" customFormat="1" x14ac:dyDescent="0.2">
      <c r="B169" s="3"/>
      <c r="C169" s="3"/>
      <c r="D169" s="3"/>
      <c r="E169" s="3"/>
      <c r="F169" s="89"/>
      <c r="G169" s="3"/>
      <c r="H169" s="89"/>
      <c r="I169" s="90"/>
      <c r="K169" s="31"/>
    </row>
    <row r="170" spans="2:11" s="13" customFormat="1" x14ac:dyDescent="0.2">
      <c r="B170" s="3"/>
      <c r="C170" s="3"/>
      <c r="D170" s="3"/>
      <c r="E170" s="3"/>
      <c r="F170" s="89"/>
      <c r="G170" s="3"/>
      <c r="H170" s="89"/>
      <c r="I170" s="90"/>
      <c r="K170" s="31"/>
    </row>
    <row r="171" spans="2:11" s="13" customFormat="1" x14ac:dyDescent="0.2">
      <c r="B171" s="3"/>
      <c r="C171" s="3"/>
      <c r="D171" s="3"/>
      <c r="E171" s="3"/>
      <c r="F171" s="89"/>
      <c r="G171" s="3"/>
      <c r="H171" s="89"/>
      <c r="I171" s="90"/>
      <c r="K171" s="31"/>
    </row>
    <row r="172" spans="2:11" s="13" customFormat="1" x14ac:dyDescent="0.2">
      <c r="B172" s="3"/>
      <c r="C172" s="3"/>
      <c r="D172" s="3"/>
      <c r="E172" s="3"/>
      <c r="F172" s="89"/>
      <c r="G172" s="3"/>
      <c r="H172" s="89"/>
      <c r="I172" s="90"/>
      <c r="K172" s="31"/>
    </row>
    <row r="173" spans="2:11" s="13" customFormat="1" x14ac:dyDescent="0.2">
      <c r="B173" s="3"/>
      <c r="C173" s="3"/>
      <c r="D173" s="3"/>
      <c r="E173" s="3"/>
      <c r="F173" s="89"/>
      <c r="G173" s="3"/>
      <c r="H173" s="89"/>
      <c r="I173" s="90"/>
      <c r="K173" s="31"/>
    </row>
    <row r="174" spans="2:11" s="13" customFormat="1" x14ac:dyDescent="0.2">
      <c r="B174" s="3"/>
      <c r="C174" s="3"/>
      <c r="D174" s="3"/>
      <c r="E174" s="3"/>
      <c r="F174" s="89"/>
      <c r="G174" s="3"/>
      <c r="H174" s="89"/>
      <c r="I174" s="90"/>
      <c r="K174" s="31"/>
    </row>
    <row r="175" spans="2:11" s="13" customFormat="1" x14ac:dyDescent="0.2">
      <c r="B175" s="3"/>
      <c r="C175" s="3"/>
      <c r="D175" s="3"/>
      <c r="E175" s="3"/>
      <c r="F175" s="89"/>
      <c r="G175" s="3"/>
      <c r="H175" s="89"/>
      <c r="I175" s="90"/>
      <c r="K175" s="31"/>
    </row>
    <row r="176" spans="2:11" s="13" customFormat="1" x14ac:dyDescent="0.2">
      <c r="B176" s="3"/>
      <c r="C176" s="3"/>
      <c r="D176" s="3"/>
      <c r="E176" s="3"/>
      <c r="F176" s="89"/>
      <c r="G176" s="3"/>
      <c r="H176" s="89"/>
      <c r="I176" s="90"/>
      <c r="K176" s="31"/>
    </row>
    <row r="177" spans="2:11" s="13" customFormat="1" x14ac:dyDescent="0.2">
      <c r="B177" s="3"/>
      <c r="C177" s="3"/>
      <c r="D177" s="3"/>
      <c r="E177" s="3"/>
      <c r="F177" s="89"/>
      <c r="G177" s="3"/>
      <c r="H177" s="89"/>
      <c r="I177" s="90"/>
      <c r="K177" s="31"/>
    </row>
    <row r="178" spans="2:11" s="13" customFormat="1" x14ac:dyDescent="0.2">
      <c r="B178" s="3"/>
      <c r="C178" s="3"/>
      <c r="D178" s="3"/>
      <c r="E178" s="3"/>
      <c r="F178" s="89"/>
      <c r="G178" s="3"/>
      <c r="H178" s="89"/>
      <c r="I178" s="90"/>
      <c r="K178" s="31"/>
    </row>
    <row r="179" spans="2:11" s="13" customFormat="1" x14ac:dyDescent="0.2">
      <c r="B179" s="3"/>
      <c r="C179" s="3"/>
      <c r="D179" s="3"/>
      <c r="E179" s="3"/>
      <c r="F179" s="89"/>
      <c r="G179" s="3"/>
      <c r="H179" s="89"/>
      <c r="I179" s="90"/>
      <c r="K179" s="31"/>
    </row>
    <row r="180" spans="2:11" s="13" customFormat="1" x14ac:dyDescent="0.2">
      <c r="B180" s="3"/>
      <c r="C180" s="3"/>
      <c r="D180" s="3"/>
      <c r="E180" s="3"/>
      <c r="F180" s="89"/>
      <c r="G180" s="3"/>
      <c r="H180" s="89"/>
      <c r="I180" s="90"/>
      <c r="K180" s="31"/>
    </row>
    <row r="181" spans="2:11" s="13" customFormat="1" x14ac:dyDescent="0.2">
      <c r="B181" s="3"/>
      <c r="C181" s="3"/>
      <c r="D181" s="3"/>
      <c r="E181" s="3"/>
      <c r="F181" s="89"/>
      <c r="G181" s="3"/>
      <c r="H181" s="89"/>
      <c r="I181" s="90"/>
      <c r="K181" s="31"/>
    </row>
    <row r="182" spans="2:11" s="13" customFormat="1" x14ac:dyDescent="0.2">
      <c r="B182" s="3"/>
      <c r="C182" s="3"/>
      <c r="D182" s="3"/>
      <c r="E182" s="3"/>
      <c r="F182" s="89"/>
      <c r="G182" s="3"/>
      <c r="H182" s="89"/>
      <c r="I182" s="90"/>
      <c r="K182" s="31"/>
    </row>
    <row r="183" spans="2:11" s="13" customFormat="1" x14ac:dyDescent="0.2">
      <c r="B183" s="3"/>
      <c r="C183" s="3"/>
      <c r="D183" s="3"/>
      <c r="E183" s="3"/>
      <c r="F183" s="89"/>
      <c r="G183" s="3"/>
      <c r="H183" s="89"/>
      <c r="I183" s="90"/>
      <c r="K183" s="31"/>
    </row>
    <row r="184" spans="2:11" s="13" customFormat="1" x14ac:dyDescent="0.2">
      <c r="B184" s="3"/>
      <c r="C184" s="3"/>
      <c r="D184" s="3"/>
      <c r="E184" s="3"/>
      <c r="F184" s="89"/>
      <c r="G184" s="3"/>
      <c r="H184" s="89"/>
      <c r="I184" s="90"/>
      <c r="K184" s="31"/>
    </row>
    <row r="185" spans="2:11" s="13" customFormat="1" x14ac:dyDescent="0.2">
      <c r="B185" s="3"/>
      <c r="C185" s="3"/>
      <c r="D185" s="3"/>
      <c r="E185" s="3"/>
      <c r="F185" s="89"/>
      <c r="G185" s="3"/>
      <c r="H185" s="89"/>
      <c r="I185" s="90"/>
      <c r="K185" s="31"/>
    </row>
    <row r="186" spans="2:11" s="13" customFormat="1" x14ac:dyDescent="0.2">
      <c r="B186" s="3"/>
      <c r="C186" s="3"/>
      <c r="D186" s="3"/>
      <c r="E186" s="3"/>
      <c r="F186" s="89"/>
      <c r="G186" s="3"/>
      <c r="H186" s="89"/>
      <c r="I186" s="90"/>
      <c r="K186" s="31"/>
    </row>
    <row r="187" spans="2:11" s="13" customFormat="1" x14ac:dyDescent="0.2">
      <c r="B187" s="3"/>
      <c r="C187" s="3"/>
      <c r="D187" s="3"/>
      <c r="E187" s="3"/>
      <c r="F187" s="89"/>
      <c r="G187" s="3"/>
      <c r="H187" s="89"/>
      <c r="I187" s="90"/>
      <c r="K187" s="31"/>
    </row>
    <row r="188" spans="2:11" s="13" customFormat="1" x14ac:dyDescent="0.2">
      <c r="B188" s="3"/>
      <c r="C188" s="3"/>
      <c r="D188" s="3"/>
      <c r="E188" s="3"/>
      <c r="F188" s="89"/>
      <c r="G188" s="3"/>
      <c r="H188" s="89"/>
      <c r="I188" s="90"/>
      <c r="K188" s="31"/>
    </row>
    <row r="189" spans="2:11" s="13" customFormat="1" x14ac:dyDescent="0.2">
      <c r="B189" s="3"/>
      <c r="C189" s="3"/>
      <c r="D189" s="3"/>
      <c r="E189" s="3"/>
      <c r="F189" s="89"/>
      <c r="G189" s="3"/>
      <c r="H189" s="89"/>
      <c r="I189" s="90"/>
      <c r="K189" s="31"/>
    </row>
    <row r="190" spans="2:11" s="13" customFormat="1" x14ac:dyDescent="0.2">
      <c r="B190" s="3"/>
      <c r="C190" s="3"/>
      <c r="D190" s="3"/>
      <c r="E190" s="3"/>
      <c r="F190" s="89"/>
      <c r="G190" s="3"/>
      <c r="H190" s="89"/>
      <c r="I190" s="90"/>
      <c r="K190" s="31"/>
    </row>
    <row r="191" spans="2:11" s="13" customFormat="1" x14ac:dyDescent="0.2">
      <c r="B191" s="3"/>
      <c r="C191" s="3"/>
      <c r="D191" s="3"/>
      <c r="E191" s="3"/>
      <c r="F191" s="89"/>
      <c r="G191" s="3"/>
      <c r="H191" s="89"/>
      <c r="I191" s="90"/>
      <c r="K191" s="31"/>
    </row>
    <row r="192" spans="2:11" s="13" customFormat="1" x14ac:dyDescent="0.2">
      <c r="B192" s="3"/>
      <c r="C192" s="3"/>
      <c r="D192" s="3"/>
      <c r="E192" s="3"/>
      <c r="F192" s="89"/>
      <c r="G192" s="3"/>
      <c r="H192" s="89"/>
      <c r="I192" s="90"/>
      <c r="K192" s="31"/>
    </row>
    <row r="193" spans="2:11" s="13" customFormat="1" x14ac:dyDescent="0.2">
      <c r="B193" s="3"/>
      <c r="C193" s="3"/>
      <c r="D193" s="3"/>
      <c r="E193" s="3"/>
      <c r="F193" s="89"/>
      <c r="G193" s="3"/>
      <c r="H193" s="89"/>
      <c r="I193" s="90"/>
      <c r="K193" s="31"/>
    </row>
    <row r="194" spans="2:11" s="13" customFormat="1" x14ac:dyDescent="0.2">
      <c r="B194" s="3"/>
      <c r="C194" s="3"/>
      <c r="D194" s="3"/>
      <c r="E194" s="3"/>
      <c r="F194" s="89"/>
      <c r="G194" s="3"/>
      <c r="H194" s="89"/>
      <c r="I194" s="90"/>
      <c r="K194" s="31"/>
    </row>
    <row r="195" spans="2:11" s="13" customFormat="1" x14ac:dyDescent="0.2">
      <c r="B195" s="3"/>
      <c r="C195" s="3"/>
      <c r="D195" s="3"/>
      <c r="E195" s="3"/>
      <c r="F195" s="89"/>
      <c r="G195" s="3"/>
      <c r="H195" s="89"/>
      <c r="I195" s="90"/>
      <c r="K195" s="31"/>
    </row>
    <row r="196" spans="2:11" s="13" customFormat="1" x14ac:dyDescent="0.2">
      <c r="B196" s="3"/>
      <c r="C196" s="3"/>
      <c r="D196" s="3"/>
      <c r="E196" s="3"/>
      <c r="F196" s="89"/>
      <c r="G196" s="3"/>
      <c r="H196" s="89"/>
      <c r="I196" s="90"/>
      <c r="K196" s="31"/>
    </row>
    <row r="197" spans="2:11" s="13" customFormat="1" x14ac:dyDescent="0.2">
      <c r="B197" s="3"/>
      <c r="C197" s="3"/>
      <c r="D197" s="3"/>
      <c r="E197" s="3"/>
      <c r="F197" s="89"/>
      <c r="G197" s="3"/>
      <c r="H197" s="89"/>
      <c r="I197" s="90"/>
      <c r="K197" s="31"/>
    </row>
    <row r="198" spans="2:11" s="13" customFormat="1" x14ac:dyDescent="0.2">
      <c r="B198" s="3"/>
      <c r="C198" s="3"/>
      <c r="D198" s="3"/>
      <c r="E198" s="3"/>
      <c r="F198" s="89"/>
      <c r="G198" s="3"/>
      <c r="H198" s="89"/>
      <c r="I198" s="90"/>
      <c r="K198" s="31"/>
    </row>
    <row r="199" spans="2:11" s="13" customFormat="1" x14ac:dyDescent="0.2">
      <c r="B199" s="3"/>
      <c r="C199" s="3"/>
      <c r="D199" s="3"/>
      <c r="E199" s="3"/>
      <c r="F199" s="89"/>
      <c r="G199" s="3"/>
      <c r="H199" s="89"/>
      <c r="I199" s="90"/>
      <c r="K199" s="31"/>
    </row>
    <row r="200" spans="2:11" s="13" customFormat="1" x14ac:dyDescent="0.2">
      <c r="B200" s="3"/>
      <c r="C200" s="3"/>
      <c r="D200" s="3"/>
      <c r="E200" s="3"/>
      <c r="F200" s="89"/>
      <c r="G200" s="3"/>
      <c r="H200" s="89"/>
      <c r="I200" s="90"/>
      <c r="K200" s="31"/>
    </row>
    <row r="201" spans="2:11" s="13" customFormat="1" x14ac:dyDescent="0.2">
      <c r="B201" s="3"/>
      <c r="C201" s="3"/>
      <c r="D201" s="3"/>
      <c r="E201" s="3"/>
      <c r="F201" s="89"/>
      <c r="G201" s="3"/>
      <c r="H201" s="89"/>
      <c r="I201" s="90"/>
      <c r="K201" s="31"/>
    </row>
    <row r="202" spans="2:11" s="13" customFormat="1" x14ac:dyDescent="0.2">
      <c r="B202" s="3"/>
      <c r="C202" s="3"/>
      <c r="D202" s="3"/>
      <c r="E202" s="3"/>
      <c r="F202" s="89"/>
      <c r="G202" s="3"/>
      <c r="H202" s="89"/>
      <c r="I202" s="90"/>
      <c r="K202" s="31"/>
    </row>
    <row r="203" spans="2:11" s="13" customFormat="1" x14ac:dyDescent="0.2">
      <c r="B203" s="3"/>
      <c r="C203" s="3"/>
      <c r="D203" s="3"/>
      <c r="E203" s="3"/>
      <c r="F203" s="89"/>
      <c r="G203" s="3"/>
      <c r="H203" s="89"/>
      <c r="I203" s="90"/>
      <c r="K203" s="31"/>
    </row>
    <row r="204" spans="2:11" s="13" customFormat="1" x14ac:dyDescent="0.2">
      <c r="B204" s="3"/>
      <c r="C204" s="3"/>
      <c r="D204" s="3"/>
      <c r="E204" s="3"/>
      <c r="F204" s="89"/>
      <c r="G204" s="3"/>
      <c r="H204" s="89"/>
      <c r="I204" s="90"/>
      <c r="K204" s="31"/>
    </row>
    <row r="205" spans="2:11" s="13" customFormat="1" x14ac:dyDescent="0.2">
      <c r="B205" s="3"/>
      <c r="C205" s="3"/>
      <c r="D205" s="3"/>
      <c r="E205" s="3"/>
      <c r="F205" s="89"/>
      <c r="G205" s="3"/>
      <c r="H205" s="89"/>
      <c r="I205" s="90"/>
      <c r="K205" s="31"/>
    </row>
    <row r="206" spans="2:11" s="13" customFormat="1" x14ac:dyDescent="0.2">
      <c r="B206" s="3"/>
      <c r="C206" s="3"/>
      <c r="D206" s="3"/>
      <c r="E206" s="3"/>
      <c r="F206" s="89"/>
      <c r="G206" s="3"/>
      <c r="H206" s="89"/>
      <c r="I206" s="90"/>
      <c r="K206" s="31"/>
    </row>
    <row r="207" spans="2:11" s="13" customFormat="1" x14ac:dyDescent="0.2">
      <c r="B207" s="3"/>
      <c r="C207" s="3"/>
      <c r="D207" s="3"/>
      <c r="E207" s="3"/>
      <c r="F207" s="89"/>
      <c r="G207" s="3"/>
      <c r="H207" s="89"/>
      <c r="I207" s="90"/>
      <c r="K207" s="31"/>
    </row>
    <row r="208" spans="2:11" s="13" customFormat="1" x14ac:dyDescent="0.2">
      <c r="B208" s="3"/>
      <c r="C208" s="3"/>
      <c r="D208" s="3"/>
      <c r="E208" s="3"/>
      <c r="F208" s="89"/>
      <c r="G208" s="3"/>
      <c r="H208" s="89"/>
      <c r="I208" s="90"/>
      <c r="K208" s="31"/>
    </row>
    <row r="209" spans="2:11" s="13" customFormat="1" x14ac:dyDescent="0.2">
      <c r="B209" s="3"/>
      <c r="C209" s="3"/>
      <c r="D209" s="3"/>
      <c r="E209" s="3"/>
      <c r="F209" s="89"/>
      <c r="G209" s="3"/>
      <c r="H209" s="89"/>
      <c r="I209" s="90"/>
      <c r="K209" s="31"/>
    </row>
    <row r="210" spans="2:11" s="13" customFormat="1" x14ac:dyDescent="0.2">
      <c r="B210" s="3"/>
      <c r="C210" s="3"/>
      <c r="D210" s="3"/>
      <c r="E210" s="3"/>
      <c r="F210" s="89"/>
      <c r="G210" s="3"/>
      <c r="H210" s="89"/>
      <c r="I210" s="90"/>
      <c r="K210" s="31"/>
    </row>
    <row r="211" spans="2:11" s="13" customFormat="1" x14ac:dyDescent="0.2">
      <c r="B211" s="3"/>
      <c r="C211" s="3"/>
      <c r="D211" s="3"/>
      <c r="E211" s="3"/>
      <c r="F211" s="89"/>
      <c r="G211" s="3"/>
      <c r="H211" s="89"/>
      <c r="I211" s="90"/>
      <c r="K211" s="31"/>
    </row>
    <row r="212" spans="2:11" s="13" customFormat="1" x14ac:dyDescent="0.2">
      <c r="B212" s="3"/>
      <c r="C212" s="3"/>
      <c r="D212" s="3"/>
      <c r="E212" s="3"/>
      <c r="F212" s="89"/>
      <c r="G212" s="3"/>
      <c r="H212" s="89"/>
      <c r="I212" s="90"/>
      <c r="K212" s="31"/>
    </row>
    <row r="213" spans="2:11" s="13" customFormat="1" x14ac:dyDescent="0.2">
      <c r="B213" s="3"/>
      <c r="C213" s="3"/>
      <c r="D213" s="3"/>
      <c r="E213" s="3"/>
      <c r="F213" s="89"/>
      <c r="G213" s="3"/>
      <c r="H213" s="89"/>
      <c r="I213" s="90"/>
      <c r="K213" s="31"/>
    </row>
    <row r="214" spans="2:11" s="13" customFormat="1" x14ac:dyDescent="0.2">
      <c r="B214" s="3"/>
      <c r="C214" s="3"/>
      <c r="D214" s="3"/>
      <c r="E214" s="3"/>
      <c r="F214" s="89"/>
      <c r="G214" s="3"/>
      <c r="H214" s="89"/>
      <c r="I214" s="90"/>
      <c r="K214" s="31"/>
    </row>
    <row r="215" spans="2:11" s="13" customFormat="1" x14ac:dyDescent="0.2">
      <c r="B215" s="3"/>
      <c r="C215" s="3"/>
      <c r="D215" s="3"/>
      <c r="E215" s="3"/>
      <c r="F215" s="89"/>
      <c r="G215" s="3"/>
      <c r="H215" s="89"/>
      <c r="I215" s="90"/>
      <c r="K215" s="31"/>
    </row>
    <row r="216" spans="2:11" s="13" customFormat="1" x14ac:dyDescent="0.2">
      <c r="B216" s="3"/>
      <c r="C216" s="3"/>
      <c r="D216" s="3"/>
      <c r="E216" s="3"/>
      <c r="F216" s="89"/>
      <c r="G216" s="3"/>
      <c r="H216" s="89"/>
      <c r="I216" s="90"/>
      <c r="K216" s="31"/>
    </row>
    <row r="217" spans="2:11" s="13" customFormat="1" x14ac:dyDescent="0.2">
      <c r="B217" s="3"/>
      <c r="C217" s="3"/>
      <c r="D217" s="3"/>
      <c r="E217" s="3"/>
      <c r="F217" s="89"/>
      <c r="G217" s="3"/>
      <c r="H217" s="89"/>
      <c r="I217" s="90"/>
      <c r="K217" s="31"/>
    </row>
    <row r="218" spans="2:11" s="13" customFormat="1" x14ac:dyDescent="0.2">
      <c r="B218" s="3"/>
      <c r="C218" s="3"/>
      <c r="D218" s="3"/>
      <c r="E218" s="3"/>
      <c r="F218" s="89"/>
      <c r="G218" s="3"/>
      <c r="H218" s="89"/>
      <c r="I218" s="90"/>
      <c r="K218" s="31"/>
    </row>
    <row r="219" spans="2:11" s="13" customFormat="1" x14ac:dyDescent="0.2">
      <c r="B219" s="3"/>
      <c r="C219" s="3"/>
      <c r="D219" s="3"/>
      <c r="E219" s="3"/>
      <c r="F219" s="89"/>
      <c r="G219" s="3"/>
      <c r="H219" s="89"/>
      <c r="I219" s="90"/>
      <c r="K219" s="31"/>
    </row>
    <row r="220" spans="2:11" s="13" customFormat="1" x14ac:dyDescent="0.2">
      <c r="B220" s="3"/>
      <c r="C220" s="3"/>
      <c r="D220" s="3"/>
      <c r="E220" s="3"/>
      <c r="F220" s="89"/>
      <c r="G220" s="3"/>
      <c r="H220" s="89"/>
      <c r="I220" s="90"/>
      <c r="K220" s="31"/>
    </row>
    <row r="221" spans="2:11" s="13" customFormat="1" x14ac:dyDescent="0.2">
      <c r="B221" s="3"/>
      <c r="C221" s="3"/>
      <c r="D221" s="3"/>
      <c r="E221" s="3"/>
      <c r="F221" s="89"/>
      <c r="G221" s="3"/>
      <c r="H221" s="89"/>
      <c r="I221" s="90"/>
      <c r="K221" s="31"/>
    </row>
    <row r="222" spans="2:11" s="13" customFormat="1" x14ac:dyDescent="0.2">
      <c r="B222" s="3"/>
      <c r="C222" s="3"/>
      <c r="D222" s="3"/>
      <c r="E222" s="3"/>
      <c r="F222" s="89"/>
      <c r="G222" s="3"/>
      <c r="H222" s="89"/>
      <c r="I222" s="90"/>
      <c r="K222" s="31"/>
    </row>
    <row r="223" spans="2:11" s="13" customFormat="1" x14ac:dyDescent="0.2">
      <c r="B223" s="3"/>
      <c r="C223" s="3"/>
      <c r="D223" s="3"/>
      <c r="E223" s="3"/>
      <c r="F223" s="89"/>
      <c r="G223" s="3"/>
      <c r="H223" s="89"/>
      <c r="I223" s="90"/>
      <c r="K223" s="31"/>
    </row>
    <row r="224" spans="2:11" s="13" customFormat="1" x14ac:dyDescent="0.2">
      <c r="B224" s="3"/>
      <c r="C224" s="3"/>
      <c r="D224" s="3"/>
      <c r="E224" s="3"/>
      <c r="F224" s="89"/>
      <c r="G224" s="3"/>
      <c r="H224" s="89"/>
      <c r="I224" s="90"/>
      <c r="K224" s="31"/>
    </row>
    <row r="225" spans="2:11" s="13" customFormat="1" x14ac:dyDescent="0.2">
      <c r="B225" s="3"/>
      <c r="C225" s="3"/>
      <c r="D225" s="3"/>
      <c r="E225" s="3"/>
      <c r="F225" s="89"/>
      <c r="G225" s="3"/>
      <c r="H225" s="89"/>
      <c r="I225" s="90"/>
      <c r="K225" s="31"/>
    </row>
    <row r="226" spans="2:11" s="13" customFormat="1" x14ac:dyDescent="0.2">
      <c r="B226" s="3"/>
      <c r="C226" s="3"/>
      <c r="D226" s="3"/>
      <c r="E226" s="3"/>
      <c r="F226" s="89"/>
      <c r="G226" s="3"/>
      <c r="H226" s="89"/>
      <c r="I226" s="90"/>
      <c r="K226" s="31"/>
    </row>
    <row r="227" spans="2:11" s="13" customFormat="1" x14ac:dyDescent="0.2">
      <c r="B227" s="3"/>
      <c r="C227" s="3"/>
      <c r="D227" s="3"/>
      <c r="E227" s="3"/>
      <c r="F227" s="89"/>
      <c r="G227" s="3"/>
      <c r="H227" s="89"/>
      <c r="I227" s="90"/>
      <c r="K227" s="31"/>
    </row>
    <row r="228" spans="2:11" s="13" customFormat="1" x14ac:dyDescent="0.2">
      <c r="B228" s="3"/>
      <c r="C228" s="3"/>
      <c r="D228" s="3"/>
      <c r="E228" s="3"/>
      <c r="F228" s="89"/>
      <c r="G228" s="3"/>
      <c r="H228" s="89"/>
      <c r="I228" s="90"/>
      <c r="K228" s="31"/>
    </row>
    <row r="229" spans="2:11" s="13" customFormat="1" x14ac:dyDescent="0.2">
      <c r="B229" s="3"/>
      <c r="C229" s="3"/>
      <c r="D229" s="3"/>
      <c r="E229" s="3"/>
      <c r="F229" s="89"/>
      <c r="G229" s="3"/>
      <c r="H229" s="89"/>
      <c r="I229" s="90"/>
      <c r="K229" s="31"/>
    </row>
    <row r="230" spans="2:11" s="13" customFormat="1" x14ac:dyDescent="0.2">
      <c r="B230" s="3"/>
      <c r="C230" s="3"/>
      <c r="D230" s="3"/>
      <c r="E230" s="3"/>
      <c r="F230" s="89"/>
      <c r="G230" s="3"/>
      <c r="H230" s="89"/>
      <c r="I230" s="90"/>
      <c r="K230" s="31"/>
    </row>
    <row r="231" spans="2:11" s="13" customFormat="1" x14ac:dyDescent="0.2">
      <c r="B231" s="3"/>
      <c r="C231" s="3"/>
      <c r="D231" s="3"/>
      <c r="E231" s="3"/>
      <c r="F231" s="89"/>
      <c r="G231" s="3"/>
      <c r="H231" s="89"/>
      <c r="I231" s="90"/>
      <c r="K231" s="31"/>
    </row>
    <row r="232" spans="2:11" s="13" customFormat="1" x14ac:dyDescent="0.2">
      <c r="B232" s="3"/>
      <c r="C232" s="3"/>
      <c r="D232" s="3"/>
      <c r="E232" s="3"/>
      <c r="F232" s="89"/>
      <c r="G232" s="3"/>
      <c r="H232" s="89"/>
      <c r="I232" s="90"/>
      <c r="K232" s="31"/>
    </row>
    <row r="233" spans="2:11" s="13" customFormat="1" x14ac:dyDescent="0.2">
      <c r="B233" s="3"/>
      <c r="C233" s="3"/>
      <c r="D233" s="3"/>
      <c r="E233" s="3"/>
      <c r="F233" s="89"/>
      <c r="G233" s="3"/>
      <c r="H233" s="89"/>
      <c r="I233" s="90"/>
      <c r="K233" s="31"/>
    </row>
    <row r="234" spans="2:11" s="13" customFormat="1" x14ac:dyDescent="0.2">
      <c r="B234" s="3"/>
      <c r="C234" s="3"/>
      <c r="D234" s="3"/>
      <c r="E234" s="3"/>
      <c r="F234" s="89"/>
      <c r="G234" s="3"/>
      <c r="H234" s="89"/>
      <c r="I234" s="90"/>
      <c r="K234" s="31"/>
    </row>
    <row r="235" spans="2:11" s="13" customFormat="1" x14ac:dyDescent="0.2">
      <c r="B235" s="3"/>
      <c r="C235" s="3"/>
      <c r="D235" s="3"/>
      <c r="E235" s="3"/>
      <c r="F235" s="89"/>
      <c r="G235" s="3"/>
      <c r="H235" s="89"/>
      <c r="I235" s="90"/>
      <c r="K235" s="31"/>
    </row>
    <row r="236" spans="2:11" s="13" customFormat="1" x14ac:dyDescent="0.2">
      <c r="B236" s="3"/>
      <c r="C236" s="3"/>
      <c r="D236" s="3"/>
      <c r="E236" s="3"/>
      <c r="F236" s="89"/>
      <c r="G236" s="3"/>
      <c r="H236" s="89"/>
      <c r="I236" s="90"/>
      <c r="K236" s="31"/>
    </row>
    <row r="237" spans="2:11" s="13" customFormat="1" x14ac:dyDescent="0.2">
      <c r="B237" s="3"/>
      <c r="C237" s="3"/>
      <c r="D237" s="3"/>
      <c r="E237" s="3"/>
      <c r="F237" s="89"/>
      <c r="G237" s="3"/>
      <c r="H237" s="89"/>
      <c r="I237" s="90"/>
      <c r="K237" s="31"/>
    </row>
    <row r="238" spans="2:11" s="13" customFormat="1" x14ac:dyDescent="0.2">
      <c r="B238" s="3"/>
      <c r="C238" s="3"/>
      <c r="D238" s="3"/>
      <c r="E238" s="3"/>
      <c r="F238" s="89"/>
      <c r="G238" s="3"/>
      <c r="H238" s="89"/>
      <c r="I238" s="90"/>
      <c r="K238" s="31"/>
    </row>
    <row r="239" spans="2:11" s="13" customFormat="1" x14ac:dyDescent="0.2">
      <c r="B239" s="3"/>
      <c r="C239" s="3"/>
      <c r="D239" s="3"/>
      <c r="E239" s="3"/>
      <c r="F239" s="89"/>
      <c r="G239" s="3"/>
      <c r="H239" s="89"/>
      <c r="I239" s="90"/>
      <c r="K239" s="31"/>
    </row>
    <row r="240" spans="2:11" s="13" customFormat="1" x14ac:dyDescent="0.2">
      <c r="B240" s="3"/>
      <c r="C240" s="3"/>
      <c r="D240" s="3"/>
      <c r="E240" s="3"/>
      <c r="F240" s="89"/>
      <c r="G240" s="3"/>
      <c r="H240" s="89"/>
      <c r="I240" s="90"/>
      <c r="K240" s="31"/>
    </row>
    <row r="241" spans="1:13" s="13" customFormat="1" x14ac:dyDescent="0.2">
      <c r="B241" s="3"/>
      <c r="C241" s="3"/>
      <c r="D241" s="3"/>
      <c r="E241" s="3"/>
      <c r="F241" s="89"/>
      <c r="G241" s="3"/>
      <c r="H241" s="89"/>
      <c r="I241" s="90"/>
      <c r="K241" s="31"/>
    </row>
    <row r="242" spans="1:13" s="13" customFormat="1" x14ac:dyDescent="0.2">
      <c r="B242" s="3"/>
      <c r="C242" s="3"/>
      <c r="D242" s="3"/>
      <c r="E242" s="3"/>
      <c r="F242" s="89"/>
      <c r="G242" s="3"/>
      <c r="H242" s="89"/>
      <c r="I242" s="90"/>
      <c r="K242" s="31"/>
    </row>
    <row r="243" spans="1:13" s="13" customFormat="1" x14ac:dyDescent="0.2">
      <c r="B243" s="3"/>
      <c r="C243" s="3"/>
      <c r="D243" s="3"/>
      <c r="E243" s="3"/>
      <c r="F243" s="89"/>
      <c r="G243" s="3"/>
      <c r="H243" s="89"/>
      <c r="I243" s="90"/>
      <c r="K243" s="31"/>
    </row>
    <row r="244" spans="1:13" s="13" customFormat="1" x14ac:dyDescent="0.2">
      <c r="B244" s="3"/>
      <c r="C244" s="3"/>
      <c r="D244" s="3"/>
      <c r="E244" s="3"/>
      <c r="F244" s="89"/>
      <c r="G244" s="3"/>
      <c r="H244" s="89"/>
      <c r="I244" s="90"/>
      <c r="K244" s="31"/>
    </row>
    <row r="245" spans="1:13" s="13" customFormat="1" x14ac:dyDescent="0.2">
      <c r="B245" s="3"/>
      <c r="C245" s="3"/>
      <c r="D245" s="3"/>
      <c r="E245" s="3"/>
      <c r="F245" s="89"/>
      <c r="G245" s="3"/>
      <c r="H245" s="89"/>
      <c r="I245" s="90"/>
      <c r="K245" s="31"/>
    </row>
    <row r="246" spans="1:13" s="13" customFormat="1" x14ac:dyDescent="0.2">
      <c r="B246" s="3"/>
      <c r="C246" s="3"/>
      <c r="D246" s="3"/>
      <c r="E246" s="3"/>
      <c r="F246" s="89"/>
      <c r="G246" s="3"/>
      <c r="H246" s="89"/>
      <c r="I246" s="90"/>
      <c r="K246" s="31"/>
    </row>
    <row r="247" spans="1:13" s="13" customFormat="1" x14ac:dyDescent="0.2">
      <c r="B247" s="3"/>
      <c r="C247" s="3"/>
      <c r="D247" s="3"/>
      <c r="E247" s="3"/>
      <c r="F247" s="89"/>
      <c r="G247" s="3"/>
      <c r="H247" s="89"/>
      <c r="I247" s="90"/>
      <c r="K247" s="31"/>
    </row>
    <row r="248" spans="1:13" s="13" customFormat="1" x14ac:dyDescent="0.2">
      <c r="B248" s="3"/>
      <c r="C248" s="3"/>
      <c r="D248" s="3"/>
      <c r="E248" s="3"/>
      <c r="F248" s="89"/>
      <c r="G248" s="3"/>
      <c r="H248" s="89"/>
      <c r="I248" s="90"/>
      <c r="K248" s="31"/>
    </row>
    <row r="249" spans="1:13" s="89" customFormat="1" x14ac:dyDescent="0.2">
      <c r="A249" s="13"/>
      <c r="B249" s="3"/>
      <c r="C249" s="3"/>
      <c r="D249" s="3"/>
      <c r="E249" s="3"/>
      <c r="G249" s="3"/>
      <c r="I249" s="90"/>
      <c r="J249" s="13"/>
      <c r="K249" s="31"/>
      <c r="L249" s="13"/>
      <c r="M249" s="13"/>
    </row>
    <row r="250" spans="1:13" s="89" customFormat="1" x14ac:dyDescent="0.2">
      <c r="A250" s="13"/>
      <c r="B250" s="3"/>
      <c r="C250" s="3"/>
      <c r="D250" s="3"/>
      <c r="E250" s="3"/>
      <c r="G250" s="91"/>
      <c r="I250" s="90"/>
      <c r="J250" s="13"/>
      <c r="K250" s="31"/>
      <c r="L250" s="13"/>
      <c r="M250" s="13"/>
    </row>
    <row r="251" spans="1:13" s="89" customFormat="1" x14ac:dyDescent="0.2">
      <c r="A251" s="13"/>
      <c r="B251" s="3"/>
      <c r="C251" s="3"/>
      <c r="D251" s="3"/>
      <c r="E251" s="3"/>
      <c r="G251" s="92"/>
      <c r="I251" s="90"/>
      <c r="J251" s="13"/>
      <c r="K251" s="31"/>
      <c r="L251" s="13"/>
      <c r="M251" s="13"/>
    </row>
    <row r="252" spans="1:13" s="89" customFormat="1" x14ac:dyDescent="0.2">
      <c r="A252" s="13"/>
      <c r="B252" s="3"/>
      <c r="C252" s="3"/>
      <c r="D252" s="3"/>
      <c r="E252" s="3"/>
      <c r="G252" s="93"/>
      <c r="I252" s="90"/>
      <c r="J252" s="13"/>
      <c r="K252" s="31"/>
      <c r="L252" s="13"/>
      <c r="M252" s="13"/>
    </row>
    <row r="253" spans="1:13" s="89" customFormat="1" x14ac:dyDescent="0.2">
      <c r="A253" s="13"/>
      <c r="B253" s="3"/>
      <c r="C253" s="3"/>
      <c r="D253" s="3"/>
      <c r="E253" s="3"/>
      <c r="G253" s="94"/>
      <c r="I253" s="90"/>
      <c r="J253" s="13"/>
      <c r="K253" s="31"/>
      <c r="L253" s="13"/>
      <c r="M253" s="13"/>
    </row>
    <row r="254" spans="1:13" s="89" customFormat="1" x14ac:dyDescent="0.2">
      <c r="A254" s="13"/>
      <c r="B254" s="3"/>
      <c r="C254" s="3"/>
      <c r="D254" s="3"/>
      <c r="E254" s="3"/>
      <c r="G254" s="91"/>
      <c r="I254" s="90"/>
      <c r="J254" s="13"/>
      <c r="K254" s="31"/>
      <c r="L254" s="13"/>
      <c r="M254" s="13"/>
    </row>
    <row r="255" spans="1:13" s="13" customFormat="1" x14ac:dyDescent="0.2">
      <c r="B255" s="3"/>
      <c r="C255" s="3"/>
      <c r="D255" s="3"/>
      <c r="E255" s="3"/>
      <c r="F255" s="89"/>
      <c r="G255" s="3"/>
      <c r="H255" s="89"/>
      <c r="I255" s="90"/>
      <c r="K255" s="31"/>
    </row>
    <row r="256" spans="1:13" s="13" customFormat="1" x14ac:dyDescent="0.2">
      <c r="B256" s="3"/>
      <c r="C256" s="3"/>
      <c r="D256" s="3"/>
      <c r="E256" s="3"/>
      <c r="F256" s="89"/>
      <c r="G256" s="3"/>
      <c r="H256" s="89"/>
      <c r="I256" s="90"/>
      <c r="K256" s="31"/>
    </row>
    <row r="257" spans="1:13" s="13" customFormat="1" x14ac:dyDescent="0.2">
      <c r="B257" s="3"/>
      <c r="C257" s="3"/>
      <c r="D257" s="3"/>
      <c r="E257" s="3"/>
      <c r="F257" s="89"/>
      <c r="G257" s="3"/>
      <c r="H257" s="89"/>
      <c r="I257" s="90"/>
      <c r="K257" s="31"/>
    </row>
    <row r="258" spans="1:13" s="89" customFormat="1" x14ac:dyDescent="0.2">
      <c r="A258" s="13"/>
      <c r="B258" s="3"/>
      <c r="C258" s="3"/>
      <c r="D258" s="3"/>
      <c r="E258" s="3"/>
      <c r="G258" s="95"/>
      <c r="I258" s="90"/>
      <c r="J258" s="13"/>
      <c r="K258" s="31"/>
      <c r="L258" s="13"/>
      <c r="M258" s="13"/>
    </row>
    <row r="259" spans="1:13" s="89" customFormat="1" x14ac:dyDescent="0.2">
      <c r="A259" s="13"/>
      <c r="B259" s="3"/>
      <c r="C259" s="3"/>
      <c r="D259" s="3"/>
      <c r="E259" s="3"/>
      <c r="G259" s="96"/>
      <c r="I259" s="90"/>
      <c r="J259" s="13"/>
      <c r="K259" s="31"/>
      <c r="L259" s="13"/>
      <c r="M259" s="13"/>
    </row>
    <row r="260" spans="1:13" s="89" customFormat="1" x14ac:dyDescent="0.2">
      <c r="A260" s="13"/>
      <c r="B260" s="3"/>
      <c r="C260" s="3"/>
      <c r="D260" s="3"/>
      <c r="E260" s="3"/>
      <c r="G260" s="93"/>
      <c r="I260" s="90"/>
      <c r="J260" s="13"/>
      <c r="K260" s="31"/>
      <c r="L260" s="13"/>
      <c r="M260" s="13"/>
    </row>
    <row r="261" spans="1:13" s="89" customFormat="1" x14ac:dyDescent="0.2">
      <c r="A261" s="13"/>
      <c r="B261" s="3"/>
      <c r="C261" s="3"/>
      <c r="D261" s="3"/>
      <c r="E261" s="3"/>
      <c r="G261" s="93"/>
      <c r="I261" s="90"/>
      <c r="J261" s="13"/>
      <c r="K261" s="31"/>
      <c r="L261" s="13"/>
      <c r="M261" s="13"/>
    </row>
    <row r="262" spans="1:13" s="89" customFormat="1" x14ac:dyDescent="0.2">
      <c r="A262" s="13"/>
      <c r="B262" s="3"/>
      <c r="C262" s="3"/>
      <c r="D262" s="3"/>
      <c r="E262" s="3"/>
      <c r="G262" s="91"/>
      <c r="I262" s="90"/>
      <c r="J262" s="13"/>
      <c r="K262" s="31"/>
      <c r="L262" s="13"/>
      <c r="M262" s="13"/>
    </row>
    <row r="263" spans="1:13" s="13" customFormat="1" x14ac:dyDescent="0.2">
      <c r="B263" s="3"/>
      <c r="C263" s="3"/>
      <c r="D263" s="3"/>
      <c r="E263" s="3"/>
      <c r="F263" s="89"/>
      <c r="G263" s="3"/>
      <c r="H263" s="89"/>
      <c r="I263" s="90"/>
      <c r="K263" s="31"/>
    </row>
    <row r="264" spans="1:13" s="13" customFormat="1" x14ac:dyDescent="0.2">
      <c r="B264" s="3"/>
      <c r="C264" s="3"/>
      <c r="D264" s="3"/>
      <c r="E264" s="3"/>
      <c r="F264" s="89"/>
      <c r="G264" s="3"/>
      <c r="H264" s="89"/>
      <c r="I264" s="90"/>
      <c r="K264" s="31"/>
    </row>
    <row r="265" spans="1:13" s="13" customFormat="1" x14ac:dyDescent="0.2">
      <c r="B265" s="3"/>
      <c r="C265" s="3"/>
      <c r="D265" s="3"/>
      <c r="E265" s="3"/>
      <c r="F265" s="89"/>
      <c r="G265" s="3"/>
      <c r="H265" s="89"/>
      <c r="I265" s="90"/>
      <c r="K265" s="31"/>
    </row>
    <row r="266" spans="1:13" s="89" customFormat="1" x14ac:dyDescent="0.2">
      <c r="A266" s="13"/>
      <c r="B266" s="3"/>
      <c r="C266" s="3"/>
      <c r="D266" s="3"/>
      <c r="E266" s="3"/>
      <c r="G266" s="95"/>
      <c r="I266" s="90"/>
      <c r="J266" s="13"/>
      <c r="K266" s="31"/>
      <c r="L266" s="13"/>
      <c r="M266" s="13"/>
    </row>
    <row r="267" spans="1:13" s="89" customFormat="1" x14ac:dyDescent="0.2">
      <c r="A267" s="13"/>
      <c r="B267" s="3"/>
      <c r="C267" s="3"/>
      <c r="D267" s="3"/>
      <c r="E267" s="3"/>
      <c r="G267" s="96"/>
      <c r="I267" s="90"/>
      <c r="J267" s="13"/>
      <c r="K267" s="31"/>
      <c r="L267" s="13"/>
      <c r="M267" s="13"/>
    </row>
    <row r="268" spans="1:13" s="89" customFormat="1" x14ac:dyDescent="0.2">
      <c r="A268" s="13"/>
      <c r="B268" s="3"/>
      <c r="C268" s="3"/>
      <c r="D268" s="3"/>
      <c r="E268" s="3"/>
      <c r="G268" s="93"/>
      <c r="I268" s="90"/>
      <c r="J268" s="13"/>
      <c r="K268" s="31"/>
      <c r="L268" s="13"/>
      <c r="M268" s="13"/>
    </row>
    <row r="269" spans="1:13" s="89" customFormat="1" x14ac:dyDescent="0.2">
      <c r="A269" s="13"/>
      <c r="B269" s="3"/>
      <c r="C269" s="3"/>
      <c r="D269" s="3"/>
      <c r="E269" s="3"/>
      <c r="G269" s="93"/>
      <c r="I269" s="90"/>
      <c r="J269" s="13"/>
      <c r="K269" s="31"/>
      <c r="L269" s="13"/>
      <c r="M269" s="13"/>
    </row>
    <row r="270" spans="1:13" s="89" customFormat="1" x14ac:dyDescent="0.2">
      <c r="A270" s="13"/>
      <c r="B270" s="3"/>
      <c r="C270" s="3"/>
      <c r="D270" s="3"/>
      <c r="E270" s="3"/>
      <c r="G270" s="95"/>
      <c r="I270" s="90"/>
      <c r="J270" s="13"/>
      <c r="K270" s="31"/>
      <c r="L270" s="13"/>
      <c r="M270" s="13"/>
    </row>
    <row r="271" spans="1:13" s="89" customFormat="1" x14ac:dyDescent="0.2">
      <c r="A271" s="13"/>
      <c r="B271" s="3"/>
      <c r="C271" s="3"/>
      <c r="D271" s="3"/>
      <c r="E271" s="3"/>
      <c r="G271" s="97"/>
      <c r="I271" s="90"/>
      <c r="J271" s="13"/>
      <c r="K271" s="31"/>
      <c r="L271" s="13"/>
      <c r="M271" s="13"/>
    </row>
    <row r="272" spans="1:13" s="89" customFormat="1" x14ac:dyDescent="0.2">
      <c r="A272" s="13"/>
      <c r="B272" s="3"/>
      <c r="C272" s="3"/>
      <c r="D272" s="3"/>
      <c r="E272" s="3"/>
      <c r="G272" s="95"/>
      <c r="I272" s="90"/>
      <c r="J272" s="13"/>
      <c r="K272" s="31"/>
      <c r="L272" s="13"/>
      <c r="M272" s="13"/>
    </row>
    <row r="273" spans="2:11" s="13" customFormat="1" x14ac:dyDescent="0.2">
      <c r="B273" s="3"/>
      <c r="C273" s="3"/>
      <c r="D273" s="3"/>
      <c r="E273" s="3"/>
      <c r="F273" s="89"/>
      <c r="G273" s="3"/>
      <c r="H273" s="89"/>
      <c r="I273" s="90"/>
      <c r="K273" s="31"/>
    </row>
    <row r="274" spans="2:11" s="13" customFormat="1" x14ac:dyDescent="0.2">
      <c r="B274" s="3"/>
      <c r="C274" s="3"/>
      <c r="D274" s="3"/>
      <c r="E274" s="3"/>
      <c r="F274" s="89"/>
      <c r="G274" s="3"/>
      <c r="H274" s="89"/>
      <c r="I274" s="90"/>
      <c r="K274" s="31"/>
    </row>
    <row r="275" spans="2:11" s="13" customFormat="1" x14ac:dyDescent="0.2">
      <c r="B275" s="3"/>
      <c r="C275" s="3"/>
      <c r="D275" s="3"/>
      <c r="E275" s="3"/>
      <c r="F275" s="89"/>
      <c r="G275" s="3"/>
      <c r="H275" s="89"/>
      <c r="I275" s="90"/>
      <c r="K275" s="31"/>
    </row>
    <row r="276" spans="2:11" s="13" customFormat="1" x14ac:dyDescent="0.2">
      <c r="B276" s="3"/>
      <c r="C276" s="3"/>
      <c r="D276" s="3"/>
      <c r="E276" s="3"/>
      <c r="F276" s="89"/>
      <c r="G276" s="3"/>
      <c r="H276" s="89"/>
      <c r="I276" s="90"/>
      <c r="K276" s="31"/>
    </row>
    <row r="277" spans="2:11" s="13" customFormat="1" x14ac:dyDescent="0.2">
      <c r="B277" s="3"/>
      <c r="C277" s="3"/>
      <c r="D277" s="3"/>
      <c r="E277" s="3"/>
      <c r="F277" s="89"/>
      <c r="G277" s="3"/>
      <c r="H277" s="89"/>
      <c r="I277" s="90"/>
      <c r="K277" s="31"/>
    </row>
    <row r="278" spans="2:11" s="13" customFormat="1" x14ac:dyDescent="0.2">
      <c r="B278" s="3"/>
      <c r="C278" s="3"/>
      <c r="D278" s="3"/>
      <c r="E278" s="3"/>
      <c r="F278" s="89"/>
      <c r="G278" s="3"/>
      <c r="H278" s="89"/>
      <c r="I278" s="90"/>
      <c r="K278" s="31"/>
    </row>
    <row r="279" spans="2:11" s="13" customFormat="1" x14ac:dyDescent="0.2">
      <c r="B279" s="3"/>
      <c r="C279" s="3"/>
      <c r="D279" s="3"/>
      <c r="E279" s="3"/>
      <c r="F279" s="89"/>
      <c r="G279" s="3"/>
      <c r="H279" s="89"/>
      <c r="I279" s="90"/>
      <c r="K279" s="31"/>
    </row>
    <row r="280" spans="2:11" s="13" customFormat="1" x14ac:dyDescent="0.2">
      <c r="B280" s="3"/>
      <c r="C280" s="3"/>
      <c r="D280" s="3"/>
      <c r="E280" s="3"/>
      <c r="F280" s="89"/>
      <c r="G280" s="3"/>
      <c r="H280" s="89"/>
      <c r="I280" s="90"/>
      <c r="K280" s="31"/>
    </row>
    <row r="281" spans="2:11" s="13" customFormat="1" x14ac:dyDescent="0.2">
      <c r="B281" s="3"/>
      <c r="C281" s="3"/>
      <c r="D281" s="3"/>
      <c r="E281" s="3"/>
      <c r="F281" s="89"/>
      <c r="G281" s="3"/>
      <c r="H281" s="89"/>
      <c r="I281" s="90"/>
      <c r="K281" s="31"/>
    </row>
    <row r="282" spans="2:11" s="13" customFormat="1" x14ac:dyDescent="0.2">
      <c r="B282" s="3"/>
      <c r="C282" s="3"/>
      <c r="D282" s="3"/>
      <c r="E282" s="3"/>
      <c r="F282" s="89"/>
      <c r="G282" s="3"/>
      <c r="H282" s="89"/>
      <c r="I282" s="90"/>
      <c r="K282" s="31"/>
    </row>
    <row r="283" spans="2:11" s="13" customFormat="1" x14ac:dyDescent="0.2">
      <c r="B283" s="3"/>
      <c r="C283" s="3"/>
      <c r="D283" s="3"/>
      <c r="E283" s="3"/>
      <c r="F283" s="89"/>
      <c r="G283" s="3"/>
      <c r="H283" s="89"/>
      <c r="I283" s="90"/>
      <c r="K283" s="31"/>
    </row>
    <row r="284" spans="2:11" s="13" customFormat="1" x14ac:dyDescent="0.2">
      <c r="B284" s="3"/>
      <c r="C284" s="3"/>
      <c r="D284" s="3"/>
      <c r="E284" s="3"/>
      <c r="F284" s="89"/>
      <c r="G284" s="3"/>
      <c r="H284" s="89"/>
      <c r="I284" s="90"/>
      <c r="K284" s="31"/>
    </row>
    <row r="285" spans="2:11" s="13" customFormat="1" x14ac:dyDescent="0.2">
      <c r="B285" s="3"/>
      <c r="C285" s="3"/>
      <c r="D285" s="3"/>
      <c r="E285" s="3"/>
      <c r="F285" s="89"/>
      <c r="G285" s="3"/>
      <c r="H285" s="89"/>
      <c r="I285" s="90"/>
      <c r="K285" s="31"/>
    </row>
    <row r="286" spans="2:11" s="13" customFormat="1" x14ac:dyDescent="0.2">
      <c r="B286" s="3"/>
      <c r="C286" s="3"/>
      <c r="D286" s="3"/>
      <c r="E286" s="3"/>
      <c r="F286" s="89"/>
      <c r="G286" s="3"/>
      <c r="H286" s="89"/>
      <c r="I286" s="90"/>
      <c r="K286" s="31"/>
    </row>
    <row r="287" spans="2:11" s="13" customFormat="1" x14ac:dyDescent="0.2">
      <c r="B287" s="3"/>
      <c r="C287" s="3"/>
      <c r="D287" s="3"/>
      <c r="E287" s="3"/>
      <c r="F287" s="89"/>
      <c r="G287" s="3"/>
      <c r="H287" s="89"/>
      <c r="I287" s="90"/>
      <c r="K287" s="31"/>
    </row>
    <row r="288" spans="2:11" s="13" customFormat="1" x14ac:dyDescent="0.2">
      <c r="B288" s="3"/>
      <c r="C288" s="3"/>
      <c r="D288" s="3"/>
      <c r="E288" s="3"/>
      <c r="F288" s="89"/>
      <c r="G288" s="3"/>
      <c r="H288" s="89"/>
      <c r="I288" s="90"/>
      <c r="K288" s="31"/>
    </row>
    <row r="289" spans="2:11" s="13" customFormat="1" x14ac:dyDescent="0.2">
      <c r="B289" s="3"/>
      <c r="C289" s="3"/>
      <c r="D289" s="3"/>
      <c r="E289" s="3"/>
      <c r="F289" s="89"/>
      <c r="G289" s="3"/>
      <c r="H289" s="89"/>
      <c r="I289" s="90"/>
      <c r="K289" s="31"/>
    </row>
    <row r="290" spans="2:11" s="13" customFormat="1" x14ac:dyDescent="0.2">
      <c r="B290" s="3"/>
      <c r="C290" s="3"/>
      <c r="D290" s="3"/>
      <c r="E290" s="3"/>
      <c r="F290" s="89"/>
      <c r="G290" s="3"/>
      <c r="H290" s="89"/>
      <c r="I290" s="90"/>
      <c r="K290" s="31"/>
    </row>
    <row r="291" spans="2:11" s="13" customFormat="1" x14ac:dyDescent="0.2">
      <c r="B291" s="3"/>
      <c r="C291" s="3"/>
      <c r="D291" s="3"/>
      <c r="E291" s="3"/>
      <c r="F291" s="89"/>
      <c r="G291" s="3"/>
      <c r="H291" s="89"/>
      <c r="I291" s="90"/>
      <c r="K291" s="31"/>
    </row>
    <row r="292" spans="2:11" s="13" customFormat="1" x14ac:dyDescent="0.2">
      <c r="B292" s="3"/>
      <c r="C292" s="3"/>
      <c r="D292" s="3"/>
      <c r="E292" s="3"/>
      <c r="F292" s="89"/>
      <c r="G292" s="3"/>
      <c r="H292" s="89"/>
      <c r="I292" s="90"/>
      <c r="K292" s="31"/>
    </row>
    <row r="293" spans="2:11" s="13" customFormat="1" x14ac:dyDescent="0.2">
      <c r="B293" s="3"/>
      <c r="C293" s="3"/>
      <c r="D293" s="3"/>
      <c r="E293" s="3"/>
      <c r="F293" s="89"/>
      <c r="G293" s="3"/>
      <c r="H293" s="89"/>
      <c r="I293" s="90"/>
      <c r="K293" s="31"/>
    </row>
    <row r="294" spans="2:11" s="13" customFormat="1" x14ac:dyDescent="0.2">
      <c r="B294" s="3"/>
      <c r="C294" s="3"/>
      <c r="D294" s="3"/>
      <c r="E294" s="3"/>
      <c r="F294" s="89"/>
      <c r="G294" s="3"/>
      <c r="H294" s="89"/>
      <c r="I294" s="90"/>
      <c r="K294" s="31"/>
    </row>
    <row r="295" spans="2:11" s="13" customFormat="1" x14ac:dyDescent="0.2">
      <c r="B295" s="3"/>
      <c r="C295" s="3"/>
      <c r="D295" s="3"/>
      <c r="E295" s="3"/>
      <c r="F295" s="89"/>
      <c r="G295" s="3"/>
      <c r="H295" s="89"/>
      <c r="I295" s="90"/>
      <c r="K295" s="31"/>
    </row>
    <row r="296" spans="2:11" s="13" customFormat="1" x14ac:dyDescent="0.2">
      <c r="B296" s="3"/>
      <c r="C296" s="3"/>
      <c r="D296" s="3"/>
      <c r="E296" s="3"/>
      <c r="F296" s="89"/>
      <c r="G296" s="3"/>
      <c r="H296" s="89"/>
      <c r="I296" s="90"/>
      <c r="K296" s="31"/>
    </row>
    <row r="297" spans="2:11" s="13" customFormat="1" x14ac:dyDescent="0.2">
      <c r="B297" s="3"/>
      <c r="C297" s="3"/>
      <c r="D297" s="3"/>
      <c r="E297" s="3"/>
      <c r="F297" s="89"/>
      <c r="G297" s="3"/>
      <c r="H297" s="89"/>
      <c r="I297" s="90"/>
      <c r="K297" s="31"/>
    </row>
    <row r="298" spans="2:11" s="13" customFormat="1" x14ac:dyDescent="0.2">
      <c r="B298" s="3"/>
      <c r="C298" s="3"/>
      <c r="D298" s="3"/>
      <c r="E298" s="3"/>
      <c r="F298" s="89"/>
      <c r="G298" s="3"/>
      <c r="H298" s="89"/>
      <c r="I298" s="90"/>
      <c r="K298" s="31"/>
    </row>
    <row r="299" spans="2:11" s="13" customFormat="1" x14ac:dyDescent="0.2">
      <c r="B299" s="3"/>
      <c r="C299" s="3"/>
      <c r="D299" s="3"/>
      <c r="E299" s="3"/>
      <c r="F299" s="89"/>
      <c r="G299" s="3"/>
      <c r="H299" s="89"/>
      <c r="I299" s="90"/>
      <c r="K299" s="31"/>
    </row>
    <row r="300" spans="2:11" s="13" customFormat="1" x14ac:dyDescent="0.2">
      <c r="B300" s="3"/>
      <c r="C300" s="3"/>
      <c r="D300" s="3"/>
      <c r="E300" s="3"/>
      <c r="F300" s="89"/>
      <c r="G300" s="3"/>
      <c r="H300" s="89"/>
      <c r="I300" s="90"/>
      <c r="K300" s="31"/>
    </row>
    <row r="301" spans="2:11" s="13" customFormat="1" x14ac:dyDescent="0.2">
      <c r="B301" s="3"/>
      <c r="C301" s="3"/>
      <c r="D301" s="3"/>
      <c r="E301" s="3"/>
      <c r="F301" s="89"/>
      <c r="G301" s="3"/>
      <c r="H301" s="89"/>
      <c r="I301" s="90"/>
      <c r="K301" s="31"/>
    </row>
    <row r="302" spans="2:11" s="13" customFormat="1" x14ac:dyDescent="0.2">
      <c r="B302" s="3"/>
      <c r="C302" s="3"/>
      <c r="D302" s="3"/>
      <c r="E302" s="3"/>
      <c r="F302" s="89"/>
      <c r="G302" s="3"/>
      <c r="H302" s="89"/>
      <c r="I302" s="90"/>
      <c r="K302" s="31"/>
    </row>
    <row r="303" spans="2:11" s="13" customFormat="1" x14ac:dyDescent="0.2">
      <c r="B303" s="3"/>
      <c r="C303" s="3"/>
      <c r="D303" s="3"/>
      <c r="E303" s="3"/>
      <c r="F303" s="89"/>
      <c r="G303" s="3"/>
      <c r="H303" s="89"/>
      <c r="I303" s="90"/>
      <c r="K303" s="31"/>
    </row>
    <row r="304" spans="2:11" s="13" customFormat="1" x14ac:dyDescent="0.2">
      <c r="B304" s="3"/>
      <c r="C304" s="3"/>
      <c r="D304" s="3"/>
      <c r="E304" s="3"/>
      <c r="F304" s="89"/>
      <c r="G304" s="3"/>
      <c r="H304" s="89"/>
      <c r="I304" s="90"/>
      <c r="K304" s="31"/>
    </row>
    <row r="305" spans="2:11" s="13" customFormat="1" x14ac:dyDescent="0.2">
      <c r="B305" s="3"/>
      <c r="C305" s="3"/>
      <c r="D305" s="3"/>
      <c r="E305" s="3"/>
      <c r="F305" s="89"/>
      <c r="G305" s="3"/>
      <c r="H305" s="89"/>
      <c r="I305" s="90"/>
      <c r="K305" s="31"/>
    </row>
    <row r="306" spans="2:11" s="13" customFormat="1" x14ac:dyDescent="0.2">
      <c r="B306" s="3"/>
      <c r="C306" s="3"/>
      <c r="D306" s="3"/>
      <c r="E306" s="3"/>
      <c r="F306" s="89"/>
      <c r="G306" s="3"/>
      <c r="H306" s="89"/>
      <c r="I306" s="90"/>
      <c r="K306" s="31"/>
    </row>
    <row r="307" spans="2:11" s="13" customFormat="1" x14ac:dyDescent="0.2">
      <c r="B307" s="3"/>
      <c r="C307" s="3"/>
      <c r="D307" s="3"/>
      <c r="E307" s="3"/>
      <c r="F307" s="89"/>
      <c r="G307" s="3"/>
      <c r="H307" s="89"/>
      <c r="I307" s="90"/>
      <c r="K307" s="31"/>
    </row>
    <row r="308" spans="2:11" s="13" customFormat="1" x14ac:dyDescent="0.2">
      <c r="B308" s="3"/>
      <c r="C308" s="3"/>
      <c r="D308" s="3"/>
      <c r="E308" s="3"/>
      <c r="F308" s="89"/>
      <c r="G308" s="3"/>
      <c r="H308" s="89"/>
      <c r="I308" s="90"/>
      <c r="K308" s="31"/>
    </row>
    <row r="309" spans="2:11" s="13" customFormat="1" x14ac:dyDescent="0.2">
      <c r="B309" s="3"/>
      <c r="C309" s="3"/>
      <c r="D309" s="3"/>
      <c r="E309" s="3"/>
      <c r="F309" s="89"/>
      <c r="G309" s="3"/>
      <c r="H309" s="89"/>
      <c r="I309" s="90"/>
      <c r="K309" s="31"/>
    </row>
    <row r="310" spans="2:11" s="13" customFormat="1" x14ac:dyDescent="0.2">
      <c r="B310" s="3"/>
      <c r="C310" s="3"/>
      <c r="D310" s="3"/>
      <c r="E310" s="3"/>
      <c r="F310" s="89"/>
      <c r="G310" s="3"/>
      <c r="H310" s="89"/>
      <c r="I310" s="90"/>
      <c r="K310" s="31"/>
    </row>
    <row r="311" spans="2:11" s="13" customFormat="1" x14ac:dyDescent="0.2">
      <c r="B311" s="3"/>
      <c r="C311" s="3"/>
      <c r="D311" s="3"/>
      <c r="E311" s="3"/>
      <c r="F311" s="89"/>
      <c r="G311" s="3"/>
      <c r="H311" s="89"/>
      <c r="I311" s="90"/>
      <c r="K311" s="31"/>
    </row>
    <row r="312" spans="2:11" s="13" customFormat="1" x14ac:dyDescent="0.2">
      <c r="B312" s="3"/>
      <c r="C312" s="3"/>
      <c r="D312" s="3"/>
      <c r="E312" s="3"/>
      <c r="F312" s="89"/>
      <c r="G312" s="3"/>
      <c r="H312" s="89"/>
      <c r="I312" s="90"/>
      <c r="K312" s="31"/>
    </row>
    <row r="313" spans="2:11" s="13" customFormat="1" x14ac:dyDescent="0.2">
      <c r="B313" s="3"/>
      <c r="C313" s="3"/>
      <c r="D313" s="3"/>
      <c r="E313" s="3"/>
      <c r="F313" s="89"/>
      <c r="G313" s="3"/>
      <c r="H313" s="89"/>
      <c r="I313" s="90"/>
      <c r="K313" s="31"/>
    </row>
    <row r="314" spans="2:11" s="13" customFormat="1" x14ac:dyDescent="0.2">
      <c r="B314" s="3"/>
      <c r="C314" s="3"/>
      <c r="D314" s="3"/>
      <c r="E314" s="3"/>
      <c r="F314" s="89"/>
      <c r="G314" s="3"/>
      <c r="H314" s="89"/>
      <c r="I314" s="90"/>
      <c r="K314" s="31"/>
    </row>
    <row r="315" spans="2:11" s="13" customFormat="1" x14ac:dyDescent="0.2">
      <c r="B315" s="3"/>
      <c r="C315" s="3"/>
      <c r="D315" s="3"/>
      <c r="E315" s="3"/>
      <c r="F315" s="89"/>
      <c r="G315" s="3"/>
      <c r="H315" s="89"/>
      <c r="I315" s="90"/>
      <c r="K315" s="31"/>
    </row>
    <row r="316" spans="2:11" s="13" customFormat="1" x14ac:dyDescent="0.2">
      <c r="B316" s="3"/>
      <c r="C316" s="3"/>
      <c r="D316" s="3"/>
      <c r="E316" s="3"/>
      <c r="F316" s="89"/>
      <c r="G316" s="3"/>
      <c r="H316" s="89"/>
      <c r="I316" s="90"/>
      <c r="K316" s="31"/>
    </row>
    <row r="317" spans="2:11" s="13" customFormat="1" x14ac:dyDescent="0.2">
      <c r="B317" s="3"/>
      <c r="C317" s="3"/>
      <c r="D317" s="3"/>
      <c r="E317" s="3"/>
      <c r="F317" s="89"/>
      <c r="G317" s="3"/>
      <c r="H317" s="89"/>
      <c r="I317" s="90"/>
      <c r="K317" s="31"/>
    </row>
    <row r="318" spans="2:11" s="13" customFormat="1" x14ac:dyDescent="0.2">
      <c r="B318" s="3"/>
      <c r="C318" s="3"/>
      <c r="D318" s="3"/>
      <c r="E318" s="3"/>
      <c r="F318" s="89"/>
      <c r="G318" s="3"/>
      <c r="H318" s="89"/>
      <c r="I318" s="90"/>
      <c r="K318" s="31"/>
    </row>
    <row r="319" spans="2:11" s="13" customFormat="1" x14ac:dyDescent="0.2">
      <c r="B319" s="3"/>
      <c r="C319" s="3"/>
      <c r="D319" s="3"/>
      <c r="E319" s="3"/>
      <c r="F319" s="89"/>
      <c r="G319" s="3"/>
      <c r="H319" s="89"/>
      <c r="I319" s="90"/>
      <c r="K319" s="31"/>
    </row>
    <row r="320" spans="2:11" s="13" customFormat="1" x14ac:dyDescent="0.2">
      <c r="B320" s="3"/>
      <c r="C320" s="3"/>
      <c r="D320" s="3"/>
      <c r="E320" s="3"/>
      <c r="F320" s="89"/>
      <c r="G320" s="3"/>
      <c r="H320" s="89"/>
      <c r="I320" s="90"/>
      <c r="K320" s="31"/>
    </row>
    <row r="321" spans="2:11" s="13" customFormat="1" x14ac:dyDescent="0.2">
      <c r="B321" s="3"/>
      <c r="C321" s="3"/>
      <c r="D321" s="3"/>
      <c r="E321" s="3"/>
      <c r="F321" s="89"/>
      <c r="G321" s="3"/>
      <c r="H321" s="89"/>
      <c r="I321" s="90"/>
      <c r="K321" s="31"/>
    </row>
    <row r="322" spans="2:11" s="13" customFormat="1" x14ac:dyDescent="0.2">
      <c r="B322" s="3"/>
      <c r="C322" s="3"/>
      <c r="D322" s="3"/>
      <c r="E322" s="3"/>
      <c r="F322" s="89"/>
      <c r="G322" s="3"/>
      <c r="H322" s="89"/>
      <c r="I322" s="90"/>
      <c r="K322" s="31"/>
    </row>
    <row r="323" spans="2:11" s="13" customFormat="1" x14ac:dyDescent="0.2">
      <c r="B323" s="3"/>
      <c r="C323" s="3"/>
      <c r="D323" s="3"/>
      <c r="E323" s="3"/>
      <c r="F323" s="89"/>
      <c r="G323" s="3"/>
      <c r="H323" s="89"/>
      <c r="I323" s="90"/>
      <c r="K323" s="31"/>
    </row>
    <row r="324" spans="2:11" s="13" customFormat="1" x14ac:dyDescent="0.2">
      <c r="B324" s="3"/>
      <c r="C324" s="3"/>
      <c r="D324" s="3"/>
      <c r="E324" s="3"/>
      <c r="F324" s="89"/>
      <c r="G324" s="3"/>
      <c r="H324" s="89"/>
      <c r="I324" s="90"/>
      <c r="K324" s="31"/>
    </row>
    <row r="325" spans="2:11" s="13" customFormat="1" x14ac:dyDescent="0.2">
      <c r="B325" s="3"/>
      <c r="C325" s="3"/>
      <c r="D325" s="3"/>
      <c r="E325" s="3"/>
      <c r="F325" s="89"/>
      <c r="G325" s="3"/>
      <c r="H325" s="89"/>
      <c r="I325" s="90"/>
      <c r="K325" s="31"/>
    </row>
    <row r="326" spans="2:11" s="13" customFormat="1" x14ac:dyDescent="0.2">
      <c r="B326" s="3"/>
      <c r="C326" s="3"/>
      <c r="D326" s="3"/>
      <c r="E326" s="3"/>
      <c r="F326" s="89"/>
      <c r="G326" s="3"/>
      <c r="H326" s="89"/>
      <c r="I326" s="90"/>
      <c r="K326" s="31"/>
    </row>
    <row r="327" spans="2:11" s="13" customFormat="1" x14ac:dyDescent="0.2">
      <c r="B327" s="3"/>
      <c r="C327" s="3"/>
      <c r="D327" s="3"/>
      <c r="E327" s="3"/>
      <c r="F327" s="89"/>
      <c r="G327" s="3"/>
      <c r="H327" s="89"/>
      <c r="I327" s="90"/>
      <c r="K327" s="31"/>
    </row>
    <row r="328" spans="2:11" s="13" customFormat="1" x14ac:dyDescent="0.2">
      <c r="B328" s="3"/>
      <c r="C328" s="3"/>
      <c r="D328" s="3"/>
      <c r="E328" s="3"/>
      <c r="F328" s="89"/>
      <c r="G328" s="3"/>
      <c r="H328" s="89"/>
      <c r="I328" s="90"/>
      <c r="K328" s="31"/>
    </row>
    <row r="329" spans="2:11" s="13" customFormat="1" x14ac:dyDescent="0.2">
      <c r="B329" s="3"/>
      <c r="C329" s="3"/>
      <c r="D329" s="3"/>
      <c r="E329" s="3"/>
      <c r="F329" s="89"/>
      <c r="G329" s="3"/>
      <c r="H329" s="89"/>
      <c r="I329" s="90"/>
      <c r="K329" s="31"/>
    </row>
    <row r="330" spans="2:11" s="13" customFormat="1" x14ac:dyDescent="0.2">
      <c r="B330" s="3"/>
      <c r="C330" s="3"/>
      <c r="D330" s="3"/>
      <c r="E330" s="3"/>
      <c r="F330" s="89"/>
      <c r="G330" s="3"/>
      <c r="H330" s="89"/>
      <c r="I330" s="90"/>
      <c r="K330" s="31"/>
    </row>
    <row r="331" spans="2:11" s="13" customFormat="1" x14ac:dyDescent="0.2">
      <c r="B331" s="3"/>
      <c r="C331" s="3"/>
      <c r="D331" s="3"/>
      <c r="E331" s="3"/>
      <c r="F331" s="89"/>
      <c r="G331" s="3"/>
      <c r="H331" s="89"/>
      <c r="I331" s="90"/>
      <c r="K331" s="31"/>
    </row>
    <row r="332" spans="2:11" s="13" customFormat="1" x14ac:dyDescent="0.2">
      <c r="B332" s="3"/>
      <c r="C332" s="3"/>
      <c r="D332" s="3"/>
      <c r="E332" s="3"/>
      <c r="F332" s="89"/>
      <c r="G332" s="3"/>
      <c r="H332" s="89"/>
      <c r="I332" s="90"/>
      <c r="K332" s="31"/>
    </row>
    <row r="333" spans="2:11" s="13" customFormat="1" x14ac:dyDescent="0.2">
      <c r="B333" s="3"/>
      <c r="C333" s="3"/>
      <c r="D333" s="3"/>
      <c r="E333" s="3"/>
      <c r="F333" s="89"/>
      <c r="G333" s="3"/>
      <c r="H333" s="89"/>
      <c r="I333" s="90"/>
      <c r="K333" s="31"/>
    </row>
    <row r="334" spans="2:11" s="13" customFormat="1" x14ac:dyDescent="0.2">
      <c r="B334" s="3"/>
      <c r="C334" s="3"/>
      <c r="D334" s="3"/>
      <c r="E334" s="3"/>
      <c r="F334" s="89"/>
      <c r="G334" s="3"/>
      <c r="H334" s="89"/>
      <c r="I334" s="90"/>
      <c r="K334" s="31"/>
    </row>
    <row r="335" spans="2:11" s="13" customFormat="1" x14ac:dyDescent="0.2">
      <c r="B335" s="3"/>
      <c r="C335" s="3"/>
      <c r="D335" s="3"/>
      <c r="E335" s="3"/>
      <c r="F335" s="89"/>
      <c r="G335" s="3"/>
      <c r="H335" s="89"/>
      <c r="I335" s="90"/>
      <c r="K335" s="31"/>
    </row>
    <row r="336" spans="2:11" s="13" customFormat="1" x14ac:dyDescent="0.2">
      <c r="B336" s="3"/>
      <c r="C336" s="3"/>
      <c r="D336" s="3"/>
      <c r="E336" s="3"/>
      <c r="F336" s="89"/>
      <c r="G336" s="3"/>
      <c r="H336" s="89"/>
      <c r="I336" s="90"/>
      <c r="K336" s="31"/>
    </row>
    <row r="337" spans="2:11" s="13" customFormat="1" x14ac:dyDescent="0.2">
      <c r="B337" s="3"/>
      <c r="C337" s="3"/>
      <c r="D337" s="3"/>
      <c r="E337" s="3"/>
      <c r="F337" s="89"/>
      <c r="G337" s="3"/>
      <c r="H337" s="89"/>
      <c r="I337" s="90"/>
      <c r="K337" s="31"/>
    </row>
    <row r="338" spans="2:11" s="13" customFormat="1" x14ac:dyDescent="0.2">
      <c r="B338" s="3"/>
      <c r="C338" s="3"/>
      <c r="D338" s="3"/>
      <c r="E338" s="3"/>
      <c r="F338" s="89"/>
      <c r="G338" s="3"/>
      <c r="H338" s="89"/>
      <c r="I338" s="90"/>
      <c r="K338" s="31"/>
    </row>
    <row r="339" spans="2:11" s="13" customFormat="1" x14ac:dyDescent="0.2">
      <c r="B339" s="3"/>
      <c r="C339" s="3"/>
      <c r="D339" s="3"/>
      <c r="E339" s="3"/>
      <c r="F339" s="89"/>
      <c r="G339" s="3"/>
      <c r="H339" s="89"/>
      <c r="I339" s="90"/>
      <c r="K339" s="31"/>
    </row>
    <row r="340" spans="2:11" s="13" customFormat="1" x14ac:dyDescent="0.2">
      <c r="B340" s="3"/>
      <c r="C340" s="3"/>
      <c r="D340" s="3"/>
      <c r="E340" s="3"/>
      <c r="F340" s="89"/>
      <c r="G340" s="3"/>
      <c r="H340" s="89"/>
      <c r="I340" s="90"/>
      <c r="K340" s="31"/>
    </row>
    <row r="341" spans="2:11" s="13" customFormat="1" x14ac:dyDescent="0.2">
      <c r="B341" s="3"/>
      <c r="C341" s="3"/>
      <c r="D341" s="3"/>
      <c r="E341" s="3"/>
      <c r="F341" s="89"/>
      <c r="G341" s="3"/>
      <c r="H341" s="89"/>
      <c r="I341" s="90"/>
      <c r="K341" s="31"/>
    </row>
    <row r="342" spans="2:11" s="13" customFormat="1" x14ac:dyDescent="0.2">
      <c r="B342" s="3"/>
      <c r="C342" s="3"/>
      <c r="D342" s="3"/>
      <c r="E342" s="3"/>
      <c r="F342" s="89"/>
      <c r="G342" s="3"/>
      <c r="H342" s="89"/>
      <c r="I342" s="90"/>
      <c r="K342" s="31"/>
    </row>
    <row r="343" spans="2:11" s="13" customFormat="1" x14ac:dyDescent="0.2">
      <c r="B343" s="3"/>
      <c r="C343" s="3"/>
      <c r="D343" s="3"/>
      <c r="E343" s="3"/>
      <c r="F343" s="89"/>
      <c r="G343" s="3"/>
      <c r="H343" s="89"/>
      <c r="I343" s="90"/>
      <c r="K343" s="31"/>
    </row>
    <row r="344" spans="2:11" s="13" customFormat="1" x14ac:dyDescent="0.2">
      <c r="B344" s="3"/>
      <c r="C344" s="3"/>
      <c r="D344" s="3"/>
      <c r="E344" s="3"/>
      <c r="F344" s="89"/>
      <c r="G344" s="3"/>
      <c r="H344" s="89"/>
      <c r="I344" s="90"/>
      <c r="K344" s="31"/>
    </row>
    <row r="345" spans="2:11" s="13" customFormat="1" x14ac:dyDescent="0.2">
      <c r="B345" s="3"/>
      <c r="C345" s="3"/>
      <c r="D345" s="3"/>
      <c r="E345" s="3"/>
      <c r="F345" s="89"/>
      <c r="G345" s="3"/>
      <c r="H345" s="89"/>
      <c r="I345" s="90"/>
      <c r="K345" s="31"/>
    </row>
    <row r="346" spans="2:11" s="13" customFormat="1" x14ac:dyDescent="0.2">
      <c r="B346" s="3"/>
      <c r="C346" s="3"/>
      <c r="D346" s="3"/>
      <c r="E346" s="3"/>
      <c r="F346" s="89"/>
      <c r="G346" s="3"/>
      <c r="H346" s="89"/>
      <c r="I346" s="90"/>
      <c r="K346" s="31"/>
    </row>
    <row r="347" spans="2:11" s="13" customFormat="1" x14ac:dyDescent="0.2">
      <c r="B347" s="3"/>
      <c r="C347" s="3"/>
      <c r="D347" s="3"/>
      <c r="E347" s="3"/>
      <c r="F347" s="89"/>
      <c r="G347" s="3"/>
      <c r="H347" s="89"/>
      <c r="I347" s="90"/>
      <c r="K347" s="31"/>
    </row>
    <row r="348" spans="2:11" s="13" customFormat="1" x14ac:dyDescent="0.2">
      <c r="B348" s="3"/>
      <c r="C348" s="3"/>
      <c r="D348" s="3"/>
      <c r="E348" s="3"/>
      <c r="F348" s="89"/>
      <c r="G348" s="3"/>
      <c r="H348" s="89"/>
      <c r="I348" s="90"/>
      <c r="K348" s="31"/>
    </row>
    <row r="349" spans="2:11" s="13" customFormat="1" x14ac:dyDescent="0.2">
      <c r="B349" s="3"/>
      <c r="C349" s="3"/>
      <c r="D349" s="3"/>
      <c r="E349" s="3"/>
      <c r="F349" s="89"/>
      <c r="G349" s="3"/>
      <c r="H349" s="89"/>
      <c r="I349" s="90"/>
      <c r="K349" s="31"/>
    </row>
    <row r="350" spans="2:11" s="13" customFormat="1" x14ac:dyDescent="0.2">
      <c r="B350" s="3"/>
      <c r="C350" s="3"/>
      <c r="D350" s="3"/>
      <c r="E350" s="3"/>
      <c r="F350" s="89"/>
      <c r="G350" s="3"/>
      <c r="H350" s="89"/>
      <c r="I350" s="90"/>
      <c r="K350" s="31"/>
    </row>
    <row r="351" spans="2:11" s="13" customFormat="1" x14ac:dyDescent="0.2">
      <c r="B351" s="3"/>
      <c r="C351" s="3"/>
      <c r="D351" s="3"/>
      <c r="E351" s="3"/>
      <c r="F351" s="89"/>
      <c r="G351" s="3"/>
      <c r="H351" s="89"/>
      <c r="I351" s="90"/>
      <c r="K351" s="31"/>
    </row>
    <row r="352" spans="2:11" s="13" customFormat="1" x14ac:dyDescent="0.2">
      <c r="B352" s="3"/>
      <c r="C352" s="3"/>
      <c r="D352" s="3"/>
      <c r="E352" s="3"/>
      <c r="F352" s="89"/>
      <c r="G352" s="3"/>
      <c r="H352" s="89"/>
      <c r="I352" s="90"/>
      <c r="K352" s="31"/>
    </row>
    <row r="353" spans="2:11" s="13" customFormat="1" x14ac:dyDescent="0.2">
      <c r="B353" s="3"/>
      <c r="C353" s="3"/>
      <c r="D353" s="3"/>
      <c r="E353" s="3"/>
      <c r="F353" s="89"/>
      <c r="G353" s="3"/>
      <c r="H353" s="89"/>
      <c r="I353" s="90"/>
      <c r="K353" s="31"/>
    </row>
    <row r="354" spans="2:11" s="13" customFormat="1" x14ac:dyDescent="0.2">
      <c r="B354" s="3"/>
      <c r="C354" s="3"/>
      <c r="D354" s="3"/>
      <c r="E354" s="3"/>
      <c r="F354" s="89"/>
      <c r="G354" s="3"/>
      <c r="H354" s="89"/>
      <c r="I354" s="90"/>
      <c r="K354" s="31"/>
    </row>
    <row r="355" spans="2:11" s="13" customFormat="1" x14ac:dyDescent="0.2">
      <c r="B355" s="3"/>
      <c r="C355" s="3"/>
      <c r="D355" s="3"/>
      <c r="E355" s="3"/>
      <c r="F355" s="89"/>
      <c r="G355" s="3"/>
      <c r="H355" s="89"/>
      <c r="I355" s="90"/>
      <c r="K355" s="31"/>
    </row>
    <row r="356" spans="2:11" s="13" customFormat="1" x14ac:dyDescent="0.2">
      <c r="B356" s="3"/>
      <c r="C356" s="3"/>
      <c r="D356" s="3"/>
      <c r="E356" s="3"/>
      <c r="F356" s="89"/>
      <c r="G356" s="3"/>
      <c r="H356" s="89"/>
      <c r="I356" s="90"/>
      <c r="K356" s="31"/>
    </row>
    <row r="357" spans="2:11" s="13" customFormat="1" x14ac:dyDescent="0.2">
      <c r="B357" s="3"/>
      <c r="C357" s="3"/>
      <c r="D357" s="3"/>
      <c r="E357" s="3"/>
      <c r="F357" s="89"/>
      <c r="G357" s="3"/>
      <c r="H357" s="89"/>
      <c r="I357" s="90"/>
      <c r="K357" s="31"/>
    </row>
    <row r="358" spans="2:11" s="13" customFormat="1" x14ac:dyDescent="0.2">
      <c r="B358" s="3"/>
      <c r="C358" s="3"/>
      <c r="D358" s="3"/>
      <c r="E358" s="3"/>
      <c r="F358" s="89"/>
      <c r="G358" s="3"/>
      <c r="H358" s="89"/>
      <c r="I358" s="90"/>
      <c r="K358" s="31"/>
    </row>
    <row r="359" spans="2:11" s="13" customFormat="1" x14ac:dyDescent="0.2">
      <c r="B359" s="3"/>
      <c r="C359" s="3"/>
      <c r="D359" s="3"/>
      <c r="E359" s="3"/>
      <c r="F359" s="89"/>
      <c r="G359" s="3"/>
      <c r="H359" s="89"/>
      <c r="I359" s="90"/>
      <c r="K359" s="31"/>
    </row>
    <row r="360" spans="2:11" s="13" customFormat="1" x14ac:dyDescent="0.2">
      <c r="B360" s="3"/>
      <c r="C360" s="3"/>
      <c r="D360" s="3"/>
      <c r="E360" s="3"/>
      <c r="F360" s="89"/>
      <c r="G360" s="3"/>
      <c r="H360" s="89"/>
      <c r="I360" s="90"/>
      <c r="K360" s="31"/>
    </row>
    <row r="361" spans="2:11" s="13" customFormat="1" x14ac:dyDescent="0.2">
      <c r="B361" s="3"/>
      <c r="C361" s="3"/>
      <c r="D361" s="3"/>
      <c r="E361" s="3"/>
      <c r="F361" s="89"/>
      <c r="G361" s="3"/>
      <c r="H361" s="89"/>
      <c r="I361" s="90"/>
      <c r="K361" s="31"/>
    </row>
    <row r="362" spans="2:11" s="13" customFormat="1" x14ac:dyDescent="0.2">
      <c r="B362" s="3"/>
      <c r="C362" s="3"/>
      <c r="D362" s="3"/>
      <c r="E362" s="3"/>
      <c r="F362" s="89"/>
      <c r="G362" s="3"/>
      <c r="H362" s="89"/>
      <c r="I362" s="90"/>
      <c r="K362" s="31"/>
    </row>
    <row r="363" spans="2:11" s="13" customFormat="1" x14ac:dyDescent="0.2">
      <c r="B363" s="3"/>
      <c r="C363" s="3"/>
      <c r="D363" s="3"/>
      <c r="E363" s="3"/>
      <c r="F363" s="89"/>
      <c r="G363" s="3"/>
      <c r="H363" s="89"/>
      <c r="I363" s="90"/>
      <c r="K363" s="31"/>
    </row>
    <row r="364" spans="2:11" s="13" customFormat="1" x14ac:dyDescent="0.2">
      <c r="B364" s="3"/>
      <c r="C364" s="3"/>
      <c r="D364" s="3"/>
      <c r="E364" s="3"/>
      <c r="F364" s="89"/>
      <c r="G364" s="3"/>
      <c r="H364" s="89"/>
      <c r="I364" s="90"/>
      <c r="K364" s="31"/>
    </row>
    <row r="365" spans="2:11" s="13" customFormat="1" x14ac:dyDescent="0.2">
      <c r="B365" s="3"/>
      <c r="C365" s="3"/>
      <c r="D365" s="3"/>
      <c r="E365" s="3"/>
      <c r="F365" s="89"/>
      <c r="G365" s="3"/>
      <c r="H365" s="89"/>
      <c r="I365" s="90"/>
      <c r="K365" s="31"/>
    </row>
    <row r="366" spans="2:11" s="13" customFormat="1" x14ac:dyDescent="0.2">
      <c r="B366" s="3"/>
      <c r="C366" s="3"/>
      <c r="D366" s="3"/>
      <c r="E366" s="3"/>
      <c r="F366" s="89"/>
      <c r="G366" s="3"/>
      <c r="H366" s="89"/>
      <c r="I366" s="90"/>
      <c r="K366" s="31"/>
    </row>
    <row r="367" spans="2:11" s="13" customFormat="1" x14ac:dyDescent="0.2">
      <c r="B367" s="3"/>
      <c r="C367" s="3"/>
      <c r="D367" s="3"/>
      <c r="E367" s="3"/>
      <c r="F367" s="89"/>
      <c r="G367" s="3"/>
      <c r="H367" s="89"/>
      <c r="I367" s="90"/>
      <c r="K367" s="31"/>
    </row>
    <row r="368" spans="2:11" s="13" customFormat="1" x14ac:dyDescent="0.2">
      <c r="B368" s="3"/>
      <c r="C368" s="3"/>
      <c r="D368" s="3"/>
      <c r="E368" s="3"/>
      <c r="F368" s="89"/>
      <c r="G368" s="3"/>
      <c r="H368" s="89"/>
      <c r="I368" s="90"/>
      <c r="K368" s="31"/>
    </row>
    <row r="369" spans="2:11" s="13" customFormat="1" x14ac:dyDescent="0.2">
      <c r="B369" s="3"/>
      <c r="C369" s="3"/>
      <c r="D369" s="3"/>
      <c r="E369" s="3"/>
      <c r="F369" s="89"/>
      <c r="G369" s="3"/>
      <c r="H369" s="89"/>
      <c r="I369" s="90"/>
      <c r="K369" s="31"/>
    </row>
    <row r="370" spans="2:11" s="13" customFormat="1" x14ac:dyDescent="0.2">
      <c r="B370" s="3"/>
      <c r="C370" s="3"/>
      <c r="D370" s="3"/>
      <c r="E370" s="3"/>
      <c r="F370" s="89"/>
      <c r="G370" s="3"/>
      <c r="H370" s="89"/>
      <c r="I370" s="90"/>
      <c r="K370" s="31"/>
    </row>
    <row r="371" spans="2:11" s="13" customFormat="1" x14ac:dyDescent="0.2">
      <c r="B371" s="3"/>
      <c r="C371" s="3"/>
      <c r="D371" s="3"/>
      <c r="E371" s="3"/>
      <c r="F371" s="89"/>
      <c r="G371" s="3"/>
      <c r="H371" s="89"/>
      <c r="I371" s="90"/>
      <c r="K371" s="31"/>
    </row>
    <row r="372" spans="2:11" s="13" customFormat="1" x14ac:dyDescent="0.2">
      <c r="B372" s="3"/>
      <c r="C372" s="3"/>
      <c r="D372" s="3"/>
      <c r="E372" s="3"/>
      <c r="F372" s="89"/>
      <c r="G372" s="3"/>
      <c r="H372" s="89"/>
      <c r="I372" s="90"/>
      <c r="K372" s="31"/>
    </row>
    <row r="373" spans="2:11" s="13" customFormat="1" x14ac:dyDescent="0.2">
      <c r="B373" s="3"/>
      <c r="C373" s="3"/>
      <c r="D373" s="3"/>
      <c r="E373" s="3"/>
      <c r="F373" s="89"/>
      <c r="G373" s="3"/>
      <c r="H373" s="89"/>
      <c r="I373" s="90"/>
      <c r="K373" s="31"/>
    </row>
    <row r="374" spans="2:11" s="13" customFormat="1" x14ac:dyDescent="0.2">
      <c r="B374" s="3"/>
      <c r="C374" s="3"/>
      <c r="D374" s="3"/>
      <c r="E374" s="3"/>
      <c r="F374" s="89"/>
      <c r="G374" s="3"/>
      <c r="H374" s="89"/>
      <c r="I374" s="90"/>
      <c r="K374" s="31"/>
    </row>
    <row r="375" spans="2:11" s="13" customFormat="1" x14ac:dyDescent="0.2">
      <c r="B375" s="3"/>
      <c r="C375" s="3"/>
      <c r="D375" s="3"/>
      <c r="E375" s="3"/>
      <c r="F375" s="89"/>
      <c r="G375" s="3"/>
      <c r="H375" s="89"/>
      <c r="I375" s="90"/>
      <c r="K375" s="31"/>
    </row>
    <row r="376" spans="2:11" s="13" customFormat="1" x14ac:dyDescent="0.2">
      <c r="B376" s="3"/>
      <c r="C376" s="3"/>
      <c r="D376" s="3"/>
      <c r="E376" s="3"/>
      <c r="F376" s="89"/>
      <c r="G376" s="3"/>
      <c r="H376" s="89"/>
      <c r="I376" s="90"/>
      <c r="K376" s="31"/>
    </row>
    <row r="377" spans="2:11" s="13" customFormat="1" x14ac:dyDescent="0.2">
      <c r="B377" s="3"/>
      <c r="C377" s="3"/>
      <c r="D377" s="3"/>
      <c r="E377" s="3"/>
      <c r="F377" s="89"/>
      <c r="G377" s="3"/>
      <c r="H377" s="89"/>
      <c r="I377" s="90"/>
      <c r="K377" s="31"/>
    </row>
    <row r="378" spans="2:11" s="13" customFormat="1" x14ac:dyDescent="0.2">
      <c r="B378" s="3"/>
      <c r="C378" s="3"/>
      <c r="D378" s="3"/>
      <c r="E378" s="3"/>
      <c r="F378" s="89"/>
      <c r="G378" s="3"/>
      <c r="H378" s="89"/>
      <c r="I378" s="90"/>
      <c r="K378" s="31"/>
    </row>
    <row r="379" spans="2:11" s="13" customFormat="1" x14ac:dyDescent="0.2">
      <c r="B379" s="3"/>
      <c r="C379" s="3"/>
      <c r="D379" s="3"/>
      <c r="E379" s="3"/>
      <c r="F379" s="89"/>
      <c r="G379" s="3"/>
      <c r="H379" s="89"/>
      <c r="I379" s="90"/>
      <c r="K379" s="31"/>
    </row>
    <row r="380" spans="2:11" s="13" customFormat="1" x14ac:dyDescent="0.2">
      <c r="B380" s="3"/>
      <c r="C380" s="3"/>
      <c r="D380" s="3"/>
      <c r="E380" s="3"/>
      <c r="F380" s="89"/>
      <c r="G380" s="3"/>
      <c r="H380" s="89"/>
      <c r="I380" s="90"/>
      <c r="K380" s="31"/>
    </row>
    <row r="381" spans="2:11" s="13" customFormat="1" x14ac:dyDescent="0.2">
      <c r="B381" s="3"/>
      <c r="C381" s="3"/>
      <c r="D381" s="3"/>
      <c r="E381" s="3"/>
      <c r="F381" s="89"/>
      <c r="G381" s="3"/>
      <c r="H381" s="89"/>
      <c r="I381" s="90"/>
      <c r="K381" s="31"/>
    </row>
    <row r="382" spans="2:11" s="13" customFormat="1" x14ac:dyDescent="0.2">
      <c r="B382" s="3"/>
      <c r="C382" s="3"/>
      <c r="D382" s="3"/>
      <c r="E382" s="3"/>
      <c r="F382" s="89"/>
      <c r="G382" s="3"/>
      <c r="H382" s="89"/>
      <c r="I382" s="90"/>
      <c r="K382" s="31"/>
    </row>
    <row r="383" spans="2:11" s="13" customFormat="1" x14ac:dyDescent="0.2">
      <c r="B383" s="3"/>
      <c r="C383" s="3"/>
      <c r="D383" s="3"/>
      <c r="E383" s="3"/>
      <c r="F383" s="89"/>
      <c r="G383" s="3"/>
      <c r="H383" s="89"/>
      <c r="I383" s="90"/>
      <c r="K383" s="31"/>
    </row>
    <row r="384" spans="2:11" s="13" customFormat="1" x14ac:dyDescent="0.2">
      <c r="B384" s="3"/>
      <c r="C384" s="3"/>
      <c r="D384" s="3"/>
      <c r="E384" s="3"/>
      <c r="F384" s="89"/>
      <c r="G384" s="3"/>
      <c r="H384" s="89"/>
      <c r="I384" s="90"/>
      <c r="K384" s="31"/>
    </row>
    <row r="385" spans="2:11" s="13" customFormat="1" x14ac:dyDescent="0.2">
      <c r="B385" s="3"/>
      <c r="C385" s="3"/>
      <c r="D385" s="3"/>
      <c r="E385" s="3"/>
      <c r="F385" s="89"/>
      <c r="G385" s="3"/>
      <c r="H385" s="89"/>
      <c r="I385" s="90"/>
      <c r="K385" s="31"/>
    </row>
    <row r="386" spans="2:11" s="13" customFormat="1" x14ac:dyDescent="0.2">
      <c r="B386" s="3"/>
      <c r="C386" s="3"/>
      <c r="D386" s="3"/>
      <c r="E386" s="3"/>
      <c r="F386" s="89"/>
      <c r="G386" s="3"/>
      <c r="H386" s="89"/>
      <c r="I386" s="90"/>
      <c r="K386" s="31"/>
    </row>
    <row r="387" spans="2:11" s="13" customFormat="1" x14ac:dyDescent="0.2">
      <c r="B387" s="3"/>
      <c r="C387" s="3"/>
      <c r="D387" s="3"/>
      <c r="E387" s="3"/>
      <c r="F387" s="89"/>
      <c r="G387" s="3"/>
      <c r="H387" s="89"/>
      <c r="I387" s="90"/>
      <c r="K387" s="31"/>
    </row>
    <row r="388" spans="2:11" s="13" customFormat="1" x14ac:dyDescent="0.2">
      <c r="B388" s="3"/>
      <c r="C388" s="3"/>
      <c r="D388" s="3"/>
      <c r="E388" s="3"/>
      <c r="F388" s="89"/>
      <c r="G388" s="3"/>
      <c r="H388" s="89"/>
      <c r="I388" s="90"/>
      <c r="K388" s="31"/>
    </row>
    <row r="389" spans="2:11" s="13" customFormat="1" x14ac:dyDescent="0.2">
      <c r="B389" s="3"/>
      <c r="C389" s="3"/>
      <c r="D389" s="3"/>
      <c r="E389" s="3"/>
      <c r="F389" s="89"/>
      <c r="G389" s="3"/>
      <c r="H389" s="89"/>
      <c r="I389" s="90"/>
      <c r="K389" s="31"/>
    </row>
    <row r="390" spans="2:11" s="13" customFormat="1" x14ac:dyDescent="0.2">
      <c r="B390" s="3"/>
      <c r="C390" s="3"/>
      <c r="D390" s="3"/>
      <c r="E390" s="3"/>
      <c r="F390" s="89"/>
      <c r="G390" s="3"/>
      <c r="H390" s="89"/>
      <c r="I390" s="90"/>
      <c r="K390" s="31"/>
    </row>
    <row r="391" spans="2:11" s="13" customFormat="1" x14ac:dyDescent="0.2">
      <c r="B391" s="3"/>
      <c r="C391" s="3"/>
      <c r="D391" s="3"/>
      <c r="E391" s="3"/>
      <c r="F391" s="89"/>
      <c r="G391" s="3"/>
      <c r="H391" s="89"/>
      <c r="I391" s="90"/>
      <c r="K391" s="31"/>
    </row>
    <row r="392" spans="2:11" s="13" customFormat="1" x14ac:dyDescent="0.2">
      <c r="B392" s="3"/>
      <c r="C392" s="3"/>
      <c r="D392" s="3"/>
      <c r="E392" s="3"/>
      <c r="F392" s="89"/>
      <c r="G392" s="3"/>
      <c r="H392" s="89"/>
      <c r="I392" s="90"/>
      <c r="K392" s="31"/>
    </row>
    <row r="393" spans="2:11" s="13" customFormat="1" x14ac:dyDescent="0.2">
      <c r="B393" s="3"/>
      <c r="C393" s="3"/>
      <c r="D393" s="3"/>
      <c r="E393" s="3"/>
      <c r="F393" s="89"/>
      <c r="G393" s="3"/>
      <c r="H393" s="89"/>
      <c r="I393" s="90"/>
      <c r="K393" s="31"/>
    </row>
    <row r="394" spans="2:11" s="13" customFormat="1" x14ac:dyDescent="0.2">
      <c r="B394" s="3"/>
      <c r="C394" s="3"/>
      <c r="D394" s="3"/>
      <c r="E394" s="3"/>
      <c r="F394" s="89"/>
      <c r="G394" s="3"/>
      <c r="H394" s="89"/>
      <c r="I394" s="90"/>
      <c r="K394" s="31"/>
    </row>
    <row r="395" spans="2:11" s="13" customFormat="1" x14ac:dyDescent="0.2">
      <c r="B395" s="3"/>
      <c r="C395" s="3"/>
      <c r="D395" s="3"/>
      <c r="E395" s="3"/>
      <c r="F395" s="89"/>
      <c r="G395" s="3"/>
      <c r="H395" s="89"/>
      <c r="I395" s="90"/>
      <c r="K395" s="31"/>
    </row>
    <row r="396" spans="2:11" s="13" customFormat="1" x14ac:dyDescent="0.2">
      <c r="B396" s="3"/>
      <c r="C396" s="3"/>
      <c r="D396" s="3"/>
      <c r="E396" s="3"/>
      <c r="F396" s="89"/>
      <c r="G396" s="3"/>
      <c r="H396" s="89"/>
      <c r="I396" s="90"/>
      <c r="K396" s="31"/>
    </row>
    <row r="397" spans="2:11" s="13" customFormat="1" x14ac:dyDescent="0.2">
      <c r="B397" s="3"/>
      <c r="C397" s="3"/>
      <c r="D397" s="3"/>
      <c r="E397" s="3"/>
      <c r="F397" s="89"/>
      <c r="G397" s="3"/>
      <c r="H397" s="89"/>
      <c r="I397" s="90"/>
      <c r="K397" s="31"/>
    </row>
    <row r="398" spans="2:11" s="13" customFormat="1" x14ac:dyDescent="0.2">
      <c r="B398" s="3"/>
      <c r="C398" s="3"/>
      <c r="D398" s="3"/>
      <c r="E398" s="3"/>
      <c r="F398" s="89"/>
      <c r="G398" s="3"/>
      <c r="H398" s="89"/>
      <c r="I398" s="90"/>
      <c r="K398" s="31"/>
    </row>
    <row r="399" spans="2:11" s="13" customFormat="1" x14ac:dyDescent="0.2">
      <c r="B399" s="3"/>
      <c r="C399" s="3"/>
      <c r="D399" s="3"/>
      <c r="E399" s="3"/>
      <c r="F399" s="89"/>
      <c r="G399" s="3"/>
      <c r="H399" s="89"/>
      <c r="I399" s="90"/>
      <c r="K399" s="31"/>
    </row>
    <row r="400" spans="2:11" s="13" customFormat="1" x14ac:dyDescent="0.2">
      <c r="B400" s="3"/>
      <c r="C400" s="3"/>
      <c r="D400" s="3"/>
      <c r="E400" s="3"/>
      <c r="F400" s="89"/>
      <c r="G400" s="3"/>
      <c r="H400" s="89"/>
      <c r="I400" s="90"/>
      <c r="K400" s="31"/>
    </row>
    <row r="401" spans="2:11" s="13" customFormat="1" x14ac:dyDescent="0.2">
      <c r="B401" s="3"/>
      <c r="C401" s="3"/>
      <c r="D401" s="3"/>
      <c r="E401" s="3"/>
      <c r="F401" s="89"/>
      <c r="G401" s="3"/>
      <c r="H401" s="89"/>
      <c r="I401" s="90"/>
      <c r="K401" s="31"/>
    </row>
    <row r="402" spans="2:11" s="13" customFormat="1" x14ac:dyDescent="0.2">
      <c r="B402" s="3"/>
      <c r="C402" s="3"/>
      <c r="D402" s="3"/>
      <c r="E402" s="3"/>
      <c r="F402" s="89"/>
      <c r="G402" s="3"/>
      <c r="H402" s="89"/>
      <c r="I402" s="90"/>
      <c r="K402" s="31"/>
    </row>
    <row r="403" spans="2:11" s="13" customFormat="1" x14ac:dyDescent="0.2">
      <c r="B403" s="3"/>
      <c r="C403" s="3"/>
      <c r="D403" s="3"/>
      <c r="E403" s="3"/>
      <c r="F403" s="89"/>
      <c r="G403" s="3"/>
      <c r="H403" s="89"/>
      <c r="I403" s="90"/>
      <c r="K403" s="31"/>
    </row>
    <row r="404" spans="2:11" s="13" customFormat="1" x14ac:dyDescent="0.2">
      <c r="B404" s="3"/>
      <c r="C404" s="3"/>
      <c r="D404" s="3"/>
      <c r="E404" s="3"/>
      <c r="F404" s="89"/>
      <c r="G404" s="3"/>
      <c r="H404" s="89"/>
      <c r="I404" s="90"/>
      <c r="K404" s="31"/>
    </row>
    <row r="405" spans="2:11" s="13" customFormat="1" x14ac:dyDescent="0.2">
      <c r="B405" s="3"/>
      <c r="C405" s="3"/>
      <c r="D405" s="3"/>
      <c r="E405" s="3"/>
      <c r="F405" s="89"/>
      <c r="G405" s="3"/>
      <c r="H405" s="89"/>
      <c r="I405" s="90"/>
      <c r="K405" s="31"/>
    </row>
    <row r="406" spans="2:11" s="13" customFormat="1" x14ac:dyDescent="0.2">
      <c r="B406" s="3"/>
      <c r="C406" s="3"/>
      <c r="D406" s="3"/>
      <c r="E406" s="3"/>
      <c r="F406" s="89"/>
      <c r="G406" s="3"/>
      <c r="H406" s="89"/>
      <c r="I406" s="90"/>
      <c r="K406" s="31"/>
    </row>
    <row r="407" spans="2:11" s="13" customFormat="1" x14ac:dyDescent="0.2">
      <c r="B407" s="3"/>
      <c r="C407" s="3"/>
      <c r="D407" s="3"/>
      <c r="E407" s="3"/>
      <c r="F407" s="89"/>
      <c r="G407" s="3"/>
      <c r="H407" s="89"/>
      <c r="I407" s="90"/>
      <c r="K407" s="31"/>
    </row>
    <row r="408" spans="2:11" s="13" customFormat="1" x14ac:dyDescent="0.2">
      <c r="B408" s="3"/>
      <c r="C408" s="3"/>
      <c r="D408" s="3"/>
      <c r="E408" s="3"/>
      <c r="F408" s="89"/>
      <c r="G408" s="3"/>
      <c r="H408" s="89"/>
      <c r="I408" s="90"/>
      <c r="K408" s="31"/>
    </row>
    <row r="409" spans="2:11" s="13" customFormat="1" x14ac:dyDescent="0.2">
      <c r="B409" s="3"/>
      <c r="C409" s="3"/>
      <c r="D409" s="3"/>
      <c r="E409" s="3"/>
      <c r="F409" s="89"/>
      <c r="G409" s="3"/>
      <c r="H409" s="89"/>
      <c r="I409" s="90"/>
      <c r="K409" s="31"/>
    </row>
    <row r="410" spans="2:11" s="13" customFormat="1" x14ac:dyDescent="0.2">
      <c r="B410" s="3"/>
      <c r="C410" s="3"/>
      <c r="D410" s="3"/>
      <c r="E410" s="3"/>
      <c r="F410" s="89"/>
      <c r="G410" s="3"/>
      <c r="H410" s="89"/>
      <c r="I410" s="90"/>
      <c r="K410" s="31"/>
    </row>
    <row r="411" spans="2:11" s="13" customFormat="1" x14ac:dyDescent="0.2">
      <c r="B411" s="3"/>
      <c r="C411" s="3"/>
      <c r="D411" s="3"/>
      <c r="E411" s="3"/>
      <c r="F411" s="89"/>
      <c r="G411" s="3"/>
      <c r="H411" s="89"/>
      <c r="I411" s="90"/>
      <c r="K411" s="31"/>
    </row>
    <row r="412" spans="2:11" s="13" customFormat="1" x14ac:dyDescent="0.2">
      <c r="B412" s="3"/>
      <c r="C412" s="3"/>
      <c r="D412" s="3"/>
      <c r="E412" s="3"/>
      <c r="F412" s="89"/>
      <c r="G412" s="3"/>
      <c r="H412" s="89"/>
      <c r="I412" s="90"/>
      <c r="K412" s="31"/>
    </row>
    <row r="413" spans="2:11" s="13" customFormat="1" x14ac:dyDescent="0.2">
      <c r="B413" s="3"/>
      <c r="C413" s="3"/>
      <c r="D413" s="3"/>
      <c r="E413" s="3"/>
      <c r="F413" s="89"/>
      <c r="G413" s="3"/>
      <c r="H413" s="89"/>
      <c r="I413" s="90"/>
      <c r="K413" s="31"/>
    </row>
    <row r="414" spans="2:11" s="13" customFormat="1" x14ac:dyDescent="0.2">
      <c r="B414" s="3"/>
      <c r="C414" s="3"/>
      <c r="D414" s="3"/>
      <c r="E414" s="3"/>
      <c r="F414" s="89"/>
      <c r="G414" s="3"/>
      <c r="H414" s="89"/>
      <c r="I414" s="90"/>
      <c r="K414" s="31"/>
    </row>
    <row r="415" spans="2:11" s="13" customFormat="1" x14ac:dyDescent="0.2">
      <c r="B415" s="3"/>
      <c r="C415" s="3"/>
      <c r="D415" s="3"/>
      <c r="E415" s="3"/>
      <c r="F415" s="89"/>
      <c r="G415" s="3"/>
      <c r="H415" s="89"/>
      <c r="I415" s="90"/>
      <c r="K415" s="31"/>
    </row>
    <row r="416" spans="2:11" s="13" customFormat="1" x14ac:dyDescent="0.2">
      <c r="B416" s="3"/>
      <c r="C416" s="3"/>
      <c r="D416" s="3"/>
      <c r="E416" s="3"/>
      <c r="F416" s="89"/>
      <c r="G416" s="3"/>
      <c r="H416" s="89"/>
      <c r="I416" s="90"/>
      <c r="K416" s="31"/>
    </row>
    <row r="417" spans="2:11" s="13" customFormat="1" x14ac:dyDescent="0.2">
      <c r="B417" s="3"/>
      <c r="C417" s="3"/>
      <c r="D417" s="3"/>
      <c r="E417" s="3"/>
      <c r="F417" s="89"/>
      <c r="G417" s="3"/>
      <c r="H417" s="89"/>
      <c r="I417" s="90"/>
      <c r="K417" s="31"/>
    </row>
    <row r="418" spans="2:11" s="13" customFormat="1" x14ac:dyDescent="0.2">
      <c r="B418" s="3"/>
      <c r="C418" s="3"/>
      <c r="D418" s="3"/>
      <c r="E418" s="3"/>
      <c r="F418" s="89"/>
      <c r="G418" s="3"/>
      <c r="H418" s="89"/>
      <c r="I418" s="90"/>
      <c r="K418" s="31"/>
    </row>
    <row r="419" spans="2:11" s="13" customFormat="1" x14ac:dyDescent="0.2">
      <c r="B419" s="3"/>
      <c r="C419" s="3"/>
      <c r="D419" s="3"/>
      <c r="E419" s="3"/>
      <c r="F419" s="89"/>
      <c r="G419" s="3"/>
      <c r="H419" s="89"/>
      <c r="I419" s="90"/>
      <c r="K419" s="31"/>
    </row>
    <row r="420" spans="2:11" s="13" customFormat="1" x14ac:dyDescent="0.2">
      <c r="B420" s="3"/>
      <c r="C420" s="3"/>
      <c r="D420" s="3"/>
      <c r="E420" s="3"/>
      <c r="F420" s="89"/>
      <c r="G420" s="3"/>
      <c r="H420" s="89"/>
      <c r="I420" s="90"/>
      <c r="K420" s="31"/>
    </row>
    <row r="421" spans="2:11" s="13" customFormat="1" x14ac:dyDescent="0.2">
      <c r="B421" s="3"/>
      <c r="C421" s="3"/>
      <c r="D421" s="3"/>
      <c r="E421" s="3"/>
      <c r="F421" s="89"/>
      <c r="G421" s="3"/>
      <c r="H421" s="89"/>
      <c r="I421" s="90"/>
      <c r="K421" s="31"/>
    </row>
    <row r="422" spans="2:11" s="13" customFormat="1" x14ac:dyDescent="0.2">
      <c r="B422" s="3"/>
      <c r="C422" s="3"/>
      <c r="D422" s="3"/>
      <c r="E422" s="3"/>
      <c r="F422" s="89"/>
      <c r="G422" s="3"/>
      <c r="H422" s="89"/>
      <c r="I422" s="90"/>
      <c r="K422" s="31"/>
    </row>
    <row r="423" spans="2:11" s="13" customFormat="1" x14ac:dyDescent="0.2">
      <c r="B423" s="3"/>
      <c r="C423" s="3"/>
      <c r="D423" s="3"/>
      <c r="E423" s="3"/>
      <c r="F423" s="89"/>
      <c r="G423" s="3"/>
      <c r="H423" s="89"/>
      <c r="I423" s="90"/>
      <c r="K423" s="31"/>
    </row>
    <row r="424" spans="2:11" s="13" customFormat="1" x14ac:dyDescent="0.2">
      <c r="B424" s="3"/>
      <c r="C424" s="3"/>
      <c r="D424" s="3"/>
      <c r="E424" s="3"/>
      <c r="F424" s="89"/>
      <c r="G424" s="3"/>
      <c r="H424" s="89"/>
      <c r="I424" s="90"/>
      <c r="K424" s="31"/>
    </row>
    <row r="425" spans="2:11" s="13" customFormat="1" x14ac:dyDescent="0.2">
      <c r="B425" s="3"/>
      <c r="C425" s="3"/>
      <c r="D425" s="3"/>
      <c r="E425" s="3"/>
      <c r="F425" s="89"/>
      <c r="G425" s="3"/>
      <c r="H425" s="89"/>
      <c r="I425" s="90"/>
      <c r="K425" s="31"/>
    </row>
    <row r="426" spans="2:11" s="13" customFormat="1" x14ac:dyDescent="0.2">
      <c r="B426" s="3"/>
      <c r="C426" s="3"/>
      <c r="D426" s="3"/>
      <c r="E426" s="3"/>
      <c r="F426" s="89"/>
      <c r="G426" s="3"/>
      <c r="H426" s="89"/>
      <c r="I426" s="90"/>
      <c r="K426" s="31"/>
    </row>
    <row r="427" spans="2:11" s="13" customFormat="1" x14ac:dyDescent="0.2">
      <c r="B427" s="3"/>
      <c r="C427" s="3"/>
      <c r="D427" s="3"/>
      <c r="E427" s="3"/>
      <c r="F427" s="89"/>
      <c r="G427" s="3"/>
      <c r="H427" s="89"/>
      <c r="I427" s="90"/>
      <c r="K427" s="31"/>
    </row>
    <row r="428" spans="2:11" s="13" customFormat="1" x14ac:dyDescent="0.2">
      <c r="B428" s="3"/>
      <c r="C428" s="3"/>
      <c r="D428" s="3"/>
      <c r="E428" s="3"/>
      <c r="F428" s="89"/>
      <c r="G428" s="3"/>
      <c r="H428" s="89"/>
      <c r="I428" s="90"/>
      <c r="K428" s="31"/>
    </row>
    <row r="429" spans="2:11" s="13" customFormat="1" x14ac:dyDescent="0.2">
      <c r="B429" s="3"/>
      <c r="C429" s="3"/>
      <c r="D429" s="3"/>
      <c r="E429" s="3"/>
      <c r="F429" s="89"/>
      <c r="G429" s="3"/>
      <c r="H429" s="89"/>
      <c r="I429" s="90"/>
      <c r="K429" s="31"/>
    </row>
    <row r="430" spans="2:11" s="13" customFormat="1" x14ac:dyDescent="0.2">
      <c r="B430" s="3"/>
      <c r="C430" s="3"/>
      <c r="D430" s="3"/>
      <c r="E430" s="3"/>
      <c r="F430" s="89"/>
      <c r="G430" s="3"/>
      <c r="H430" s="89"/>
      <c r="I430" s="90"/>
      <c r="K430" s="31"/>
    </row>
    <row r="431" spans="2:11" s="13" customFormat="1" x14ac:dyDescent="0.2">
      <c r="B431" s="3"/>
      <c r="C431" s="3"/>
      <c r="D431" s="3"/>
      <c r="E431" s="3"/>
      <c r="F431" s="89"/>
      <c r="G431" s="3"/>
      <c r="H431" s="89"/>
      <c r="I431" s="90"/>
      <c r="K431" s="31"/>
    </row>
    <row r="432" spans="2:11" s="13" customFormat="1" x14ac:dyDescent="0.2">
      <c r="B432" s="3"/>
      <c r="C432" s="3"/>
      <c r="D432" s="3"/>
      <c r="E432" s="3"/>
      <c r="F432" s="89"/>
      <c r="G432" s="3"/>
      <c r="H432" s="89"/>
      <c r="I432" s="90"/>
      <c r="K432" s="31"/>
    </row>
    <row r="433" spans="2:11" s="13" customFormat="1" x14ac:dyDescent="0.2">
      <c r="B433" s="3"/>
      <c r="C433" s="3"/>
      <c r="D433" s="3"/>
      <c r="E433" s="3"/>
      <c r="F433" s="89"/>
      <c r="G433" s="3"/>
      <c r="H433" s="89"/>
      <c r="I433" s="90"/>
      <c r="K433" s="31"/>
    </row>
    <row r="434" spans="2:11" s="13" customFormat="1" x14ac:dyDescent="0.2">
      <c r="B434" s="3"/>
      <c r="C434" s="3"/>
      <c r="D434" s="3"/>
      <c r="E434" s="3"/>
      <c r="F434" s="89"/>
      <c r="G434" s="3"/>
      <c r="H434" s="89"/>
      <c r="I434" s="90"/>
      <c r="K434" s="31"/>
    </row>
    <row r="435" spans="2:11" s="13" customFormat="1" x14ac:dyDescent="0.2">
      <c r="B435" s="3"/>
      <c r="C435" s="3"/>
      <c r="D435" s="3"/>
      <c r="E435" s="3"/>
      <c r="F435" s="89"/>
      <c r="G435" s="3"/>
      <c r="H435" s="89"/>
      <c r="I435" s="90"/>
      <c r="K435" s="31"/>
    </row>
    <row r="436" spans="2:11" s="13" customFormat="1" x14ac:dyDescent="0.2">
      <c r="B436" s="3"/>
      <c r="C436" s="3"/>
      <c r="D436" s="3"/>
      <c r="E436" s="3"/>
      <c r="F436" s="89"/>
      <c r="G436" s="3"/>
      <c r="H436" s="89"/>
      <c r="I436" s="90"/>
      <c r="K436" s="31"/>
    </row>
    <row r="437" spans="2:11" s="13" customFormat="1" x14ac:dyDescent="0.2">
      <c r="B437" s="3"/>
      <c r="C437" s="3"/>
      <c r="D437" s="3"/>
      <c r="E437" s="3"/>
      <c r="F437" s="89"/>
      <c r="G437" s="3"/>
      <c r="H437" s="89"/>
      <c r="I437" s="90"/>
      <c r="K437" s="31"/>
    </row>
    <row r="438" spans="2:11" s="13" customFormat="1" x14ac:dyDescent="0.2">
      <c r="B438" s="3"/>
      <c r="C438" s="3"/>
      <c r="D438" s="3"/>
      <c r="E438" s="3"/>
      <c r="F438" s="89"/>
      <c r="G438" s="3"/>
      <c r="H438" s="89"/>
      <c r="I438" s="90"/>
      <c r="K438" s="31"/>
    </row>
    <row r="439" spans="2:11" s="13" customFormat="1" x14ac:dyDescent="0.2">
      <c r="B439" s="3"/>
      <c r="C439" s="3"/>
      <c r="D439" s="3"/>
      <c r="E439" s="3"/>
      <c r="F439" s="89"/>
      <c r="G439" s="3"/>
      <c r="H439" s="89"/>
      <c r="I439" s="90"/>
      <c r="K439" s="31"/>
    </row>
    <row r="440" spans="2:11" s="13" customFormat="1" x14ac:dyDescent="0.2">
      <c r="B440" s="3"/>
      <c r="C440" s="3"/>
      <c r="D440" s="3"/>
      <c r="E440" s="3"/>
      <c r="F440" s="89"/>
      <c r="G440" s="3"/>
      <c r="H440" s="89"/>
      <c r="I440" s="90"/>
      <c r="K440" s="31"/>
    </row>
    <row r="441" spans="2:11" s="13" customFormat="1" x14ac:dyDescent="0.2">
      <c r="B441" s="3"/>
      <c r="C441" s="3"/>
      <c r="D441" s="3"/>
      <c r="E441" s="3"/>
      <c r="F441" s="89"/>
      <c r="G441" s="3"/>
      <c r="H441" s="89"/>
      <c r="I441" s="90"/>
      <c r="K441" s="31"/>
    </row>
    <row r="442" spans="2:11" s="13" customFormat="1" x14ac:dyDescent="0.2">
      <c r="B442" s="3"/>
      <c r="C442" s="3"/>
      <c r="D442" s="3"/>
      <c r="E442" s="3"/>
      <c r="F442" s="89"/>
      <c r="G442" s="3"/>
      <c r="H442" s="89"/>
      <c r="I442" s="90"/>
      <c r="K442" s="31"/>
    </row>
    <row r="443" spans="2:11" s="13" customFormat="1" x14ac:dyDescent="0.2">
      <c r="B443" s="3"/>
      <c r="C443" s="3"/>
      <c r="D443" s="3"/>
      <c r="E443" s="3"/>
      <c r="F443" s="89"/>
      <c r="G443" s="3"/>
      <c r="H443" s="89"/>
      <c r="I443" s="90"/>
      <c r="K443" s="31"/>
    </row>
    <row r="444" spans="2:11" s="13" customFormat="1" x14ac:dyDescent="0.2">
      <c r="B444" s="3"/>
      <c r="C444" s="3"/>
      <c r="D444" s="3"/>
      <c r="E444" s="3"/>
      <c r="F444" s="89"/>
      <c r="G444" s="3"/>
      <c r="H444" s="89"/>
      <c r="I444" s="90"/>
      <c r="K444" s="31"/>
    </row>
    <row r="445" spans="2:11" s="13" customFormat="1" x14ac:dyDescent="0.2">
      <c r="B445" s="3"/>
      <c r="C445" s="3"/>
      <c r="D445" s="3"/>
      <c r="E445" s="3"/>
      <c r="F445" s="89"/>
      <c r="G445" s="3"/>
      <c r="H445" s="89"/>
      <c r="I445" s="90"/>
      <c r="K445" s="31"/>
    </row>
    <row r="446" spans="2:11" s="13" customFormat="1" x14ac:dyDescent="0.2">
      <c r="B446" s="3"/>
      <c r="C446" s="3"/>
      <c r="D446" s="3"/>
      <c r="E446" s="3"/>
      <c r="F446" s="89"/>
      <c r="G446" s="3"/>
      <c r="H446" s="89"/>
      <c r="I446" s="90"/>
      <c r="K446" s="31"/>
    </row>
    <row r="447" spans="2:11" s="13" customFormat="1" x14ac:dyDescent="0.2">
      <c r="B447" s="3"/>
      <c r="C447" s="3"/>
      <c r="D447" s="3"/>
      <c r="E447" s="3"/>
      <c r="F447" s="89"/>
      <c r="G447" s="3"/>
      <c r="H447" s="89"/>
      <c r="I447" s="90"/>
      <c r="K447" s="31"/>
    </row>
    <row r="448" spans="2:11" s="13" customFormat="1" x14ac:dyDescent="0.2">
      <c r="B448" s="3"/>
      <c r="C448" s="3"/>
      <c r="D448" s="3"/>
      <c r="E448" s="3"/>
      <c r="F448" s="89"/>
      <c r="G448" s="3"/>
      <c r="H448" s="89"/>
      <c r="I448" s="90"/>
      <c r="K448" s="31"/>
    </row>
    <row r="449" spans="2:11" s="13" customFormat="1" x14ac:dyDescent="0.2">
      <c r="B449" s="3"/>
      <c r="C449" s="3"/>
      <c r="D449" s="3"/>
      <c r="E449" s="3"/>
      <c r="F449" s="89"/>
      <c r="G449" s="3"/>
      <c r="H449" s="89"/>
      <c r="I449" s="90"/>
      <c r="K449" s="31"/>
    </row>
    <row r="450" spans="2:11" s="13" customFormat="1" x14ac:dyDescent="0.2">
      <c r="B450" s="3"/>
      <c r="C450" s="3"/>
      <c r="D450" s="3"/>
      <c r="E450" s="3"/>
      <c r="F450" s="89"/>
      <c r="G450" s="3"/>
      <c r="H450" s="89"/>
      <c r="I450" s="90"/>
      <c r="K450" s="31"/>
    </row>
    <row r="451" spans="2:11" s="13" customFormat="1" x14ac:dyDescent="0.2">
      <c r="B451" s="3"/>
      <c r="C451" s="3"/>
      <c r="D451" s="3"/>
      <c r="E451" s="3"/>
      <c r="F451" s="89"/>
      <c r="G451" s="3"/>
      <c r="H451" s="89"/>
      <c r="I451" s="90"/>
      <c r="K451" s="31"/>
    </row>
    <row r="452" spans="2:11" s="13" customFormat="1" x14ac:dyDescent="0.2">
      <c r="B452" s="3"/>
      <c r="C452" s="3"/>
      <c r="D452" s="3"/>
      <c r="E452" s="3"/>
      <c r="F452" s="89"/>
      <c r="G452" s="3"/>
      <c r="H452" s="89"/>
      <c r="I452" s="90"/>
      <c r="K452" s="31"/>
    </row>
    <row r="453" spans="2:11" s="13" customFormat="1" x14ac:dyDescent="0.2">
      <c r="B453" s="3"/>
      <c r="C453" s="3"/>
      <c r="D453" s="3"/>
      <c r="E453" s="3"/>
      <c r="F453" s="89"/>
      <c r="G453" s="3"/>
      <c r="H453" s="89"/>
      <c r="I453" s="90"/>
      <c r="K453" s="31"/>
    </row>
    <row r="454" spans="2:11" s="13" customFormat="1" x14ac:dyDescent="0.2">
      <c r="B454" s="3"/>
      <c r="C454" s="3"/>
      <c r="D454" s="3"/>
      <c r="E454" s="3"/>
      <c r="F454" s="89"/>
      <c r="G454" s="3"/>
      <c r="H454" s="89"/>
      <c r="I454" s="90"/>
      <c r="K454" s="31"/>
    </row>
    <row r="455" spans="2:11" s="13" customFormat="1" x14ac:dyDescent="0.2">
      <c r="B455" s="3"/>
      <c r="C455" s="3"/>
      <c r="D455" s="3"/>
      <c r="E455" s="3"/>
      <c r="F455" s="89"/>
      <c r="G455" s="3"/>
      <c r="H455" s="89"/>
      <c r="I455" s="90"/>
      <c r="K455" s="31"/>
    </row>
    <row r="456" spans="2:11" s="13" customFormat="1" x14ac:dyDescent="0.2">
      <c r="B456" s="3"/>
      <c r="C456" s="3"/>
      <c r="D456" s="3"/>
      <c r="E456" s="3"/>
      <c r="F456" s="89"/>
      <c r="G456" s="3"/>
      <c r="H456" s="89"/>
      <c r="I456" s="90"/>
      <c r="K456" s="31"/>
    </row>
    <row r="457" spans="2:11" s="13" customFormat="1" x14ac:dyDescent="0.2">
      <c r="B457" s="3"/>
      <c r="C457" s="3"/>
      <c r="D457" s="3"/>
      <c r="E457" s="3"/>
      <c r="F457" s="89"/>
      <c r="G457" s="3"/>
      <c r="H457" s="89"/>
      <c r="I457" s="90"/>
      <c r="K457" s="31"/>
    </row>
    <row r="458" spans="2:11" s="13" customFormat="1" x14ac:dyDescent="0.2">
      <c r="B458" s="3"/>
      <c r="C458" s="3"/>
      <c r="D458" s="3"/>
      <c r="E458" s="3"/>
      <c r="F458" s="89"/>
      <c r="G458" s="3"/>
      <c r="H458" s="89"/>
      <c r="I458" s="90"/>
      <c r="K458" s="31"/>
    </row>
    <row r="459" spans="2:11" s="13" customFormat="1" x14ac:dyDescent="0.2">
      <c r="B459" s="3"/>
      <c r="C459" s="3"/>
      <c r="D459" s="3"/>
      <c r="E459" s="3"/>
      <c r="F459" s="89"/>
      <c r="G459" s="3"/>
      <c r="H459" s="89"/>
      <c r="I459" s="90"/>
      <c r="K459" s="31"/>
    </row>
    <row r="460" spans="2:11" s="13" customFormat="1" x14ac:dyDescent="0.2">
      <c r="B460" s="3"/>
      <c r="C460" s="3"/>
      <c r="D460" s="3"/>
      <c r="E460" s="3"/>
      <c r="F460" s="89"/>
      <c r="G460" s="3"/>
      <c r="H460" s="89"/>
      <c r="I460" s="90"/>
      <c r="K460" s="31"/>
    </row>
    <row r="461" spans="2:11" s="13" customFormat="1" x14ac:dyDescent="0.2">
      <c r="B461" s="3"/>
      <c r="C461" s="3"/>
      <c r="D461" s="3"/>
      <c r="E461" s="3"/>
      <c r="F461" s="89"/>
      <c r="G461" s="3"/>
      <c r="H461" s="89"/>
      <c r="I461" s="90"/>
      <c r="K461" s="31"/>
    </row>
    <row r="462" spans="2:11" s="13" customFormat="1" x14ac:dyDescent="0.2">
      <c r="B462" s="3"/>
      <c r="C462" s="3"/>
      <c r="D462" s="3"/>
      <c r="E462" s="3"/>
      <c r="F462" s="89"/>
      <c r="G462" s="3"/>
      <c r="H462" s="89"/>
      <c r="I462" s="90"/>
      <c r="K462" s="31"/>
    </row>
    <row r="463" spans="2:11" s="13" customFormat="1" x14ac:dyDescent="0.2">
      <c r="B463" s="3"/>
      <c r="C463" s="3"/>
      <c r="D463" s="3"/>
      <c r="E463" s="3"/>
      <c r="F463" s="89"/>
      <c r="G463" s="3"/>
      <c r="H463" s="89"/>
      <c r="I463" s="90"/>
      <c r="K463" s="31"/>
    </row>
    <row r="464" spans="2:11" s="13" customFormat="1" x14ac:dyDescent="0.2">
      <c r="B464" s="3"/>
      <c r="C464" s="3"/>
      <c r="D464" s="3"/>
      <c r="E464" s="3"/>
      <c r="F464" s="89"/>
      <c r="G464" s="3"/>
      <c r="H464" s="89"/>
      <c r="I464" s="90"/>
      <c r="K464" s="31"/>
    </row>
    <row r="465" spans="2:11" s="13" customFormat="1" x14ac:dyDescent="0.2">
      <c r="B465" s="3"/>
      <c r="C465" s="3"/>
      <c r="D465" s="3"/>
      <c r="E465" s="3"/>
      <c r="F465" s="89"/>
      <c r="G465" s="3"/>
      <c r="H465" s="89"/>
      <c r="I465" s="90"/>
      <c r="K465" s="31"/>
    </row>
    <row r="466" spans="2:11" s="13" customFormat="1" x14ac:dyDescent="0.2">
      <c r="B466" s="3"/>
      <c r="C466" s="3"/>
      <c r="D466" s="3"/>
      <c r="E466" s="3"/>
      <c r="F466" s="89"/>
      <c r="G466" s="3"/>
      <c r="H466" s="89"/>
      <c r="I466" s="90"/>
      <c r="K466" s="31"/>
    </row>
    <row r="467" spans="2:11" s="13" customFormat="1" x14ac:dyDescent="0.2">
      <c r="B467" s="3"/>
      <c r="C467" s="3"/>
      <c r="D467" s="3"/>
      <c r="E467" s="3"/>
      <c r="F467" s="89"/>
      <c r="G467" s="3"/>
      <c r="H467" s="89"/>
      <c r="I467" s="90"/>
      <c r="K467" s="31"/>
    </row>
    <row r="468" spans="2:11" s="13" customFormat="1" x14ac:dyDescent="0.2">
      <c r="B468" s="3"/>
      <c r="C468" s="3"/>
      <c r="D468" s="3"/>
      <c r="E468" s="3"/>
      <c r="F468" s="89"/>
      <c r="G468" s="3"/>
      <c r="H468" s="89"/>
      <c r="I468" s="90"/>
      <c r="K468" s="31"/>
    </row>
    <row r="469" spans="2:11" s="13" customFormat="1" x14ac:dyDescent="0.2">
      <c r="B469" s="3"/>
      <c r="C469" s="3"/>
      <c r="D469" s="3"/>
      <c r="E469" s="3"/>
      <c r="F469" s="89"/>
      <c r="G469" s="3"/>
      <c r="H469" s="89"/>
      <c r="I469" s="90"/>
      <c r="K469" s="31"/>
    </row>
    <row r="470" spans="2:11" s="13" customFormat="1" x14ac:dyDescent="0.2">
      <c r="B470" s="3"/>
      <c r="C470" s="3"/>
      <c r="D470" s="3"/>
      <c r="E470" s="3"/>
      <c r="F470" s="89"/>
      <c r="G470" s="3"/>
      <c r="H470" s="89"/>
      <c r="I470" s="90"/>
      <c r="K470" s="31"/>
    </row>
    <row r="471" spans="2:11" s="13" customFormat="1" x14ac:dyDescent="0.2">
      <c r="B471" s="3"/>
      <c r="C471" s="3"/>
      <c r="D471" s="3"/>
      <c r="E471" s="3"/>
      <c r="F471" s="89"/>
      <c r="G471" s="3"/>
      <c r="H471" s="89"/>
      <c r="I471" s="90"/>
      <c r="K471" s="31"/>
    </row>
    <row r="472" spans="2:11" s="13" customFormat="1" x14ac:dyDescent="0.2">
      <c r="B472" s="3"/>
      <c r="C472" s="3"/>
      <c r="D472" s="3"/>
      <c r="E472" s="3"/>
      <c r="F472" s="89"/>
      <c r="G472" s="3"/>
      <c r="H472" s="89"/>
      <c r="I472" s="90"/>
      <c r="K472" s="31"/>
    </row>
    <row r="473" spans="2:11" s="13" customFormat="1" x14ac:dyDescent="0.2">
      <c r="B473" s="3"/>
      <c r="C473" s="3"/>
      <c r="D473" s="3"/>
      <c r="E473" s="3"/>
      <c r="F473" s="89"/>
      <c r="G473" s="3"/>
      <c r="H473" s="89"/>
      <c r="I473" s="90"/>
      <c r="K473" s="31"/>
    </row>
    <row r="474" spans="2:11" s="13" customFormat="1" x14ac:dyDescent="0.2">
      <c r="B474" s="3"/>
      <c r="C474" s="3"/>
      <c r="D474" s="3"/>
      <c r="E474" s="3"/>
      <c r="F474" s="89"/>
      <c r="G474" s="3"/>
      <c r="H474" s="89"/>
      <c r="I474" s="90"/>
      <c r="K474" s="31"/>
    </row>
    <row r="475" spans="2:11" s="13" customFormat="1" x14ac:dyDescent="0.2">
      <c r="B475" s="3"/>
      <c r="C475" s="3"/>
      <c r="D475" s="3"/>
      <c r="E475" s="3"/>
      <c r="F475" s="89"/>
      <c r="G475" s="3"/>
      <c r="H475" s="89"/>
      <c r="I475" s="90"/>
      <c r="K475" s="31"/>
    </row>
    <row r="476" spans="2:11" s="13" customFormat="1" x14ac:dyDescent="0.2">
      <c r="B476" s="3"/>
      <c r="C476" s="3"/>
      <c r="D476" s="3"/>
      <c r="E476" s="3"/>
      <c r="F476" s="89"/>
      <c r="G476" s="3"/>
      <c r="H476" s="89"/>
      <c r="I476" s="90"/>
      <c r="K476" s="31"/>
    </row>
    <row r="477" spans="2:11" s="13" customFormat="1" x14ac:dyDescent="0.2">
      <c r="B477" s="3"/>
      <c r="C477" s="3"/>
      <c r="D477" s="3"/>
      <c r="E477" s="3"/>
      <c r="F477" s="89"/>
      <c r="G477" s="3"/>
      <c r="H477" s="89"/>
      <c r="I477" s="90"/>
      <c r="K477" s="31"/>
    </row>
    <row r="478" spans="2:11" s="13" customFormat="1" x14ac:dyDescent="0.2">
      <c r="B478" s="3"/>
      <c r="C478" s="3"/>
      <c r="D478" s="3"/>
      <c r="E478" s="3"/>
      <c r="F478" s="89"/>
      <c r="G478" s="3"/>
      <c r="H478" s="89"/>
      <c r="I478" s="90"/>
      <c r="K478" s="31"/>
    </row>
    <row r="479" spans="2:11" s="13" customFormat="1" x14ac:dyDescent="0.2">
      <c r="B479" s="3"/>
      <c r="C479" s="3"/>
      <c r="D479" s="3"/>
      <c r="E479" s="3"/>
      <c r="F479" s="89"/>
      <c r="G479" s="3"/>
      <c r="H479" s="89"/>
      <c r="I479" s="90"/>
      <c r="K479" s="31"/>
    </row>
    <row r="480" spans="2:11" s="13" customFormat="1" x14ac:dyDescent="0.2">
      <c r="B480" s="3"/>
      <c r="C480" s="3"/>
      <c r="D480" s="3"/>
      <c r="E480" s="3"/>
      <c r="F480" s="89"/>
      <c r="G480" s="3"/>
      <c r="H480" s="89"/>
      <c r="I480" s="90"/>
      <c r="K480" s="31"/>
    </row>
    <row r="481" spans="2:11" s="13" customFormat="1" x14ac:dyDescent="0.2">
      <c r="B481" s="3"/>
      <c r="C481" s="3"/>
      <c r="D481" s="3"/>
      <c r="E481" s="3"/>
      <c r="F481" s="89"/>
      <c r="G481" s="3"/>
      <c r="H481" s="89"/>
      <c r="I481" s="90"/>
      <c r="K481" s="31"/>
    </row>
    <row r="482" spans="2:11" s="13" customFormat="1" x14ac:dyDescent="0.2">
      <c r="B482" s="3"/>
      <c r="C482" s="3"/>
      <c r="D482" s="3"/>
      <c r="E482" s="3"/>
      <c r="F482" s="89"/>
      <c r="G482" s="3"/>
      <c r="H482" s="89"/>
      <c r="I482" s="90"/>
      <c r="K482" s="31"/>
    </row>
    <row r="483" spans="2:11" s="13" customFormat="1" x14ac:dyDescent="0.2">
      <c r="B483" s="3"/>
      <c r="C483" s="3"/>
      <c r="D483" s="3"/>
      <c r="E483" s="3"/>
      <c r="F483" s="89"/>
      <c r="G483" s="3"/>
      <c r="H483" s="89"/>
      <c r="I483" s="90"/>
      <c r="K483" s="31"/>
    </row>
    <row r="484" spans="2:11" s="13" customFormat="1" x14ac:dyDescent="0.2">
      <c r="B484" s="3"/>
      <c r="C484" s="3"/>
      <c r="D484" s="3"/>
      <c r="E484" s="3"/>
      <c r="F484" s="89"/>
      <c r="G484" s="3"/>
      <c r="H484" s="89"/>
      <c r="I484" s="90"/>
      <c r="K484" s="31"/>
    </row>
    <row r="485" spans="2:11" s="13" customFormat="1" x14ac:dyDescent="0.2">
      <c r="B485" s="3"/>
      <c r="C485" s="3"/>
      <c r="D485" s="3"/>
      <c r="E485" s="3"/>
      <c r="F485" s="89"/>
      <c r="G485" s="3"/>
      <c r="H485" s="89"/>
      <c r="I485" s="90"/>
      <c r="K485" s="31"/>
    </row>
    <row r="486" spans="2:11" s="13" customFormat="1" x14ac:dyDescent="0.2">
      <c r="B486" s="3"/>
      <c r="C486" s="3"/>
      <c r="D486" s="3"/>
      <c r="E486" s="3"/>
      <c r="F486" s="89"/>
      <c r="G486" s="3"/>
      <c r="H486" s="89"/>
      <c r="I486" s="90"/>
      <c r="K486" s="31"/>
    </row>
    <row r="487" spans="2:11" s="13" customFormat="1" x14ac:dyDescent="0.2">
      <c r="B487" s="3"/>
      <c r="C487" s="3"/>
      <c r="D487" s="3"/>
      <c r="E487" s="3"/>
      <c r="F487" s="89"/>
      <c r="G487" s="3"/>
      <c r="H487" s="89"/>
      <c r="I487" s="90"/>
      <c r="K487" s="31"/>
    </row>
    <row r="488" spans="2:11" s="13" customFormat="1" x14ac:dyDescent="0.2">
      <c r="B488" s="3"/>
      <c r="C488" s="3"/>
      <c r="D488" s="3"/>
      <c r="E488" s="3"/>
      <c r="F488" s="89"/>
      <c r="G488" s="3"/>
      <c r="H488" s="89"/>
      <c r="I488" s="90"/>
      <c r="K488" s="31"/>
    </row>
    <row r="489" spans="2:11" s="13" customFormat="1" x14ac:dyDescent="0.2">
      <c r="B489" s="3"/>
      <c r="C489" s="3"/>
      <c r="D489" s="3"/>
      <c r="E489" s="3"/>
      <c r="F489" s="89"/>
      <c r="G489" s="3"/>
      <c r="H489" s="89"/>
      <c r="I489" s="90"/>
      <c r="K489" s="31"/>
    </row>
    <row r="490" spans="2:11" s="13" customFormat="1" x14ac:dyDescent="0.2">
      <c r="B490" s="3"/>
      <c r="C490" s="3"/>
      <c r="D490" s="3"/>
      <c r="E490" s="3"/>
      <c r="F490" s="89"/>
      <c r="G490" s="3"/>
      <c r="H490" s="89"/>
      <c r="I490" s="90"/>
      <c r="K490" s="31"/>
    </row>
    <row r="491" spans="2:11" s="13" customFormat="1" x14ac:dyDescent="0.2">
      <c r="B491" s="3"/>
      <c r="C491" s="3"/>
      <c r="D491" s="3"/>
      <c r="E491" s="3"/>
      <c r="F491" s="89"/>
      <c r="G491" s="3"/>
      <c r="H491" s="89"/>
      <c r="I491" s="90"/>
      <c r="K491" s="31"/>
    </row>
    <row r="492" spans="2:11" s="13" customFormat="1" x14ac:dyDescent="0.2">
      <c r="B492" s="3"/>
      <c r="C492" s="3"/>
      <c r="D492" s="3"/>
      <c r="E492" s="3"/>
      <c r="F492" s="89"/>
      <c r="G492" s="3"/>
      <c r="H492" s="89"/>
      <c r="I492" s="90"/>
      <c r="K492" s="31"/>
    </row>
    <row r="493" spans="2:11" s="13" customFormat="1" x14ac:dyDescent="0.2">
      <c r="B493" s="3"/>
      <c r="C493" s="3"/>
      <c r="D493" s="3"/>
      <c r="E493" s="3"/>
      <c r="F493" s="89"/>
      <c r="G493" s="3"/>
      <c r="H493" s="89"/>
      <c r="I493" s="90"/>
      <c r="K493" s="31"/>
    </row>
    <row r="494" spans="2:11" s="13" customFormat="1" x14ac:dyDescent="0.2">
      <c r="B494" s="3"/>
      <c r="C494" s="3"/>
      <c r="D494" s="3"/>
      <c r="E494" s="3"/>
      <c r="F494" s="89"/>
      <c r="G494" s="3"/>
      <c r="H494" s="89"/>
      <c r="I494" s="90"/>
      <c r="K494" s="31"/>
    </row>
    <row r="495" spans="2:11" s="13" customFormat="1" x14ac:dyDescent="0.2">
      <c r="B495" s="3"/>
      <c r="C495" s="3"/>
      <c r="D495" s="3"/>
      <c r="E495" s="3"/>
      <c r="F495" s="89"/>
      <c r="G495" s="3"/>
      <c r="H495" s="89"/>
      <c r="I495" s="90"/>
      <c r="K495" s="31"/>
    </row>
    <row r="496" spans="2:11" s="13" customFormat="1" x14ac:dyDescent="0.2">
      <c r="B496" s="3"/>
      <c r="C496" s="3"/>
      <c r="D496" s="3"/>
      <c r="E496" s="3"/>
      <c r="F496" s="89"/>
      <c r="G496" s="3"/>
      <c r="H496" s="89"/>
      <c r="I496" s="90"/>
      <c r="K496" s="31"/>
    </row>
    <row r="497" spans="2:11" s="13" customFormat="1" x14ac:dyDescent="0.2">
      <c r="B497" s="3"/>
      <c r="C497" s="3"/>
      <c r="D497" s="3"/>
      <c r="E497" s="3"/>
      <c r="F497" s="89"/>
      <c r="G497" s="3"/>
      <c r="H497" s="89"/>
      <c r="I497" s="90"/>
      <c r="K497" s="31"/>
    </row>
    <row r="498" spans="2:11" s="13" customFormat="1" x14ac:dyDescent="0.2">
      <c r="B498" s="3"/>
      <c r="C498" s="3"/>
      <c r="D498" s="3"/>
      <c r="E498" s="3"/>
      <c r="F498" s="89"/>
      <c r="G498" s="3"/>
      <c r="H498" s="89"/>
      <c r="I498" s="90"/>
      <c r="K498" s="31"/>
    </row>
    <row r="499" spans="2:11" s="13" customFormat="1" x14ac:dyDescent="0.2">
      <c r="B499" s="3"/>
      <c r="C499" s="3"/>
      <c r="D499" s="3"/>
      <c r="E499" s="3"/>
      <c r="F499" s="89"/>
      <c r="G499" s="3"/>
      <c r="H499" s="89"/>
      <c r="I499" s="90"/>
      <c r="K499" s="31"/>
    </row>
    <row r="500" spans="2:11" s="13" customFormat="1" x14ac:dyDescent="0.2">
      <c r="B500" s="3"/>
      <c r="C500" s="3"/>
      <c r="D500" s="3"/>
      <c r="E500" s="3"/>
      <c r="F500" s="89"/>
      <c r="G500" s="3"/>
      <c r="H500" s="89"/>
      <c r="I500" s="90"/>
      <c r="K500" s="31"/>
    </row>
    <row r="501" spans="2:11" s="13" customFormat="1" x14ac:dyDescent="0.2">
      <c r="B501" s="3"/>
      <c r="C501" s="3"/>
      <c r="D501" s="3"/>
      <c r="E501" s="3"/>
      <c r="F501" s="89"/>
      <c r="G501" s="3"/>
      <c r="H501" s="89"/>
      <c r="I501" s="90"/>
      <c r="K501" s="31"/>
    </row>
    <row r="502" spans="2:11" s="13" customFormat="1" x14ac:dyDescent="0.2">
      <c r="B502" s="3"/>
      <c r="C502" s="3"/>
      <c r="D502" s="3"/>
      <c r="E502" s="3"/>
      <c r="F502" s="89"/>
      <c r="G502" s="3"/>
      <c r="H502" s="89"/>
      <c r="I502" s="90"/>
      <c r="K502" s="31"/>
    </row>
    <row r="503" spans="2:11" s="13" customFormat="1" x14ac:dyDescent="0.2">
      <c r="B503" s="3"/>
      <c r="C503" s="3"/>
      <c r="D503" s="3"/>
      <c r="E503" s="3"/>
      <c r="F503" s="89"/>
      <c r="G503" s="3"/>
      <c r="H503" s="89"/>
      <c r="I503" s="90"/>
      <c r="K503" s="31"/>
    </row>
    <row r="504" spans="2:11" s="13" customFormat="1" x14ac:dyDescent="0.2">
      <c r="B504" s="3"/>
      <c r="C504" s="3"/>
      <c r="D504" s="3"/>
      <c r="E504" s="3"/>
      <c r="F504" s="89"/>
      <c r="G504" s="3"/>
      <c r="H504" s="89"/>
      <c r="I504" s="90"/>
      <c r="K504" s="31"/>
    </row>
    <row r="505" spans="2:11" s="13" customFormat="1" x14ac:dyDescent="0.2">
      <c r="B505" s="3"/>
      <c r="C505" s="3"/>
      <c r="D505" s="3"/>
      <c r="E505" s="3"/>
      <c r="F505" s="89"/>
      <c r="G505" s="3"/>
      <c r="H505" s="89"/>
      <c r="I505" s="90"/>
      <c r="K505" s="31"/>
    </row>
    <row r="506" spans="2:11" s="13" customFormat="1" x14ac:dyDescent="0.2">
      <c r="B506" s="3"/>
      <c r="C506" s="3"/>
      <c r="D506" s="3"/>
      <c r="E506" s="3"/>
      <c r="F506" s="89"/>
      <c r="G506" s="3"/>
      <c r="H506" s="89"/>
      <c r="I506" s="90"/>
      <c r="K506" s="31"/>
    </row>
    <row r="507" spans="2:11" s="13" customFormat="1" x14ac:dyDescent="0.2">
      <c r="B507" s="3"/>
      <c r="C507" s="3"/>
      <c r="D507" s="3"/>
      <c r="E507" s="3"/>
      <c r="F507" s="89"/>
      <c r="G507" s="3"/>
      <c r="H507" s="89"/>
      <c r="I507" s="90"/>
      <c r="K507" s="31"/>
    </row>
    <row r="508" spans="2:11" s="13" customFormat="1" x14ac:dyDescent="0.2">
      <c r="B508" s="3"/>
      <c r="C508" s="3"/>
      <c r="D508" s="3"/>
      <c r="E508" s="3"/>
      <c r="F508" s="89"/>
      <c r="G508" s="3"/>
      <c r="H508" s="89"/>
      <c r="I508" s="90"/>
      <c r="K508" s="31"/>
    </row>
    <row r="509" spans="2:11" s="13" customFormat="1" x14ac:dyDescent="0.2">
      <c r="B509" s="3"/>
      <c r="C509" s="3"/>
      <c r="D509" s="3"/>
      <c r="E509" s="3"/>
      <c r="F509" s="89"/>
      <c r="G509" s="3"/>
      <c r="H509" s="89"/>
      <c r="I509" s="90"/>
      <c r="K509" s="31"/>
    </row>
    <row r="510" spans="2:11" s="13" customFormat="1" x14ac:dyDescent="0.2">
      <c r="B510" s="3"/>
      <c r="C510" s="3"/>
      <c r="D510" s="3"/>
      <c r="E510" s="3"/>
      <c r="F510" s="89"/>
      <c r="G510" s="3"/>
      <c r="H510" s="89"/>
      <c r="I510" s="90"/>
      <c r="K510" s="31"/>
    </row>
    <row r="511" spans="2:11" s="13" customFormat="1" x14ac:dyDescent="0.2">
      <c r="B511" s="3"/>
      <c r="C511" s="3"/>
      <c r="D511" s="3"/>
      <c r="E511" s="3"/>
      <c r="F511" s="89"/>
      <c r="G511" s="3"/>
      <c r="H511" s="89"/>
      <c r="I511" s="90"/>
      <c r="K511" s="31"/>
    </row>
    <row r="512" spans="2:11" s="13" customFormat="1" x14ac:dyDescent="0.2">
      <c r="B512" s="3"/>
      <c r="C512" s="3"/>
      <c r="D512" s="3"/>
      <c r="E512" s="3"/>
      <c r="F512" s="89"/>
      <c r="G512" s="3"/>
      <c r="H512" s="89"/>
      <c r="I512" s="90"/>
      <c r="K512" s="31"/>
    </row>
    <row r="513" spans="2:11" s="13" customFormat="1" x14ac:dyDescent="0.2">
      <c r="B513" s="3"/>
      <c r="C513" s="3"/>
      <c r="D513" s="3"/>
      <c r="E513" s="3"/>
      <c r="F513" s="89"/>
      <c r="G513" s="3"/>
      <c r="H513" s="89"/>
      <c r="I513" s="90"/>
      <c r="K513" s="31"/>
    </row>
    <row r="514" spans="2:11" s="13" customFormat="1" x14ac:dyDescent="0.2">
      <c r="B514" s="3"/>
      <c r="C514" s="3"/>
      <c r="D514" s="3"/>
      <c r="E514" s="3"/>
      <c r="F514" s="89"/>
      <c r="G514" s="3"/>
      <c r="H514" s="89"/>
      <c r="I514" s="90"/>
      <c r="K514" s="31"/>
    </row>
    <row r="515" spans="2:11" s="13" customFormat="1" x14ac:dyDescent="0.2">
      <c r="B515" s="3"/>
      <c r="C515" s="3"/>
      <c r="D515" s="3"/>
      <c r="E515" s="3"/>
      <c r="F515" s="89"/>
      <c r="G515" s="3"/>
      <c r="H515" s="89"/>
      <c r="I515" s="90"/>
      <c r="K515" s="31"/>
    </row>
    <row r="516" spans="2:11" s="13" customFormat="1" x14ac:dyDescent="0.2">
      <c r="B516" s="3"/>
      <c r="C516" s="3"/>
      <c r="D516" s="3"/>
      <c r="E516" s="3"/>
      <c r="F516" s="89"/>
      <c r="G516" s="3"/>
      <c r="H516" s="89"/>
      <c r="I516" s="90"/>
      <c r="K516" s="31"/>
    </row>
    <row r="517" spans="2:11" s="13" customFormat="1" x14ac:dyDescent="0.2">
      <c r="B517" s="3"/>
      <c r="C517" s="3"/>
      <c r="D517" s="3"/>
      <c r="E517" s="3"/>
      <c r="F517" s="89"/>
      <c r="G517" s="3"/>
      <c r="H517" s="89"/>
      <c r="I517" s="90"/>
      <c r="K517" s="31"/>
    </row>
    <row r="518" spans="2:11" s="13" customFormat="1" x14ac:dyDescent="0.2">
      <c r="B518" s="3"/>
      <c r="C518" s="3"/>
      <c r="D518" s="3"/>
      <c r="E518" s="3"/>
      <c r="F518" s="89"/>
      <c r="G518" s="3"/>
      <c r="H518" s="89"/>
      <c r="I518" s="90"/>
      <c r="K518" s="31"/>
    </row>
    <row r="519" spans="2:11" s="13" customFormat="1" x14ac:dyDescent="0.2">
      <c r="B519" s="3"/>
      <c r="C519" s="3"/>
      <c r="D519" s="3"/>
      <c r="E519" s="3"/>
      <c r="F519" s="89"/>
      <c r="G519" s="3"/>
      <c r="H519" s="89"/>
      <c r="I519" s="90"/>
      <c r="K519" s="31"/>
    </row>
    <row r="520" spans="2:11" s="13" customFormat="1" x14ac:dyDescent="0.2">
      <c r="B520" s="3"/>
      <c r="C520" s="3"/>
      <c r="D520" s="3"/>
      <c r="E520" s="3"/>
      <c r="F520" s="89"/>
      <c r="G520" s="3"/>
      <c r="H520" s="89"/>
      <c r="I520" s="90"/>
      <c r="K520" s="31"/>
    </row>
    <row r="521" spans="2:11" s="13" customFormat="1" x14ac:dyDescent="0.2">
      <c r="B521" s="3"/>
      <c r="C521" s="3"/>
      <c r="D521" s="3"/>
      <c r="E521" s="3"/>
      <c r="F521" s="89"/>
      <c r="G521" s="3"/>
      <c r="H521" s="89"/>
      <c r="I521" s="90"/>
      <c r="K521" s="31"/>
    </row>
  </sheetData>
  <mergeCells count="78">
    <mergeCell ref="E60:F62"/>
    <mergeCell ref="G60:H60"/>
    <mergeCell ref="G61:H61"/>
    <mergeCell ref="G62:H62"/>
    <mergeCell ref="E56:F58"/>
    <mergeCell ref="G56:H56"/>
    <mergeCell ref="G57:H57"/>
    <mergeCell ref="G58:H58"/>
    <mergeCell ref="E59:H59"/>
    <mergeCell ref="E51:F52"/>
    <mergeCell ref="G51:H51"/>
    <mergeCell ref="G52:H52"/>
    <mergeCell ref="E53:F55"/>
    <mergeCell ref="G53:H53"/>
    <mergeCell ref="G54:H54"/>
    <mergeCell ref="G55:H55"/>
    <mergeCell ref="G46:H46"/>
    <mergeCell ref="G47:H47"/>
    <mergeCell ref="E48:F50"/>
    <mergeCell ref="G48:H48"/>
    <mergeCell ref="G49:H49"/>
    <mergeCell ref="G50:H50"/>
    <mergeCell ref="E45:F47"/>
    <mergeCell ref="G45:H45"/>
    <mergeCell ref="G41:H41"/>
    <mergeCell ref="G42:H42"/>
    <mergeCell ref="G43:H43"/>
    <mergeCell ref="G44:H44"/>
    <mergeCell ref="E42:F44"/>
    <mergeCell ref="B60:B62"/>
    <mergeCell ref="C60:C62"/>
    <mergeCell ref="D60:D62"/>
    <mergeCell ref="B53:B55"/>
    <mergeCell ref="C53:C55"/>
    <mergeCell ref="D53:D55"/>
    <mergeCell ref="B56:B58"/>
    <mergeCell ref="C56:C58"/>
    <mergeCell ref="D56:D58"/>
    <mergeCell ref="B48:B50"/>
    <mergeCell ref="C48:C50"/>
    <mergeCell ref="D48:D50"/>
    <mergeCell ref="B51:B52"/>
    <mergeCell ref="C51:C52"/>
    <mergeCell ref="D51:D52"/>
    <mergeCell ref="B45:B47"/>
    <mergeCell ref="C45:C47"/>
    <mergeCell ref="D45:D47"/>
    <mergeCell ref="B34:B39"/>
    <mergeCell ref="C34:C39"/>
    <mergeCell ref="D34:D39"/>
    <mergeCell ref="E34:E39"/>
    <mergeCell ref="B42:B44"/>
    <mergeCell ref="C42:C44"/>
    <mergeCell ref="D42:D44"/>
    <mergeCell ref="B26:B28"/>
    <mergeCell ref="C26:C28"/>
    <mergeCell ref="D26:D28"/>
    <mergeCell ref="E26:E28"/>
    <mergeCell ref="B29:B33"/>
    <mergeCell ref="C29:C33"/>
    <mergeCell ref="D29:D33"/>
    <mergeCell ref="E29:E33"/>
    <mergeCell ref="E41:F41"/>
    <mergeCell ref="B22:B25"/>
    <mergeCell ref="C22:C25"/>
    <mergeCell ref="D22:D25"/>
    <mergeCell ref="E22:E25"/>
    <mergeCell ref="B2:J2"/>
    <mergeCell ref="B4:J4"/>
    <mergeCell ref="B6:H8"/>
    <mergeCell ref="I6:J6"/>
    <mergeCell ref="I7:J8"/>
    <mergeCell ref="C10:J10"/>
    <mergeCell ref="C11:J11"/>
    <mergeCell ref="B14:B21"/>
    <mergeCell ref="C14:C21"/>
    <mergeCell ref="D14:D21"/>
    <mergeCell ref="E14:E21"/>
  </mergeCells>
  <conditionalFormatting sqref="I1 I63:I1048576">
    <cfRule type="cellIs" dxfId="339" priority="14" operator="equal">
      <formula>1</formula>
    </cfRule>
  </conditionalFormatting>
  <conditionalFormatting sqref="I7">
    <cfRule type="cellIs" dxfId="338" priority="13" operator="equal">
      <formula>1</formula>
    </cfRule>
  </conditionalFormatting>
  <conditionalFormatting sqref="I14:I39">
    <cfRule type="expression" dxfId="179" priority="5" stopIfTrue="1">
      <formula>TRIM(UPPER(I14))="N/A"</formula>
    </cfRule>
    <cfRule type="expression" dxfId="178" priority="6">
      <formula>I14&gt;=0.9</formula>
    </cfRule>
    <cfRule type="expression" dxfId="177" priority="7">
      <formula>AND(I14&gt;=0.8, I14&lt;0.9)</formula>
    </cfRule>
    <cfRule type="expression" dxfId="176" priority="8">
      <formula>I14&lt;0.8</formula>
    </cfRule>
  </conditionalFormatting>
  <conditionalFormatting sqref="I42:I62">
    <cfRule type="expression" dxfId="175" priority="1" stopIfTrue="1">
      <formula>TRIM(UPPER(I42))="N/A"</formula>
    </cfRule>
    <cfRule type="expression" dxfId="174" priority="2">
      <formula>I42&gt;=0.9</formula>
    </cfRule>
    <cfRule type="expression" dxfId="173" priority="3">
      <formula>AND(I42&gt;=0.8, I42&lt;0.9)</formula>
    </cfRule>
    <cfRule type="expression" dxfId="172" priority="4">
      <formula>I42&lt;0.8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8705474-D10C-E24D-9FE5-5411F5748D51}">
          <x14:formula1>
            <xm:f>'Listas desplegables'!$C$4:$C$15</xm:f>
          </x14:formula1>
          <xm:sqref>I14:I39 I42:I62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C1748-A3A7-404E-BD58-B4E0BA743949}">
  <sheetPr>
    <tabColor rgb="FF0993A5"/>
  </sheetPr>
  <dimension ref="A1:AJ690"/>
  <sheetViews>
    <sheetView zoomScale="78" zoomScaleNormal="78" workbookViewId="0">
      <selection activeCell="I14" sqref="I14"/>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3" customWidth="1"/>
    <col min="14" max="36" width="10.6640625" style="13"/>
    <col min="37" max="16384" width="10.6640625" style="1"/>
  </cols>
  <sheetData>
    <row r="1" spans="2:36" ht="5.25" customHeight="1" x14ac:dyDescent="0.2">
      <c r="K1" s="31"/>
      <c r="L1" s="13"/>
    </row>
    <row r="2" spans="2:36" ht="60" customHeight="1" x14ac:dyDescent="0.2">
      <c r="B2" s="155" t="s">
        <v>28</v>
      </c>
      <c r="C2" s="155"/>
      <c r="D2" s="155"/>
      <c r="E2" s="155"/>
      <c r="F2" s="155"/>
      <c r="G2" s="155"/>
      <c r="H2" s="155"/>
      <c r="I2" s="155"/>
      <c r="J2" s="156"/>
      <c r="K2" s="31"/>
      <c r="L2" s="13"/>
    </row>
    <row r="3" spans="2:36" s="13" customFormat="1" ht="4.5" customHeight="1" x14ac:dyDescent="0.2">
      <c r="B3" s="14"/>
      <c r="C3" s="14"/>
      <c r="D3" s="14"/>
      <c r="E3" s="14"/>
      <c r="F3" s="14"/>
      <c r="G3" s="45"/>
      <c r="H3" s="14"/>
      <c r="I3" s="14"/>
      <c r="K3" s="31"/>
    </row>
    <row r="4" spans="2:36" s="2" customFormat="1" ht="45" customHeight="1" x14ac:dyDescent="0.2">
      <c r="B4" s="157" t="s">
        <v>994</v>
      </c>
      <c r="C4" s="158"/>
      <c r="D4" s="158"/>
      <c r="E4" s="158"/>
      <c r="F4" s="158"/>
      <c r="G4" s="158"/>
      <c r="H4" s="158"/>
      <c r="I4" s="158"/>
      <c r="J4" s="159"/>
      <c r="K4" s="99"/>
      <c r="L4" s="3"/>
      <c r="M4" s="3"/>
      <c r="N4" s="3"/>
      <c r="O4" s="3"/>
      <c r="P4" s="3"/>
      <c r="Q4" s="3"/>
      <c r="R4" s="3"/>
      <c r="S4" s="3"/>
      <c r="T4" s="3"/>
      <c r="U4" s="3"/>
      <c r="V4" s="3"/>
      <c r="W4" s="3"/>
      <c r="X4" s="3"/>
      <c r="Y4" s="3"/>
      <c r="Z4" s="3"/>
      <c r="AA4" s="3"/>
      <c r="AB4" s="3"/>
      <c r="AC4" s="3"/>
      <c r="AD4" s="3"/>
      <c r="AE4" s="3"/>
      <c r="AF4" s="3"/>
      <c r="AG4" s="3"/>
      <c r="AH4" s="3"/>
      <c r="AI4" s="3"/>
      <c r="AJ4" s="3"/>
    </row>
    <row r="5" spans="2:36" ht="4.5" customHeight="1" x14ac:dyDescent="0.2">
      <c r="B5" s="7"/>
      <c r="C5" s="7"/>
      <c r="D5" s="7"/>
      <c r="E5" s="7"/>
      <c r="F5" s="8"/>
      <c r="G5" s="46"/>
      <c r="H5" s="8"/>
      <c r="I5" s="8"/>
      <c r="J5" s="8"/>
      <c r="K5" s="31"/>
      <c r="L5" s="13"/>
    </row>
    <row r="6" spans="2:36" ht="23" customHeight="1" x14ac:dyDescent="0.2">
      <c r="B6" s="160" t="s">
        <v>12</v>
      </c>
      <c r="C6" s="160"/>
      <c r="D6" s="160"/>
      <c r="E6" s="160"/>
      <c r="F6" s="160"/>
      <c r="G6" s="160"/>
      <c r="H6" s="160"/>
      <c r="I6" s="162" t="s">
        <v>11</v>
      </c>
      <c r="J6" s="108"/>
      <c r="K6" s="100"/>
      <c r="L6" s="31"/>
    </row>
    <row r="7" spans="2:36" ht="15.75" customHeight="1" x14ac:dyDescent="0.2">
      <c r="B7" s="160"/>
      <c r="C7" s="160"/>
      <c r="D7" s="160"/>
      <c r="E7" s="160"/>
      <c r="F7" s="160"/>
      <c r="G7" s="160"/>
      <c r="H7" s="160"/>
      <c r="I7" s="163">
        <f>AVERAGEIF(I14:I42,"&lt;&gt;N/A")</f>
        <v>1</v>
      </c>
      <c r="J7" s="164"/>
      <c r="K7" s="100"/>
      <c r="L7" s="31"/>
    </row>
    <row r="8" spans="2:36" ht="15.75" customHeight="1" x14ac:dyDescent="0.2">
      <c r="B8" s="161"/>
      <c r="C8" s="161"/>
      <c r="D8" s="161"/>
      <c r="E8" s="161"/>
      <c r="F8" s="161"/>
      <c r="G8" s="161"/>
      <c r="H8" s="161"/>
      <c r="I8" s="163"/>
      <c r="J8" s="164"/>
      <c r="K8" s="100"/>
      <c r="L8" s="31"/>
    </row>
    <row r="9" spans="2:36" ht="5.25" customHeight="1" x14ac:dyDescent="0.2">
      <c r="F9" s="5"/>
      <c r="G9" s="47"/>
      <c r="K9" s="31"/>
      <c r="L9" s="13"/>
    </row>
    <row r="10" spans="2:36" ht="168.5" customHeight="1" x14ac:dyDescent="0.2">
      <c r="B10" s="40" t="s">
        <v>13</v>
      </c>
      <c r="C10" s="147" t="s">
        <v>995</v>
      </c>
      <c r="D10" s="148"/>
      <c r="E10" s="148"/>
      <c r="F10" s="148"/>
      <c r="G10" s="148"/>
      <c r="H10" s="148"/>
      <c r="I10" s="148"/>
      <c r="J10" s="149"/>
      <c r="K10" s="31"/>
      <c r="L10" s="13"/>
    </row>
    <row r="11" spans="2:36" ht="58.5" customHeight="1" x14ac:dyDescent="0.2">
      <c r="B11" s="39" t="s">
        <v>14</v>
      </c>
      <c r="C11" s="150" t="s">
        <v>996</v>
      </c>
      <c r="D11" s="150"/>
      <c r="E11" s="150"/>
      <c r="F11" s="150"/>
      <c r="G11" s="150"/>
      <c r="H11" s="150"/>
      <c r="I11" s="150"/>
      <c r="J11" s="150"/>
      <c r="K11" s="31"/>
      <c r="L11" s="13"/>
    </row>
    <row r="12" spans="2:36" ht="5.25" customHeight="1" x14ac:dyDescent="0.2"/>
    <row r="13" spans="2:36" s="73" customFormat="1" ht="32" x14ac:dyDescent="0.2">
      <c r="B13" s="69" t="s">
        <v>34</v>
      </c>
      <c r="C13" s="69" t="s">
        <v>15</v>
      </c>
      <c r="D13" s="69" t="s">
        <v>108</v>
      </c>
      <c r="E13" s="69" t="s">
        <v>109</v>
      </c>
      <c r="F13" s="70" t="s">
        <v>32</v>
      </c>
      <c r="G13" s="69" t="s">
        <v>40</v>
      </c>
      <c r="H13" s="70" t="s">
        <v>16</v>
      </c>
      <c r="I13" s="71" t="s">
        <v>8</v>
      </c>
      <c r="J13" s="69" t="s">
        <v>17</v>
      </c>
      <c r="K13" s="72" t="s">
        <v>44</v>
      </c>
      <c r="L13" s="69" t="s">
        <v>45</v>
      </c>
      <c r="M13" s="98"/>
      <c r="N13" s="98"/>
      <c r="O13" s="98"/>
      <c r="P13" s="98"/>
      <c r="Q13" s="98"/>
      <c r="R13" s="98"/>
      <c r="S13" s="98"/>
      <c r="T13" s="98"/>
      <c r="U13" s="98"/>
      <c r="V13" s="98"/>
      <c r="W13" s="98"/>
      <c r="X13" s="98"/>
      <c r="Y13" s="98"/>
      <c r="Z13" s="98"/>
      <c r="AA13" s="98"/>
      <c r="AB13" s="98"/>
      <c r="AC13" s="98"/>
      <c r="AD13" s="98"/>
      <c r="AE13" s="98"/>
      <c r="AF13" s="98"/>
      <c r="AG13" s="98"/>
      <c r="AH13" s="98"/>
      <c r="AI13" s="98"/>
      <c r="AJ13" s="98"/>
    </row>
    <row r="14" spans="2:36" ht="54" customHeight="1" x14ac:dyDescent="0.2">
      <c r="B14" s="151" t="s">
        <v>84</v>
      </c>
      <c r="C14" s="151" t="s">
        <v>19</v>
      </c>
      <c r="D14" s="153" t="s">
        <v>997</v>
      </c>
      <c r="E14" s="177" t="s">
        <v>998</v>
      </c>
      <c r="F14" s="78" t="s">
        <v>999</v>
      </c>
      <c r="G14" s="12" t="s">
        <v>39</v>
      </c>
      <c r="H14" s="34" t="s">
        <v>2473</v>
      </c>
      <c r="I14" s="28">
        <v>1</v>
      </c>
      <c r="J14" s="11"/>
      <c r="K14" s="33"/>
      <c r="L14" s="29"/>
    </row>
    <row r="15" spans="2:36" ht="54" customHeight="1" x14ac:dyDescent="0.2">
      <c r="B15" s="152"/>
      <c r="C15" s="152"/>
      <c r="D15" s="154"/>
      <c r="E15" s="178"/>
      <c r="F15" s="78" t="s">
        <v>1000</v>
      </c>
      <c r="G15" s="12" t="s">
        <v>110</v>
      </c>
      <c r="H15" s="34" t="s">
        <v>2474</v>
      </c>
      <c r="I15" s="28" t="s">
        <v>10</v>
      </c>
      <c r="J15" s="11"/>
      <c r="K15" s="33"/>
      <c r="L15" s="29"/>
    </row>
    <row r="16" spans="2:36" ht="54" customHeight="1" x14ac:dyDescent="0.2">
      <c r="B16" s="152"/>
      <c r="C16" s="152"/>
      <c r="D16" s="154"/>
      <c r="E16" s="178"/>
      <c r="F16" s="78" t="s">
        <v>1001</v>
      </c>
      <c r="G16" s="12" t="s">
        <v>36</v>
      </c>
      <c r="H16" s="34" t="s">
        <v>2475</v>
      </c>
      <c r="I16" s="28" t="s">
        <v>10</v>
      </c>
      <c r="J16" s="11"/>
      <c r="K16" s="33"/>
      <c r="L16" s="29"/>
    </row>
    <row r="17" spans="2:12" ht="54" customHeight="1" x14ac:dyDescent="0.2">
      <c r="B17" s="152"/>
      <c r="C17" s="152"/>
      <c r="D17" s="154"/>
      <c r="E17" s="178"/>
      <c r="F17" s="78" t="s">
        <v>1002</v>
      </c>
      <c r="G17" s="12" t="s">
        <v>36</v>
      </c>
      <c r="H17" s="34" t="s">
        <v>2476</v>
      </c>
      <c r="I17" s="28" t="s">
        <v>10</v>
      </c>
      <c r="J17" s="11"/>
      <c r="K17" s="33"/>
      <c r="L17" s="29"/>
    </row>
    <row r="18" spans="2:12" ht="54" customHeight="1" x14ac:dyDescent="0.2">
      <c r="B18" s="152"/>
      <c r="C18" s="152"/>
      <c r="D18" s="154"/>
      <c r="E18" s="178"/>
      <c r="F18" s="78" t="s">
        <v>1003</v>
      </c>
      <c r="G18" s="12" t="s">
        <v>110</v>
      </c>
      <c r="H18" s="34" t="s">
        <v>2477</v>
      </c>
      <c r="I18" s="28" t="s">
        <v>10</v>
      </c>
      <c r="J18" s="11"/>
      <c r="K18" s="33"/>
      <c r="L18" s="29"/>
    </row>
    <row r="19" spans="2:12" ht="64" customHeight="1" x14ac:dyDescent="0.2">
      <c r="B19" s="143" t="s">
        <v>84</v>
      </c>
      <c r="C19" s="143" t="s">
        <v>20</v>
      </c>
      <c r="D19" s="145" t="s">
        <v>1004</v>
      </c>
      <c r="E19" s="181" t="s">
        <v>2481</v>
      </c>
      <c r="F19" s="23" t="s">
        <v>1005</v>
      </c>
      <c r="G19" s="41" t="s">
        <v>1006</v>
      </c>
      <c r="H19" s="35" t="s">
        <v>2478</v>
      </c>
      <c r="I19" s="28" t="s">
        <v>10</v>
      </c>
      <c r="J19" s="36"/>
      <c r="K19" s="37"/>
      <c r="L19" s="38"/>
    </row>
    <row r="20" spans="2:12" ht="64" customHeight="1" x14ac:dyDescent="0.2">
      <c r="B20" s="144"/>
      <c r="C20" s="144"/>
      <c r="D20" s="146"/>
      <c r="E20" s="182"/>
      <c r="F20" s="23" t="s">
        <v>1007</v>
      </c>
      <c r="G20" s="41" t="s">
        <v>1006</v>
      </c>
      <c r="H20" s="35" t="s">
        <v>2479</v>
      </c>
      <c r="I20" s="28" t="s">
        <v>10</v>
      </c>
      <c r="J20" s="36"/>
      <c r="K20" s="37"/>
      <c r="L20" s="38"/>
    </row>
    <row r="21" spans="2:12" ht="64" customHeight="1" x14ac:dyDescent="0.2">
      <c r="B21" s="144"/>
      <c r="C21" s="144"/>
      <c r="D21" s="146"/>
      <c r="E21" s="182"/>
      <c r="F21" s="23" t="s">
        <v>1008</v>
      </c>
      <c r="G21" s="41" t="s">
        <v>1006</v>
      </c>
      <c r="H21" s="35" t="s">
        <v>2480</v>
      </c>
      <c r="I21" s="28" t="s">
        <v>10</v>
      </c>
      <c r="J21" s="36"/>
      <c r="K21" s="37"/>
      <c r="L21" s="38"/>
    </row>
    <row r="22" spans="2:12" ht="64" customHeight="1" x14ac:dyDescent="0.2">
      <c r="B22" s="144"/>
      <c r="C22" s="144"/>
      <c r="D22" s="146"/>
      <c r="E22" s="182"/>
      <c r="F22" s="23" t="s">
        <v>1009</v>
      </c>
      <c r="G22" s="41" t="s">
        <v>1006</v>
      </c>
      <c r="H22" s="35" t="s">
        <v>1010</v>
      </c>
      <c r="I22" s="28" t="s">
        <v>10</v>
      </c>
      <c r="J22" s="36"/>
      <c r="K22" s="37"/>
      <c r="L22" s="38"/>
    </row>
    <row r="23" spans="2:12" ht="64" customHeight="1" x14ac:dyDescent="0.2">
      <c r="B23" s="144"/>
      <c r="C23" s="144"/>
      <c r="D23" s="146"/>
      <c r="E23" s="182"/>
      <c r="F23" s="23" t="s">
        <v>1011</v>
      </c>
      <c r="G23" s="41" t="s">
        <v>1006</v>
      </c>
      <c r="H23" s="35" t="s">
        <v>1012</v>
      </c>
      <c r="I23" s="28" t="s">
        <v>10</v>
      </c>
      <c r="J23" s="36"/>
      <c r="K23" s="37"/>
      <c r="L23" s="38"/>
    </row>
    <row r="24" spans="2:12" ht="64" customHeight="1" x14ac:dyDescent="0.2">
      <c r="B24" s="144"/>
      <c r="C24" s="144"/>
      <c r="D24" s="146"/>
      <c r="E24" s="182"/>
      <c r="F24" s="23" t="s">
        <v>1013</v>
      </c>
      <c r="G24" s="41" t="s">
        <v>1006</v>
      </c>
      <c r="H24" s="35" t="s">
        <v>1014</v>
      </c>
      <c r="I24" s="28" t="s">
        <v>10</v>
      </c>
      <c r="J24" s="36"/>
      <c r="K24" s="37"/>
      <c r="L24" s="38"/>
    </row>
    <row r="25" spans="2:12" ht="54" customHeight="1" x14ac:dyDescent="0.2">
      <c r="B25" s="151" t="s">
        <v>84</v>
      </c>
      <c r="C25" s="151" t="s">
        <v>21</v>
      </c>
      <c r="D25" s="177" t="s">
        <v>1015</v>
      </c>
      <c r="E25" s="177" t="s">
        <v>2482</v>
      </c>
      <c r="F25" s="22" t="s">
        <v>1016</v>
      </c>
      <c r="G25" s="12" t="s">
        <v>110</v>
      </c>
      <c r="H25" s="34" t="s">
        <v>1017</v>
      </c>
      <c r="I25" s="28" t="s">
        <v>10</v>
      </c>
      <c r="J25" s="11"/>
      <c r="K25" s="33"/>
      <c r="L25" s="29"/>
    </row>
    <row r="26" spans="2:12" ht="54" customHeight="1" x14ac:dyDescent="0.2">
      <c r="B26" s="152"/>
      <c r="C26" s="152"/>
      <c r="D26" s="178"/>
      <c r="E26" s="178"/>
      <c r="F26" s="22" t="s">
        <v>1018</v>
      </c>
      <c r="G26" s="12" t="s">
        <v>110</v>
      </c>
      <c r="H26" s="34" t="s">
        <v>1019</v>
      </c>
      <c r="I26" s="28" t="s">
        <v>10</v>
      </c>
      <c r="J26" s="11"/>
      <c r="K26" s="33"/>
      <c r="L26" s="29"/>
    </row>
    <row r="27" spans="2:12" ht="54" customHeight="1" x14ac:dyDescent="0.2">
      <c r="B27" s="152"/>
      <c r="C27" s="152"/>
      <c r="D27" s="178"/>
      <c r="E27" s="178"/>
      <c r="F27" s="22" t="s">
        <v>1020</v>
      </c>
      <c r="G27" s="12" t="s">
        <v>110</v>
      </c>
      <c r="H27" s="34" t="s">
        <v>1021</v>
      </c>
      <c r="I27" s="28" t="s">
        <v>10</v>
      </c>
      <c r="J27" s="11"/>
      <c r="K27" s="33"/>
      <c r="L27" s="29"/>
    </row>
    <row r="28" spans="2:12" ht="54" customHeight="1" x14ac:dyDescent="0.2">
      <c r="B28" s="152"/>
      <c r="C28" s="152"/>
      <c r="D28" s="178"/>
      <c r="E28" s="178"/>
      <c r="F28" s="22" t="s">
        <v>1022</v>
      </c>
      <c r="G28" s="12" t="s">
        <v>110</v>
      </c>
      <c r="H28" s="34" t="s">
        <v>1023</v>
      </c>
      <c r="I28" s="28" t="s">
        <v>10</v>
      </c>
      <c r="J28" s="11"/>
      <c r="K28" s="33"/>
      <c r="L28" s="29"/>
    </row>
    <row r="29" spans="2:12" ht="54" customHeight="1" x14ac:dyDescent="0.2">
      <c r="B29" s="152"/>
      <c r="C29" s="152"/>
      <c r="D29" s="178"/>
      <c r="E29" s="178"/>
      <c r="F29" s="22" t="s">
        <v>1024</v>
      </c>
      <c r="G29" s="12" t="s">
        <v>39</v>
      </c>
      <c r="H29" s="34" t="s">
        <v>1025</v>
      </c>
      <c r="I29" s="28" t="s">
        <v>10</v>
      </c>
      <c r="J29" s="11"/>
      <c r="K29" s="33"/>
      <c r="L29" s="29"/>
    </row>
    <row r="30" spans="2:12" ht="54" customHeight="1" x14ac:dyDescent="0.2">
      <c r="B30" s="152"/>
      <c r="C30" s="152"/>
      <c r="D30" s="178"/>
      <c r="E30" s="178"/>
      <c r="F30" s="22" t="s">
        <v>1026</v>
      </c>
      <c r="G30" s="12" t="s">
        <v>110</v>
      </c>
      <c r="H30" s="34" t="s">
        <v>1027</v>
      </c>
      <c r="I30" s="28" t="s">
        <v>10</v>
      </c>
      <c r="J30" s="11"/>
      <c r="K30" s="33"/>
      <c r="L30" s="29"/>
    </row>
    <row r="31" spans="2:12" ht="54" customHeight="1" x14ac:dyDescent="0.2">
      <c r="B31" s="143" t="s">
        <v>84</v>
      </c>
      <c r="C31" s="143" t="s">
        <v>22</v>
      </c>
      <c r="D31" s="181" t="s">
        <v>1028</v>
      </c>
      <c r="E31" s="181" t="s">
        <v>1029</v>
      </c>
      <c r="F31" s="23" t="s">
        <v>1030</v>
      </c>
      <c r="G31" s="41" t="s">
        <v>110</v>
      </c>
      <c r="H31" s="35" t="s">
        <v>1031</v>
      </c>
      <c r="I31" s="28" t="s">
        <v>10</v>
      </c>
      <c r="J31" s="36"/>
      <c r="K31" s="37"/>
      <c r="L31" s="38"/>
    </row>
    <row r="32" spans="2:12" ht="54" customHeight="1" x14ac:dyDescent="0.2">
      <c r="B32" s="144"/>
      <c r="C32" s="144"/>
      <c r="D32" s="182"/>
      <c r="E32" s="182"/>
      <c r="F32" s="23" t="s">
        <v>1032</v>
      </c>
      <c r="G32" s="41" t="s">
        <v>110</v>
      </c>
      <c r="H32" s="35" t="s">
        <v>1033</v>
      </c>
      <c r="I32" s="28" t="s">
        <v>10</v>
      </c>
      <c r="J32" s="36"/>
      <c r="K32" s="37"/>
      <c r="L32" s="38"/>
    </row>
    <row r="33" spans="2:12" ht="54" customHeight="1" x14ac:dyDescent="0.2">
      <c r="B33" s="144"/>
      <c r="C33" s="144"/>
      <c r="D33" s="182"/>
      <c r="E33" s="182"/>
      <c r="F33" s="23" t="s">
        <v>1034</v>
      </c>
      <c r="G33" s="41" t="s">
        <v>110</v>
      </c>
      <c r="H33" s="35" t="s">
        <v>1035</v>
      </c>
      <c r="I33" s="28" t="s">
        <v>10</v>
      </c>
      <c r="J33" s="36"/>
      <c r="K33" s="37"/>
      <c r="L33" s="38"/>
    </row>
    <row r="34" spans="2:12" ht="54" customHeight="1" x14ac:dyDescent="0.2">
      <c r="B34" s="144"/>
      <c r="C34" s="144"/>
      <c r="D34" s="182"/>
      <c r="E34" s="182"/>
      <c r="F34" s="23" t="s">
        <v>1036</v>
      </c>
      <c r="G34" s="41" t="s">
        <v>36</v>
      </c>
      <c r="H34" s="35" t="s">
        <v>1037</v>
      </c>
      <c r="I34" s="28" t="s">
        <v>10</v>
      </c>
      <c r="J34" s="36"/>
      <c r="K34" s="37"/>
      <c r="L34" s="38"/>
    </row>
    <row r="35" spans="2:12" ht="54" customHeight="1" x14ac:dyDescent="0.2">
      <c r="B35" s="144"/>
      <c r="C35" s="144"/>
      <c r="D35" s="182"/>
      <c r="E35" s="182"/>
      <c r="F35" s="23" t="s">
        <v>1038</v>
      </c>
      <c r="G35" s="41" t="s">
        <v>110</v>
      </c>
      <c r="H35" s="35" t="s">
        <v>1039</v>
      </c>
      <c r="I35" s="28" t="s">
        <v>10</v>
      </c>
      <c r="J35" s="36"/>
      <c r="K35" s="37"/>
      <c r="L35" s="38"/>
    </row>
    <row r="36" spans="2:12" ht="54" customHeight="1" x14ac:dyDescent="0.2">
      <c r="B36" s="144"/>
      <c r="C36" s="144"/>
      <c r="D36" s="182"/>
      <c r="E36" s="182"/>
      <c r="F36" s="23" t="s">
        <v>1040</v>
      </c>
      <c r="G36" s="41" t="s">
        <v>110</v>
      </c>
      <c r="H36" s="35" t="s">
        <v>1041</v>
      </c>
      <c r="I36" s="28" t="s">
        <v>10</v>
      </c>
      <c r="J36" s="36"/>
      <c r="K36" s="37"/>
      <c r="L36" s="38"/>
    </row>
    <row r="37" spans="2:12" ht="54" customHeight="1" x14ac:dyDescent="0.2">
      <c r="B37" s="151" t="s">
        <v>84</v>
      </c>
      <c r="C37" s="151" t="s">
        <v>401</v>
      </c>
      <c r="D37" s="185" t="s">
        <v>1042</v>
      </c>
      <c r="E37" s="185" t="s">
        <v>2483</v>
      </c>
      <c r="F37" s="22" t="s">
        <v>1043</v>
      </c>
      <c r="G37" s="12" t="s">
        <v>36</v>
      </c>
      <c r="H37" s="34" t="s">
        <v>1044</v>
      </c>
      <c r="I37" s="28" t="s">
        <v>10</v>
      </c>
      <c r="J37" s="11"/>
      <c r="K37" s="33"/>
      <c r="L37" s="29"/>
    </row>
    <row r="38" spans="2:12" ht="54" customHeight="1" x14ac:dyDescent="0.2">
      <c r="B38" s="152"/>
      <c r="C38" s="152"/>
      <c r="D38" s="186"/>
      <c r="E38" s="186"/>
      <c r="F38" s="22" t="s">
        <v>1045</v>
      </c>
      <c r="G38" s="12" t="s">
        <v>37</v>
      </c>
      <c r="H38" s="34" t="s">
        <v>1046</v>
      </c>
      <c r="I38" s="28" t="s">
        <v>10</v>
      </c>
      <c r="J38" s="11"/>
      <c r="K38" s="33"/>
      <c r="L38" s="29"/>
    </row>
    <row r="39" spans="2:12" ht="54" customHeight="1" x14ac:dyDescent="0.2">
      <c r="B39" s="152"/>
      <c r="C39" s="152"/>
      <c r="D39" s="186"/>
      <c r="E39" s="186"/>
      <c r="F39" s="22" t="s">
        <v>1047</v>
      </c>
      <c r="G39" s="12" t="s">
        <v>35</v>
      </c>
      <c r="H39" s="34" t="s">
        <v>1048</v>
      </c>
      <c r="I39" s="28" t="s">
        <v>10</v>
      </c>
      <c r="J39" s="11"/>
      <c r="K39" s="33"/>
      <c r="L39" s="29"/>
    </row>
    <row r="40" spans="2:12" ht="54" customHeight="1" x14ac:dyDescent="0.2">
      <c r="B40" s="152"/>
      <c r="C40" s="152"/>
      <c r="D40" s="186"/>
      <c r="E40" s="186"/>
      <c r="F40" s="22" t="s">
        <v>1049</v>
      </c>
      <c r="G40" s="12" t="s">
        <v>39</v>
      </c>
      <c r="H40" s="34" t="s">
        <v>1050</v>
      </c>
      <c r="I40" s="28" t="s">
        <v>10</v>
      </c>
      <c r="J40" s="11"/>
      <c r="K40" s="33"/>
      <c r="L40" s="29"/>
    </row>
    <row r="41" spans="2:12" ht="54" customHeight="1" x14ac:dyDescent="0.2">
      <c r="B41" s="152"/>
      <c r="C41" s="152"/>
      <c r="D41" s="186"/>
      <c r="E41" s="186"/>
      <c r="F41" s="22" t="s">
        <v>1051</v>
      </c>
      <c r="G41" s="12" t="s">
        <v>43</v>
      </c>
      <c r="H41" s="34" t="s">
        <v>1052</v>
      </c>
      <c r="I41" s="28" t="s">
        <v>10</v>
      </c>
      <c r="J41" s="11"/>
      <c r="K41" s="33"/>
      <c r="L41" s="29"/>
    </row>
    <row r="42" spans="2:12" ht="54" customHeight="1" x14ac:dyDescent="0.2">
      <c r="B42" s="152"/>
      <c r="C42" s="152"/>
      <c r="D42" s="186"/>
      <c r="E42" s="186"/>
      <c r="F42" s="22" t="s">
        <v>1053</v>
      </c>
      <c r="G42" s="12" t="s">
        <v>36</v>
      </c>
      <c r="H42" s="34" t="s">
        <v>1054</v>
      </c>
      <c r="I42" s="28" t="s">
        <v>10</v>
      </c>
      <c r="J42" s="11"/>
      <c r="K42" s="33"/>
      <c r="L42" s="29"/>
    </row>
    <row r="43" spans="2:12" ht="83.5" customHeight="1" x14ac:dyDescent="0.2">
      <c r="B43" s="143" t="s">
        <v>84</v>
      </c>
      <c r="C43" s="143" t="s">
        <v>23</v>
      </c>
      <c r="D43" s="145" t="s">
        <v>1055</v>
      </c>
      <c r="E43" s="191" t="s">
        <v>2484</v>
      </c>
      <c r="F43" s="87" t="s">
        <v>1056</v>
      </c>
      <c r="G43" s="41" t="s">
        <v>36</v>
      </c>
      <c r="H43" s="87" t="s">
        <v>1057</v>
      </c>
      <c r="I43" s="28" t="s">
        <v>10</v>
      </c>
      <c r="J43" s="36"/>
      <c r="K43" s="37"/>
      <c r="L43" s="38"/>
    </row>
    <row r="44" spans="2:12" ht="83.5" customHeight="1" x14ac:dyDescent="0.2">
      <c r="B44" s="144"/>
      <c r="C44" s="144"/>
      <c r="D44" s="146"/>
      <c r="E44" s="192"/>
      <c r="F44" s="87" t="s">
        <v>1058</v>
      </c>
      <c r="G44" s="41" t="s">
        <v>844</v>
      </c>
      <c r="H44" s="87" t="s">
        <v>1059</v>
      </c>
      <c r="I44" s="28" t="s">
        <v>10</v>
      </c>
      <c r="J44" s="36"/>
      <c r="K44" s="37"/>
      <c r="L44" s="38"/>
    </row>
    <row r="45" spans="2:12" ht="83.5" customHeight="1" x14ac:dyDescent="0.2">
      <c r="B45" s="144"/>
      <c r="C45" s="144"/>
      <c r="D45" s="146"/>
      <c r="E45" s="192"/>
      <c r="F45" s="87" t="s">
        <v>1060</v>
      </c>
      <c r="G45" s="41" t="s">
        <v>39</v>
      </c>
      <c r="H45" s="87" t="s">
        <v>1061</v>
      </c>
      <c r="I45" s="28" t="s">
        <v>10</v>
      </c>
      <c r="J45" s="36"/>
      <c r="K45" s="37"/>
      <c r="L45" s="38"/>
    </row>
    <row r="46" spans="2:12" ht="83.5" customHeight="1" x14ac:dyDescent="0.2">
      <c r="B46" s="144"/>
      <c r="C46" s="144"/>
      <c r="D46" s="146"/>
      <c r="E46" s="192"/>
      <c r="F46" s="87" t="s">
        <v>1062</v>
      </c>
      <c r="G46" s="41" t="s">
        <v>35</v>
      </c>
      <c r="H46" s="87" t="s">
        <v>1063</v>
      </c>
      <c r="I46" s="28" t="s">
        <v>10</v>
      </c>
      <c r="J46" s="36"/>
      <c r="K46" s="37"/>
      <c r="L46" s="38"/>
    </row>
    <row r="47" spans="2:12" ht="83.5" customHeight="1" x14ac:dyDescent="0.2">
      <c r="B47" s="144"/>
      <c r="C47" s="144"/>
      <c r="D47" s="146"/>
      <c r="E47" s="192"/>
      <c r="F47" s="87" t="s">
        <v>1064</v>
      </c>
      <c r="G47" s="41" t="s">
        <v>36</v>
      </c>
      <c r="H47" s="87" t="s">
        <v>1065</v>
      </c>
      <c r="I47" s="28" t="s">
        <v>10</v>
      </c>
      <c r="J47" s="36"/>
      <c r="K47" s="37"/>
      <c r="L47" s="38"/>
    </row>
    <row r="48" spans="2:12" ht="54" customHeight="1" x14ac:dyDescent="0.2">
      <c r="B48" s="144"/>
      <c r="C48" s="144"/>
      <c r="D48" s="146"/>
      <c r="E48" s="192"/>
      <c r="F48" s="87" t="s">
        <v>1066</v>
      </c>
      <c r="G48" s="41" t="s">
        <v>36</v>
      </c>
      <c r="H48" s="35" t="s">
        <v>1067</v>
      </c>
      <c r="I48" s="28" t="s">
        <v>10</v>
      </c>
      <c r="J48" s="36"/>
      <c r="K48" s="37"/>
      <c r="L48" s="38"/>
    </row>
    <row r="49" spans="2:36" ht="5.25" customHeight="1" x14ac:dyDescent="0.2">
      <c r="M49" s="1"/>
      <c r="N49" s="1"/>
      <c r="O49" s="1"/>
      <c r="P49" s="1"/>
      <c r="Q49" s="1"/>
      <c r="R49" s="1"/>
      <c r="S49" s="1"/>
      <c r="T49" s="1"/>
      <c r="U49" s="1"/>
      <c r="V49" s="1"/>
      <c r="W49" s="1"/>
      <c r="X49" s="1"/>
      <c r="Y49" s="1"/>
      <c r="Z49" s="1"/>
      <c r="AA49" s="1"/>
      <c r="AB49" s="1"/>
      <c r="AC49" s="1"/>
      <c r="AD49" s="1"/>
      <c r="AE49" s="1"/>
      <c r="AF49" s="1"/>
      <c r="AG49" s="1"/>
      <c r="AH49" s="1"/>
      <c r="AI49" s="1"/>
      <c r="AJ49" s="1"/>
    </row>
    <row r="50" spans="2:36" ht="31" customHeight="1" x14ac:dyDescent="0.2">
      <c r="B50" s="69" t="s">
        <v>34</v>
      </c>
      <c r="C50" s="69" t="s">
        <v>258</v>
      </c>
      <c r="D50" s="69" t="s">
        <v>259</v>
      </c>
      <c r="E50" s="169" t="s">
        <v>32</v>
      </c>
      <c r="F50" s="170"/>
      <c r="G50" s="169" t="s">
        <v>16</v>
      </c>
      <c r="H50" s="170"/>
      <c r="I50" s="71" t="s">
        <v>8</v>
      </c>
      <c r="J50" s="69" t="s">
        <v>17</v>
      </c>
      <c r="K50" s="72" t="s">
        <v>44</v>
      </c>
      <c r="L50" s="69" t="s">
        <v>45</v>
      </c>
      <c r="M50" s="1"/>
      <c r="N50" s="1"/>
      <c r="O50" s="1"/>
      <c r="P50" s="1"/>
      <c r="Q50" s="1"/>
      <c r="R50" s="1"/>
      <c r="S50" s="1"/>
      <c r="T50" s="1"/>
      <c r="U50" s="1"/>
      <c r="V50" s="1"/>
      <c r="W50" s="1"/>
      <c r="X50" s="1"/>
      <c r="Y50" s="1"/>
      <c r="Z50" s="1"/>
      <c r="AA50" s="1"/>
      <c r="AB50" s="1"/>
      <c r="AC50" s="1"/>
      <c r="AD50" s="1"/>
      <c r="AE50" s="1"/>
      <c r="AF50" s="1"/>
      <c r="AG50" s="1"/>
      <c r="AH50" s="1"/>
      <c r="AI50" s="1"/>
      <c r="AJ50" s="1"/>
    </row>
    <row r="51" spans="2:36" ht="54" customHeight="1" x14ac:dyDescent="0.2">
      <c r="B51" s="151" t="s">
        <v>84</v>
      </c>
      <c r="C51" s="151" t="s">
        <v>260</v>
      </c>
      <c r="D51" s="177" t="s">
        <v>1068</v>
      </c>
      <c r="E51" s="129" t="s">
        <v>1344</v>
      </c>
      <c r="F51" s="130"/>
      <c r="G51" s="127" t="s">
        <v>1069</v>
      </c>
      <c r="H51" s="128"/>
      <c r="I51" s="28" t="s">
        <v>10</v>
      </c>
      <c r="J51" s="11"/>
      <c r="K51" s="33"/>
      <c r="L51" s="29"/>
    </row>
    <row r="52" spans="2:36" ht="54" customHeight="1" x14ac:dyDescent="0.2">
      <c r="B52" s="152"/>
      <c r="C52" s="152"/>
      <c r="D52" s="178"/>
      <c r="E52" s="131"/>
      <c r="F52" s="132"/>
      <c r="G52" s="127" t="s">
        <v>1070</v>
      </c>
      <c r="H52" s="128"/>
      <c r="I52" s="28" t="s">
        <v>10</v>
      </c>
      <c r="J52" s="11"/>
      <c r="K52" s="33"/>
      <c r="L52" s="29"/>
    </row>
    <row r="53" spans="2:36" ht="54" customHeight="1" x14ac:dyDescent="0.2">
      <c r="B53" s="173"/>
      <c r="C53" s="173"/>
      <c r="D53" s="179"/>
      <c r="E53" s="133"/>
      <c r="F53" s="134"/>
      <c r="G53" s="127" t="s">
        <v>1071</v>
      </c>
      <c r="H53" s="128"/>
      <c r="I53" s="28" t="s">
        <v>10</v>
      </c>
      <c r="J53" s="11"/>
      <c r="K53" s="33"/>
      <c r="L53" s="29"/>
    </row>
    <row r="54" spans="2:36" ht="66" customHeight="1" x14ac:dyDescent="0.2">
      <c r="B54" s="143" t="s">
        <v>84</v>
      </c>
      <c r="C54" s="143" t="s">
        <v>261</v>
      </c>
      <c r="D54" s="181" t="s">
        <v>1072</v>
      </c>
      <c r="E54" s="135" t="s">
        <v>1073</v>
      </c>
      <c r="F54" s="136"/>
      <c r="G54" s="141" t="s">
        <v>1074</v>
      </c>
      <c r="H54" s="142"/>
      <c r="I54" s="28" t="s">
        <v>10</v>
      </c>
      <c r="J54" s="36"/>
      <c r="K54" s="37"/>
      <c r="L54" s="38"/>
    </row>
    <row r="55" spans="2:36" ht="54" customHeight="1" x14ac:dyDescent="0.2">
      <c r="B55" s="144"/>
      <c r="C55" s="144"/>
      <c r="D55" s="182"/>
      <c r="E55" s="137"/>
      <c r="F55" s="138"/>
      <c r="G55" s="141" t="s">
        <v>1075</v>
      </c>
      <c r="H55" s="142"/>
      <c r="I55" s="28" t="s">
        <v>10</v>
      </c>
      <c r="J55" s="36"/>
      <c r="K55" s="37"/>
      <c r="L55" s="38"/>
    </row>
    <row r="56" spans="2:36" ht="66" customHeight="1" x14ac:dyDescent="0.2">
      <c r="B56" s="144"/>
      <c r="C56" s="180"/>
      <c r="D56" s="183"/>
      <c r="E56" s="139"/>
      <c r="F56" s="140"/>
      <c r="G56" s="141" t="s">
        <v>1076</v>
      </c>
      <c r="H56" s="142"/>
      <c r="I56" s="28" t="s">
        <v>10</v>
      </c>
      <c r="J56" s="36"/>
      <c r="K56" s="37"/>
      <c r="L56" s="38"/>
    </row>
    <row r="57" spans="2:36" ht="53" customHeight="1" x14ac:dyDescent="0.2">
      <c r="B57" s="151" t="s">
        <v>84</v>
      </c>
      <c r="C57" s="151" t="s">
        <v>262</v>
      </c>
      <c r="D57" s="177" t="s">
        <v>1077</v>
      </c>
      <c r="E57" s="129" t="s">
        <v>1078</v>
      </c>
      <c r="F57" s="130"/>
      <c r="G57" s="127" t="s">
        <v>1079</v>
      </c>
      <c r="H57" s="128"/>
      <c r="I57" s="28" t="s">
        <v>10</v>
      </c>
      <c r="J57" s="11"/>
      <c r="K57" s="33"/>
      <c r="L57" s="29"/>
    </row>
    <row r="58" spans="2:36" ht="53" customHeight="1" x14ac:dyDescent="0.2">
      <c r="B58" s="152"/>
      <c r="C58" s="152"/>
      <c r="D58" s="178"/>
      <c r="E58" s="131"/>
      <c r="F58" s="132"/>
      <c r="G58" s="127" t="s">
        <v>1080</v>
      </c>
      <c r="H58" s="128"/>
      <c r="I58" s="28" t="s">
        <v>10</v>
      </c>
      <c r="J58" s="11"/>
      <c r="K58" s="33"/>
      <c r="L58" s="29"/>
    </row>
    <row r="59" spans="2:36" ht="54" customHeight="1" x14ac:dyDescent="0.2">
      <c r="B59" s="152"/>
      <c r="C59" s="152"/>
      <c r="D59" s="178"/>
      <c r="E59" s="133"/>
      <c r="F59" s="134"/>
      <c r="G59" s="127" t="s">
        <v>1081</v>
      </c>
      <c r="H59" s="128"/>
      <c r="I59" s="28" t="s">
        <v>10</v>
      </c>
      <c r="J59" s="11"/>
      <c r="K59" s="33"/>
      <c r="L59" s="29"/>
    </row>
    <row r="60" spans="2:36" ht="83.5" customHeight="1" x14ac:dyDescent="0.2">
      <c r="B60" s="143" t="s">
        <v>84</v>
      </c>
      <c r="C60" s="143" t="s">
        <v>263</v>
      </c>
      <c r="D60" s="181" t="s">
        <v>1082</v>
      </c>
      <c r="E60" s="135" t="s">
        <v>1083</v>
      </c>
      <c r="F60" s="136"/>
      <c r="G60" s="141" t="s">
        <v>1084</v>
      </c>
      <c r="H60" s="142"/>
      <c r="I60" s="28" t="s">
        <v>10</v>
      </c>
      <c r="J60" s="36"/>
      <c r="K60" s="37"/>
      <c r="L60" s="38"/>
    </row>
    <row r="61" spans="2:36" ht="54" customHeight="1" x14ac:dyDescent="0.2">
      <c r="B61" s="144"/>
      <c r="C61" s="144"/>
      <c r="D61" s="182"/>
      <c r="E61" s="137"/>
      <c r="F61" s="138"/>
      <c r="G61" s="141" t="s">
        <v>1085</v>
      </c>
      <c r="H61" s="142"/>
      <c r="I61" s="28" t="s">
        <v>10</v>
      </c>
      <c r="J61" s="36"/>
      <c r="K61" s="37"/>
      <c r="L61" s="38"/>
    </row>
    <row r="62" spans="2:36" ht="77" customHeight="1" x14ac:dyDescent="0.2">
      <c r="B62" s="144"/>
      <c r="C62" s="180"/>
      <c r="D62" s="183"/>
      <c r="E62" s="139"/>
      <c r="F62" s="140"/>
      <c r="G62" s="141" t="s">
        <v>1086</v>
      </c>
      <c r="H62" s="142"/>
      <c r="I62" s="28" t="s">
        <v>10</v>
      </c>
      <c r="J62" s="36"/>
      <c r="K62" s="37"/>
      <c r="L62" s="38"/>
    </row>
    <row r="63" spans="2:36" ht="83.5" customHeight="1" x14ac:dyDescent="0.2">
      <c r="B63" s="151" t="s">
        <v>84</v>
      </c>
      <c r="C63" s="151" t="s">
        <v>267</v>
      </c>
      <c r="D63" s="177" t="s">
        <v>1087</v>
      </c>
      <c r="E63" s="129" t="s">
        <v>1088</v>
      </c>
      <c r="F63" s="130"/>
      <c r="G63" s="127" t="s">
        <v>1089</v>
      </c>
      <c r="H63" s="128"/>
      <c r="I63" s="28" t="s">
        <v>10</v>
      </c>
      <c r="J63" s="11"/>
      <c r="K63" s="33"/>
      <c r="L63" s="29"/>
    </row>
    <row r="64" spans="2:36" ht="54" customHeight="1" x14ac:dyDescent="0.2">
      <c r="B64" s="152"/>
      <c r="C64" s="152"/>
      <c r="D64" s="178"/>
      <c r="E64" s="131"/>
      <c r="F64" s="132"/>
      <c r="G64" s="127" t="s">
        <v>1090</v>
      </c>
      <c r="H64" s="128"/>
      <c r="I64" s="28" t="s">
        <v>10</v>
      </c>
      <c r="J64" s="11"/>
      <c r="K64" s="33"/>
      <c r="L64" s="29"/>
    </row>
    <row r="65" spans="2:12" ht="77" customHeight="1" x14ac:dyDescent="0.2">
      <c r="B65" s="173"/>
      <c r="C65" s="173"/>
      <c r="D65" s="179"/>
      <c r="E65" s="133"/>
      <c r="F65" s="134"/>
      <c r="G65" s="127" t="s">
        <v>2259</v>
      </c>
      <c r="H65" s="128"/>
      <c r="I65" s="28" t="s">
        <v>10</v>
      </c>
      <c r="J65" s="11"/>
      <c r="K65" s="33"/>
      <c r="L65" s="29"/>
    </row>
    <row r="66" spans="2:12" ht="60" customHeight="1" x14ac:dyDescent="0.2">
      <c r="B66" s="143" t="s">
        <v>84</v>
      </c>
      <c r="C66" s="143" t="s">
        <v>268</v>
      </c>
      <c r="D66" s="181" t="s">
        <v>1091</v>
      </c>
      <c r="E66" s="135" t="s">
        <v>1092</v>
      </c>
      <c r="F66" s="136"/>
      <c r="G66" s="141" t="s">
        <v>1093</v>
      </c>
      <c r="H66" s="142"/>
      <c r="I66" s="28" t="s">
        <v>10</v>
      </c>
      <c r="J66" s="36"/>
      <c r="K66" s="37"/>
      <c r="L66" s="38"/>
    </row>
    <row r="67" spans="2:12" ht="54" customHeight="1" x14ac:dyDescent="0.2">
      <c r="B67" s="144"/>
      <c r="C67" s="144"/>
      <c r="D67" s="182"/>
      <c r="E67" s="137"/>
      <c r="F67" s="138"/>
      <c r="G67" s="141" t="s">
        <v>1094</v>
      </c>
      <c r="H67" s="142"/>
      <c r="I67" s="28" t="s">
        <v>10</v>
      </c>
      <c r="J67" s="36"/>
      <c r="K67" s="37"/>
      <c r="L67" s="38"/>
    </row>
    <row r="68" spans="2:12" ht="77" customHeight="1" x14ac:dyDescent="0.2">
      <c r="B68" s="144"/>
      <c r="C68" s="180"/>
      <c r="D68" s="183"/>
      <c r="E68" s="139"/>
      <c r="F68" s="140"/>
      <c r="G68" s="141" t="s">
        <v>1095</v>
      </c>
      <c r="H68" s="142"/>
      <c r="I68" s="28" t="s">
        <v>10</v>
      </c>
      <c r="J68" s="36"/>
      <c r="K68" s="37"/>
      <c r="L68" s="38"/>
    </row>
    <row r="69" spans="2:12" ht="51" customHeight="1" x14ac:dyDescent="0.2">
      <c r="B69" s="151" t="s">
        <v>84</v>
      </c>
      <c r="C69" s="151" t="s">
        <v>988</v>
      </c>
      <c r="D69" s="177" t="s">
        <v>1096</v>
      </c>
      <c r="E69" s="129" t="s">
        <v>1097</v>
      </c>
      <c r="F69" s="130"/>
      <c r="G69" s="127" t="s">
        <v>1098</v>
      </c>
      <c r="H69" s="128"/>
      <c r="I69" s="28" t="s">
        <v>10</v>
      </c>
      <c r="J69" s="11"/>
      <c r="K69" s="33"/>
      <c r="L69" s="29"/>
    </row>
    <row r="70" spans="2:12" ht="54" customHeight="1" x14ac:dyDescent="0.2">
      <c r="B70" s="152"/>
      <c r="C70" s="152"/>
      <c r="D70" s="178"/>
      <c r="E70" s="131"/>
      <c r="F70" s="132"/>
      <c r="G70" s="127" t="s">
        <v>1099</v>
      </c>
      <c r="H70" s="128"/>
      <c r="I70" s="28" t="s">
        <v>10</v>
      </c>
      <c r="J70" s="11"/>
      <c r="K70" s="33"/>
      <c r="L70" s="29"/>
    </row>
    <row r="71" spans="2:12" ht="62" customHeight="1" x14ac:dyDescent="0.2">
      <c r="B71" s="173"/>
      <c r="C71" s="173"/>
      <c r="D71" s="179"/>
      <c r="E71" s="133"/>
      <c r="F71" s="134"/>
      <c r="G71" s="127" t="s">
        <v>1100</v>
      </c>
      <c r="H71" s="128"/>
      <c r="I71" s="28" t="s">
        <v>10</v>
      </c>
      <c r="J71" s="11"/>
      <c r="K71" s="33"/>
      <c r="L71" s="29"/>
    </row>
    <row r="72" spans="2:12" s="13" customFormat="1" x14ac:dyDescent="0.2">
      <c r="B72" s="3"/>
      <c r="C72" s="3"/>
      <c r="D72" s="3"/>
      <c r="E72" s="3"/>
      <c r="F72" s="89"/>
      <c r="G72" s="3"/>
      <c r="H72" s="89"/>
      <c r="I72" s="90"/>
      <c r="K72" s="31"/>
    </row>
    <row r="73" spans="2:12" s="13" customFormat="1" x14ac:dyDescent="0.2">
      <c r="B73" s="3"/>
      <c r="C73" s="3"/>
      <c r="D73" s="3"/>
      <c r="E73" s="3"/>
      <c r="F73" s="89"/>
      <c r="G73" s="3"/>
      <c r="H73" s="89"/>
      <c r="I73" s="90"/>
      <c r="K73" s="31"/>
    </row>
    <row r="74" spans="2:12" s="13" customFormat="1" x14ac:dyDescent="0.2">
      <c r="B74" s="3"/>
      <c r="C74" s="3"/>
      <c r="D74" s="3"/>
      <c r="E74" s="3"/>
      <c r="F74" s="89"/>
      <c r="G74" s="3"/>
      <c r="H74" s="89"/>
      <c r="I74" s="90"/>
      <c r="K74" s="31"/>
    </row>
    <row r="75" spans="2:12" s="13" customFormat="1" x14ac:dyDescent="0.2">
      <c r="B75" s="3"/>
      <c r="C75" s="3"/>
      <c r="D75" s="3"/>
      <c r="E75" s="3"/>
      <c r="F75" s="89"/>
      <c r="G75" s="3"/>
      <c r="H75" s="89"/>
      <c r="I75" s="90"/>
      <c r="K75" s="31"/>
    </row>
    <row r="76" spans="2:12" s="13" customFormat="1" x14ac:dyDescent="0.2">
      <c r="B76" s="3"/>
      <c r="C76" s="3"/>
      <c r="D76" s="3"/>
      <c r="E76" s="3"/>
      <c r="F76" s="89"/>
      <c r="G76" s="3"/>
      <c r="H76" s="89"/>
      <c r="I76" s="90"/>
      <c r="K76" s="31"/>
    </row>
    <row r="77" spans="2:12" s="13" customFormat="1" x14ac:dyDescent="0.2">
      <c r="B77" s="3"/>
      <c r="C77" s="3"/>
      <c r="D77" s="3"/>
      <c r="E77" s="3"/>
      <c r="F77" s="89"/>
      <c r="G77" s="3"/>
      <c r="H77" s="89"/>
      <c r="I77" s="90"/>
      <c r="K77" s="31"/>
    </row>
    <row r="78" spans="2:12" s="13" customFormat="1" x14ac:dyDescent="0.2">
      <c r="B78" s="3"/>
      <c r="C78" s="3"/>
      <c r="D78" s="3"/>
      <c r="E78" s="3"/>
      <c r="F78" s="89"/>
      <c r="G78" s="3"/>
      <c r="H78" s="89"/>
      <c r="I78" s="90"/>
      <c r="K78" s="31"/>
    </row>
    <row r="79" spans="2:12" s="13" customFormat="1" x14ac:dyDescent="0.2">
      <c r="B79" s="3"/>
      <c r="C79" s="3"/>
      <c r="D79" s="3"/>
      <c r="E79" s="3"/>
      <c r="F79" s="89"/>
      <c r="G79" s="3"/>
      <c r="H79" s="89"/>
      <c r="I79" s="90"/>
      <c r="K79" s="31"/>
    </row>
    <row r="80" spans="2:12" s="13" customFormat="1" x14ac:dyDescent="0.2">
      <c r="B80" s="3"/>
      <c r="C80" s="3"/>
      <c r="D80" s="3"/>
      <c r="E80" s="3"/>
      <c r="F80" s="89"/>
      <c r="G80" s="3"/>
      <c r="H80" s="89"/>
      <c r="I80" s="90"/>
      <c r="K80" s="31"/>
    </row>
    <row r="81" spans="2:11" s="13" customFormat="1" x14ac:dyDescent="0.2">
      <c r="B81" s="3"/>
      <c r="C81" s="3"/>
      <c r="D81" s="3"/>
      <c r="E81" s="3"/>
      <c r="F81" s="89"/>
      <c r="G81" s="3"/>
      <c r="H81" s="89"/>
      <c r="I81" s="90"/>
      <c r="K81" s="31"/>
    </row>
    <row r="82" spans="2:11" s="13" customFormat="1" x14ac:dyDescent="0.2">
      <c r="B82" s="3"/>
      <c r="C82" s="3"/>
      <c r="D82" s="3"/>
      <c r="E82" s="3"/>
      <c r="F82" s="89"/>
      <c r="G82" s="3"/>
      <c r="H82" s="89"/>
      <c r="I82" s="90"/>
      <c r="K82" s="31"/>
    </row>
    <row r="83" spans="2:11" s="13" customFormat="1" x14ac:dyDescent="0.2">
      <c r="B83" s="3"/>
      <c r="C83" s="3"/>
      <c r="D83" s="3"/>
      <c r="E83" s="3"/>
      <c r="F83" s="89"/>
      <c r="G83" s="3"/>
      <c r="H83" s="89"/>
      <c r="I83" s="90"/>
      <c r="K83" s="31"/>
    </row>
    <row r="84" spans="2:11" s="13" customFormat="1" x14ac:dyDescent="0.2">
      <c r="B84" s="3"/>
      <c r="C84" s="3"/>
      <c r="D84" s="3"/>
      <c r="E84" s="3"/>
      <c r="F84" s="89"/>
      <c r="G84" s="3"/>
      <c r="H84" s="89"/>
      <c r="I84" s="90"/>
      <c r="K84" s="31"/>
    </row>
    <row r="85" spans="2:11" s="13" customFormat="1" x14ac:dyDescent="0.2">
      <c r="B85" s="3"/>
      <c r="C85" s="3"/>
      <c r="D85" s="3"/>
      <c r="E85" s="3"/>
      <c r="F85" s="89"/>
      <c r="G85" s="3"/>
      <c r="H85" s="89"/>
      <c r="I85" s="90"/>
      <c r="K85" s="31"/>
    </row>
    <row r="86" spans="2:11" s="13" customFormat="1" x14ac:dyDescent="0.2">
      <c r="B86" s="3"/>
      <c r="C86" s="3"/>
      <c r="D86" s="3"/>
      <c r="E86" s="3"/>
      <c r="F86" s="89"/>
      <c r="G86" s="3"/>
      <c r="H86" s="89"/>
      <c r="I86" s="90"/>
      <c r="K86" s="31"/>
    </row>
    <row r="87" spans="2:11" s="13" customFormat="1" x14ac:dyDescent="0.2">
      <c r="B87" s="3"/>
      <c r="C87" s="3"/>
      <c r="D87" s="3"/>
      <c r="E87" s="3"/>
      <c r="F87" s="89"/>
      <c r="G87" s="3"/>
      <c r="H87" s="89"/>
      <c r="I87" s="90"/>
      <c r="K87" s="31"/>
    </row>
    <row r="88" spans="2:11" s="13" customFormat="1" x14ac:dyDescent="0.2">
      <c r="B88" s="3"/>
      <c r="C88" s="3"/>
      <c r="D88" s="3"/>
      <c r="E88" s="3"/>
      <c r="F88" s="89"/>
      <c r="G88" s="3"/>
      <c r="H88" s="89"/>
      <c r="I88" s="90"/>
      <c r="K88" s="31"/>
    </row>
    <row r="89" spans="2:11" s="13" customFormat="1" x14ac:dyDescent="0.2">
      <c r="B89" s="3"/>
      <c r="C89" s="3"/>
      <c r="D89" s="3"/>
      <c r="E89" s="3"/>
      <c r="F89" s="89"/>
      <c r="G89" s="3"/>
      <c r="H89" s="89"/>
      <c r="I89" s="90"/>
      <c r="K89" s="31"/>
    </row>
    <row r="90" spans="2:11" s="13" customFormat="1" x14ac:dyDescent="0.2">
      <c r="B90" s="3"/>
      <c r="C90" s="3"/>
      <c r="D90" s="3"/>
      <c r="E90" s="3"/>
      <c r="F90" s="89"/>
      <c r="G90" s="3"/>
      <c r="H90" s="89"/>
      <c r="I90" s="90"/>
      <c r="K90" s="31"/>
    </row>
    <row r="91" spans="2:11" s="13" customFormat="1" x14ac:dyDescent="0.2">
      <c r="B91" s="3"/>
      <c r="C91" s="3"/>
      <c r="D91" s="3"/>
      <c r="E91" s="3"/>
      <c r="F91" s="89"/>
      <c r="G91" s="3"/>
      <c r="H91" s="89"/>
      <c r="I91" s="90"/>
      <c r="K91" s="31"/>
    </row>
    <row r="92" spans="2:11" s="13" customFormat="1" x14ac:dyDescent="0.2">
      <c r="B92" s="3"/>
      <c r="C92" s="3"/>
      <c r="D92" s="3"/>
      <c r="E92" s="3"/>
      <c r="F92" s="89"/>
      <c r="G92" s="3"/>
      <c r="H92" s="89"/>
      <c r="I92" s="90"/>
      <c r="K92" s="31"/>
    </row>
    <row r="93" spans="2:11" s="13" customFormat="1" x14ac:dyDescent="0.2">
      <c r="B93" s="3"/>
      <c r="C93" s="3"/>
      <c r="D93" s="3"/>
      <c r="E93" s="3"/>
      <c r="F93" s="89"/>
      <c r="G93" s="3"/>
      <c r="H93" s="89"/>
      <c r="I93" s="90"/>
      <c r="K93" s="31"/>
    </row>
    <row r="94" spans="2:11" s="13" customFormat="1" x14ac:dyDescent="0.2">
      <c r="B94" s="3"/>
      <c r="C94" s="3"/>
      <c r="D94" s="3"/>
      <c r="E94" s="3"/>
      <c r="F94" s="89"/>
      <c r="G94" s="3"/>
      <c r="H94" s="89"/>
      <c r="I94" s="90"/>
      <c r="K94" s="31"/>
    </row>
    <row r="95" spans="2:11" s="13" customFormat="1" x14ac:dyDescent="0.2">
      <c r="B95" s="3"/>
      <c r="C95" s="3"/>
      <c r="D95" s="3"/>
      <c r="E95" s="3"/>
      <c r="F95" s="89"/>
      <c r="G95" s="3"/>
      <c r="H95" s="89"/>
      <c r="I95" s="90"/>
      <c r="K95" s="31"/>
    </row>
    <row r="96" spans="2:11" s="13" customFormat="1" x14ac:dyDescent="0.2">
      <c r="B96" s="3"/>
      <c r="C96" s="3"/>
      <c r="D96" s="3"/>
      <c r="E96" s="3"/>
      <c r="F96" s="89"/>
      <c r="G96" s="3"/>
      <c r="H96" s="89"/>
      <c r="I96" s="90"/>
      <c r="K96" s="31"/>
    </row>
    <row r="97" spans="2:11" s="13" customFormat="1" x14ac:dyDescent="0.2">
      <c r="B97" s="3"/>
      <c r="C97" s="3"/>
      <c r="D97" s="3"/>
      <c r="E97" s="3"/>
      <c r="F97" s="89"/>
      <c r="G97" s="3"/>
      <c r="H97" s="89"/>
      <c r="I97" s="90"/>
      <c r="K97" s="31"/>
    </row>
    <row r="98" spans="2:11" s="13" customFormat="1" x14ac:dyDescent="0.2">
      <c r="B98" s="3"/>
      <c r="C98" s="3"/>
      <c r="D98" s="3"/>
      <c r="E98" s="3"/>
      <c r="F98" s="89"/>
      <c r="G98" s="3"/>
      <c r="H98" s="89"/>
      <c r="I98" s="90"/>
      <c r="K98" s="31"/>
    </row>
    <row r="99" spans="2:11" s="13" customFormat="1" x14ac:dyDescent="0.2">
      <c r="B99" s="3"/>
      <c r="C99" s="3"/>
      <c r="D99" s="3"/>
      <c r="E99" s="3"/>
      <c r="F99" s="89"/>
      <c r="G99" s="3"/>
      <c r="H99" s="89"/>
      <c r="I99" s="90"/>
      <c r="K99" s="31"/>
    </row>
    <row r="100" spans="2:11" s="13" customFormat="1" x14ac:dyDescent="0.2">
      <c r="B100" s="3"/>
      <c r="C100" s="3"/>
      <c r="D100" s="3"/>
      <c r="E100" s="3"/>
      <c r="F100" s="89"/>
      <c r="G100" s="3"/>
      <c r="H100" s="89"/>
      <c r="I100" s="90"/>
      <c r="K100" s="31"/>
    </row>
    <row r="101" spans="2:11" s="13" customFormat="1" x14ac:dyDescent="0.2">
      <c r="B101" s="3"/>
      <c r="C101" s="3"/>
      <c r="D101" s="3"/>
      <c r="E101" s="3"/>
      <c r="F101" s="89"/>
      <c r="G101" s="3"/>
      <c r="H101" s="89"/>
      <c r="I101" s="90"/>
      <c r="K101" s="31"/>
    </row>
    <row r="102" spans="2:11" s="13" customFormat="1" x14ac:dyDescent="0.2">
      <c r="B102" s="3"/>
      <c r="C102" s="3"/>
      <c r="D102" s="3"/>
      <c r="E102" s="3"/>
      <c r="F102" s="89"/>
      <c r="G102" s="3"/>
      <c r="H102" s="89"/>
      <c r="I102" s="90"/>
      <c r="K102" s="31"/>
    </row>
    <row r="103" spans="2:11" s="13" customFormat="1" x14ac:dyDescent="0.2">
      <c r="B103" s="3"/>
      <c r="C103" s="3"/>
      <c r="D103" s="3"/>
      <c r="E103" s="3"/>
      <c r="F103" s="89"/>
      <c r="G103" s="3"/>
      <c r="H103" s="89"/>
      <c r="I103" s="90"/>
      <c r="K103" s="31"/>
    </row>
    <row r="104" spans="2:11" s="13" customFormat="1" x14ac:dyDescent="0.2">
      <c r="B104" s="3"/>
      <c r="C104" s="3"/>
      <c r="D104" s="3"/>
      <c r="E104" s="3"/>
      <c r="F104" s="89"/>
      <c r="G104" s="3"/>
      <c r="H104" s="89"/>
      <c r="I104" s="90"/>
      <c r="K104" s="31"/>
    </row>
    <row r="105" spans="2:11" s="13" customFormat="1" x14ac:dyDescent="0.2">
      <c r="B105" s="3"/>
      <c r="C105" s="3"/>
      <c r="D105" s="3"/>
      <c r="E105" s="3"/>
      <c r="F105" s="89"/>
      <c r="G105" s="3"/>
      <c r="H105" s="89"/>
      <c r="I105" s="90"/>
      <c r="K105" s="31"/>
    </row>
    <row r="106" spans="2:11" s="13" customFormat="1" x14ac:dyDescent="0.2">
      <c r="B106" s="3"/>
      <c r="C106" s="3"/>
      <c r="D106" s="3"/>
      <c r="E106" s="3"/>
      <c r="F106" s="89"/>
      <c r="G106" s="3"/>
      <c r="H106" s="89"/>
      <c r="I106" s="90"/>
      <c r="K106" s="31"/>
    </row>
    <row r="107" spans="2:11" s="13" customFormat="1" x14ac:dyDescent="0.2">
      <c r="B107" s="3"/>
      <c r="C107" s="3"/>
      <c r="D107" s="3"/>
      <c r="E107" s="3"/>
      <c r="F107" s="89"/>
      <c r="G107" s="3"/>
      <c r="H107" s="89"/>
      <c r="I107" s="90"/>
      <c r="K107" s="31"/>
    </row>
    <row r="108" spans="2:11" s="13" customFormat="1" x14ac:dyDescent="0.2">
      <c r="B108" s="3"/>
      <c r="C108" s="3"/>
      <c r="D108" s="3"/>
      <c r="E108" s="3"/>
      <c r="F108" s="89"/>
      <c r="G108" s="3"/>
      <c r="H108" s="89"/>
      <c r="I108" s="90"/>
      <c r="K108" s="31"/>
    </row>
    <row r="109" spans="2:11" s="13" customFormat="1" x14ac:dyDescent="0.2">
      <c r="B109" s="3"/>
      <c r="C109" s="3"/>
      <c r="D109" s="3"/>
      <c r="E109" s="3"/>
      <c r="F109" s="89"/>
      <c r="G109" s="3"/>
      <c r="H109" s="89"/>
      <c r="I109" s="90"/>
      <c r="K109" s="31"/>
    </row>
    <row r="110" spans="2:11" s="13" customFormat="1" x14ac:dyDescent="0.2">
      <c r="B110" s="3"/>
      <c r="C110" s="3"/>
      <c r="D110" s="3"/>
      <c r="E110" s="3"/>
      <c r="F110" s="89"/>
      <c r="G110" s="3"/>
      <c r="H110" s="89"/>
      <c r="I110" s="90"/>
      <c r="K110" s="31"/>
    </row>
    <row r="111" spans="2:11" s="13" customFormat="1" x14ac:dyDescent="0.2">
      <c r="B111" s="3"/>
      <c r="C111" s="3"/>
      <c r="D111" s="3"/>
      <c r="E111" s="3"/>
      <c r="F111" s="89"/>
      <c r="G111" s="3"/>
      <c r="H111" s="89"/>
      <c r="I111" s="90"/>
      <c r="K111" s="31"/>
    </row>
    <row r="112" spans="2:11" s="13" customFormat="1" x14ac:dyDescent="0.2">
      <c r="B112" s="3"/>
      <c r="C112" s="3"/>
      <c r="D112" s="3"/>
      <c r="E112" s="3"/>
      <c r="F112" s="89"/>
      <c r="G112" s="3"/>
      <c r="H112" s="89"/>
      <c r="I112" s="90"/>
      <c r="K112" s="31"/>
    </row>
    <row r="113" spans="2:11" s="13" customFormat="1" x14ac:dyDescent="0.2">
      <c r="B113" s="3"/>
      <c r="C113" s="3"/>
      <c r="D113" s="3"/>
      <c r="E113" s="3"/>
      <c r="F113" s="89"/>
      <c r="G113" s="3"/>
      <c r="H113" s="89"/>
      <c r="I113" s="90"/>
      <c r="K113" s="31"/>
    </row>
    <row r="114" spans="2:11" s="13" customFormat="1" x14ac:dyDescent="0.2">
      <c r="B114" s="3"/>
      <c r="C114" s="3"/>
      <c r="D114" s="3"/>
      <c r="E114" s="3"/>
      <c r="F114" s="89"/>
      <c r="G114" s="3"/>
      <c r="H114" s="89"/>
      <c r="I114" s="90"/>
      <c r="K114" s="31"/>
    </row>
    <row r="115" spans="2:11" s="13" customFormat="1" x14ac:dyDescent="0.2">
      <c r="B115" s="3"/>
      <c r="C115" s="3"/>
      <c r="D115" s="3"/>
      <c r="E115" s="3"/>
      <c r="F115" s="89"/>
      <c r="G115" s="3"/>
      <c r="H115" s="89"/>
      <c r="I115" s="90"/>
      <c r="K115" s="31"/>
    </row>
    <row r="116" spans="2:11" s="13" customFormat="1" x14ac:dyDescent="0.2">
      <c r="B116" s="3"/>
      <c r="C116" s="3"/>
      <c r="D116" s="3"/>
      <c r="E116" s="3"/>
      <c r="F116" s="89"/>
      <c r="G116" s="3"/>
      <c r="H116" s="89"/>
      <c r="I116" s="90"/>
      <c r="K116" s="31"/>
    </row>
    <row r="117" spans="2:11" s="13" customFormat="1" x14ac:dyDescent="0.2">
      <c r="B117" s="3"/>
      <c r="C117" s="3"/>
      <c r="D117" s="3"/>
      <c r="E117" s="3"/>
      <c r="F117" s="89"/>
      <c r="G117" s="3"/>
      <c r="H117" s="89"/>
      <c r="I117" s="90"/>
      <c r="K117" s="31"/>
    </row>
    <row r="118" spans="2:11" s="13" customFormat="1" x14ac:dyDescent="0.2">
      <c r="B118" s="3"/>
      <c r="C118" s="3"/>
      <c r="D118" s="3"/>
      <c r="E118" s="3"/>
      <c r="F118" s="89"/>
      <c r="G118" s="3"/>
      <c r="H118" s="89"/>
      <c r="I118" s="90"/>
      <c r="K118" s="31"/>
    </row>
    <row r="119" spans="2:11" s="13" customFormat="1" x14ac:dyDescent="0.2">
      <c r="B119" s="3"/>
      <c r="C119" s="3"/>
      <c r="D119" s="3"/>
      <c r="E119" s="3"/>
      <c r="F119" s="89"/>
      <c r="G119" s="3"/>
      <c r="H119" s="89"/>
      <c r="I119" s="90"/>
      <c r="K119" s="31"/>
    </row>
    <row r="120" spans="2:11" s="13" customFormat="1" x14ac:dyDescent="0.2">
      <c r="B120" s="3"/>
      <c r="C120" s="3"/>
      <c r="D120" s="3"/>
      <c r="E120" s="3"/>
      <c r="F120" s="89"/>
      <c r="G120" s="3"/>
      <c r="H120" s="89"/>
      <c r="I120" s="90"/>
      <c r="K120" s="31"/>
    </row>
    <row r="121" spans="2:11" s="13" customFormat="1" x14ac:dyDescent="0.2">
      <c r="B121" s="3"/>
      <c r="C121" s="3"/>
      <c r="D121" s="3"/>
      <c r="E121" s="3"/>
      <c r="F121" s="89"/>
      <c r="G121" s="3"/>
      <c r="H121" s="89"/>
      <c r="I121" s="90"/>
      <c r="K121" s="31"/>
    </row>
    <row r="122" spans="2:11" s="13" customFormat="1" x14ac:dyDescent="0.2">
      <c r="B122" s="3"/>
      <c r="C122" s="3"/>
      <c r="D122" s="3"/>
      <c r="E122" s="3"/>
      <c r="F122" s="89"/>
      <c r="G122" s="3"/>
      <c r="H122" s="89"/>
      <c r="I122" s="90"/>
      <c r="K122" s="31"/>
    </row>
    <row r="123" spans="2:11" s="13" customFormat="1" x14ac:dyDescent="0.2">
      <c r="B123" s="3"/>
      <c r="C123" s="3"/>
      <c r="D123" s="3"/>
      <c r="E123" s="3"/>
      <c r="F123" s="89"/>
      <c r="G123" s="3"/>
      <c r="H123" s="89"/>
      <c r="I123" s="90"/>
      <c r="K123" s="31"/>
    </row>
    <row r="124" spans="2:11" s="13" customFormat="1" x14ac:dyDescent="0.2">
      <c r="B124" s="3"/>
      <c r="C124" s="3"/>
      <c r="D124" s="3"/>
      <c r="E124" s="3"/>
      <c r="F124" s="89"/>
      <c r="G124" s="3"/>
      <c r="H124" s="89"/>
      <c r="I124" s="90"/>
      <c r="K124" s="31"/>
    </row>
    <row r="125" spans="2:11" s="13" customFormat="1" x14ac:dyDescent="0.2">
      <c r="B125" s="3"/>
      <c r="C125" s="3"/>
      <c r="D125" s="3"/>
      <c r="E125" s="3"/>
      <c r="F125" s="89"/>
      <c r="G125" s="3"/>
      <c r="H125" s="89"/>
      <c r="I125" s="90"/>
      <c r="K125" s="31"/>
    </row>
    <row r="126" spans="2:11" s="13" customFormat="1" x14ac:dyDescent="0.2">
      <c r="B126" s="3"/>
      <c r="C126" s="3"/>
      <c r="D126" s="3"/>
      <c r="E126" s="3"/>
      <c r="F126" s="89"/>
      <c r="G126" s="3"/>
      <c r="H126" s="89"/>
      <c r="I126" s="90"/>
      <c r="K126" s="31"/>
    </row>
    <row r="127" spans="2:11" s="13" customFormat="1" x14ac:dyDescent="0.2">
      <c r="B127" s="3"/>
      <c r="C127" s="3"/>
      <c r="D127" s="3"/>
      <c r="E127" s="3"/>
      <c r="F127" s="89"/>
      <c r="G127" s="3"/>
      <c r="H127" s="89"/>
      <c r="I127" s="90"/>
      <c r="K127" s="31"/>
    </row>
    <row r="128" spans="2:11" s="13" customFormat="1" x14ac:dyDescent="0.2">
      <c r="B128" s="3"/>
      <c r="C128" s="3"/>
      <c r="D128" s="3"/>
      <c r="E128" s="3"/>
      <c r="F128" s="89"/>
      <c r="G128" s="3"/>
      <c r="H128" s="89"/>
      <c r="I128" s="90"/>
      <c r="K128" s="31"/>
    </row>
    <row r="129" spans="2:11" s="13" customFormat="1" x14ac:dyDescent="0.2">
      <c r="B129" s="3"/>
      <c r="C129" s="3"/>
      <c r="D129" s="3"/>
      <c r="E129" s="3"/>
      <c r="F129" s="89"/>
      <c r="G129" s="3"/>
      <c r="H129" s="89"/>
      <c r="I129" s="90"/>
      <c r="K129" s="31"/>
    </row>
    <row r="130" spans="2:11" s="13" customFormat="1" x14ac:dyDescent="0.2">
      <c r="B130" s="3"/>
      <c r="C130" s="3"/>
      <c r="D130" s="3"/>
      <c r="E130" s="3"/>
      <c r="F130" s="89"/>
      <c r="G130" s="3"/>
      <c r="H130" s="89"/>
      <c r="I130" s="90"/>
      <c r="K130" s="31"/>
    </row>
    <row r="131" spans="2:11" s="13" customFormat="1" x14ac:dyDescent="0.2">
      <c r="B131" s="3"/>
      <c r="C131" s="3"/>
      <c r="D131" s="3"/>
      <c r="E131" s="3"/>
      <c r="F131" s="89"/>
      <c r="G131" s="3"/>
      <c r="H131" s="89"/>
      <c r="I131" s="90"/>
      <c r="K131" s="31"/>
    </row>
    <row r="132" spans="2:11" s="13" customFormat="1" x14ac:dyDescent="0.2">
      <c r="B132" s="3"/>
      <c r="C132" s="3"/>
      <c r="D132" s="3"/>
      <c r="E132" s="3"/>
      <c r="F132" s="89"/>
      <c r="G132" s="3"/>
      <c r="H132" s="89"/>
      <c r="I132" s="90"/>
      <c r="K132" s="31"/>
    </row>
    <row r="133" spans="2:11" s="13" customFormat="1" x14ac:dyDescent="0.2">
      <c r="B133" s="3"/>
      <c r="C133" s="3"/>
      <c r="D133" s="3"/>
      <c r="E133" s="3"/>
      <c r="F133" s="89"/>
      <c r="G133" s="3"/>
      <c r="H133" s="89"/>
      <c r="I133" s="90"/>
      <c r="K133" s="31"/>
    </row>
    <row r="134" spans="2:11" s="13" customFormat="1" x14ac:dyDescent="0.2">
      <c r="B134" s="3"/>
      <c r="C134" s="3"/>
      <c r="D134" s="3"/>
      <c r="E134" s="3"/>
      <c r="F134" s="89"/>
      <c r="G134" s="3"/>
      <c r="H134" s="89"/>
      <c r="I134" s="90"/>
      <c r="K134" s="31"/>
    </row>
    <row r="135" spans="2:11" s="13" customFormat="1" x14ac:dyDescent="0.2">
      <c r="B135" s="3"/>
      <c r="C135" s="3"/>
      <c r="D135" s="3"/>
      <c r="E135" s="3"/>
      <c r="F135" s="89"/>
      <c r="G135" s="3"/>
      <c r="H135" s="89"/>
      <c r="I135" s="90"/>
      <c r="K135" s="31"/>
    </row>
    <row r="136" spans="2:11" s="13" customFormat="1" x14ac:dyDescent="0.2">
      <c r="B136" s="3"/>
      <c r="C136" s="3"/>
      <c r="D136" s="3"/>
      <c r="E136" s="3"/>
      <c r="F136" s="89"/>
      <c r="G136" s="3"/>
      <c r="H136" s="89"/>
      <c r="I136" s="90"/>
      <c r="K136" s="31"/>
    </row>
    <row r="137" spans="2:11" s="13" customFormat="1" x14ac:dyDescent="0.2">
      <c r="B137" s="3"/>
      <c r="C137" s="3"/>
      <c r="D137" s="3"/>
      <c r="E137" s="3"/>
      <c r="F137" s="89"/>
      <c r="G137" s="3"/>
      <c r="H137" s="89"/>
      <c r="I137" s="90"/>
      <c r="K137" s="31"/>
    </row>
    <row r="138" spans="2:11" s="13" customFormat="1" x14ac:dyDescent="0.2">
      <c r="B138" s="3"/>
      <c r="C138" s="3"/>
      <c r="D138" s="3"/>
      <c r="E138" s="3"/>
      <c r="F138" s="89"/>
      <c r="G138" s="3"/>
      <c r="H138" s="89"/>
      <c r="I138" s="90"/>
      <c r="K138" s="31"/>
    </row>
    <row r="139" spans="2:11" s="13" customFormat="1" x14ac:dyDescent="0.2">
      <c r="B139" s="3"/>
      <c r="C139" s="3"/>
      <c r="D139" s="3"/>
      <c r="E139" s="3"/>
      <c r="F139" s="89"/>
      <c r="G139" s="3"/>
      <c r="H139" s="89"/>
      <c r="I139" s="90"/>
      <c r="K139" s="31"/>
    </row>
    <row r="140" spans="2:11" s="13" customFormat="1" x14ac:dyDescent="0.2">
      <c r="B140" s="3"/>
      <c r="C140" s="3"/>
      <c r="D140" s="3"/>
      <c r="E140" s="3"/>
      <c r="F140" s="89"/>
      <c r="G140" s="3"/>
      <c r="H140" s="89"/>
      <c r="I140" s="90"/>
      <c r="K140" s="31"/>
    </row>
    <row r="141" spans="2:11" s="13" customFormat="1" x14ac:dyDescent="0.2">
      <c r="B141" s="3"/>
      <c r="C141" s="3"/>
      <c r="D141" s="3"/>
      <c r="E141" s="3"/>
      <c r="F141" s="89"/>
      <c r="G141" s="3"/>
      <c r="H141" s="89"/>
      <c r="I141" s="90"/>
      <c r="K141" s="31"/>
    </row>
    <row r="142" spans="2:11" s="13" customFormat="1" x14ac:dyDescent="0.2">
      <c r="B142" s="3"/>
      <c r="C142" s="3"/>
      <c r="D142" s="3"/>
      <c r="E142" s="3"/>
      <c r="F142" s="89"/>
      <c r="G142" s="3"/>
      <c r="H142" s="89"/>
      <c r="I142" s="90"/>
      <c r="K142" s="31"/>
    </row>
    <row r="143" spans="2:11" s="13" customFormat="1" x14ac:dyDescent="0.2">
      <c r="B143" s="3"/>
      <c r="C143" s="3"/>
      <c r="D143" s="3"/>
      <c r="E143" s="3"/>
      <c r="F143" s="89"/>
      <c r="G143" s="3"/>
      <c r="H143" s="89"/>
      <c r="I143" s="90"/>
      <c r="K143" s="31"/>
    </row>
    <row r="144" spans="2:11" s="13" customFormat="1" x14ac:dyDescent="0.2">
      <c r="B144" s="3"/>
      <c r="C144" s="3"/>
      <c r="D144" s="3"/>
      <c r="E144" s="3"/>
      <c r="F144" s="89"/>
      <c r="G144" s="3"/>
      <c r="H144" s="89"/>
      <c r="I144" s="90"/>
      <c r="K144" s="31"/>
    </row>
    <row r="145" spans="2:11" s="13" customFormat="1" x14ac:dyDescent="0.2">
      <c r="B145" s="3"/>
      <c r="C145" s="3"/>
      <c r="D145" s="3"/>
      <c r="E145" s="3"/>
      <c r="F145" s="89"/>
      <c r="G145" s="3"/>
      <c r="H145" s="89"/>
      <c r="I145" s="90"/>
      <c r="K145" s="31"/>
    </row>
    <row r="146" spans="2:11" s="13" customFormat="1" x14ac:dyDescent="0.2">
      <c r="B146" s="3"/>
      <c r="C146" s="3"/>
      <c r="D146" s="3"/>
      <c r="E146" s="3"/>
      <c r="F146" s="89"/>
      <c r="G146" s="3"/>
      <c r="H146" s="89"/>
      <c r="I146" s="90"/>
      <c r="K146" s="31"/>
    </row>
    <row r="147" spans="2:11" s="13" customFormat="1" x14ac:dyDescent="0.2">
      <c r="B147" s="3"/>
      <c r="C147" s="3"/>
      <c r="D147" s="3"/>
      <c r="E147" s="3"/>
      <c r="F147" s="89"/>
      <c r="G147" s="3"/>
      <c r="H147" s="89"/>
      <c r="I147" s="90"/>
      <c r="K147" s="31"/>
    </row>
    <row r="148" spans="2:11" s="13" customFormat="1" x14ac:dyDescent="0.2">
      <c r="B148" s="3"/>
      <c r="C148" s="3"/>
      <c r="D148" s="3"/>
      <c r="E148" s="3"/>
      <c r="F148" s="89"/>
      <c r="G148" s="3"/>
      <c r="H148" s="89"/>
      <c r="I148" s="90"/>
      <c r="K148" s="31"/>
    </row>
    <row r="149" spans="2:11" s="13" customFormat="1" x14ac:dyDescent="0.2">
      <c r="B149" s="3"/>
      <c r="C149" s="3"/>
      <c r="D149" s="3"/>
      <c r="E149" s="3"/>
      <c r="F149" s="89"/>
      <c r="G149" s="3"/>
      <c r="H149" s="89"/>
      <c r="I149" s="90"/>
      <c r="K149" s="31"/>
    </row>
    <row r="150" spans="2:11" s="13" customFormat="1" x14ac:dyDescent="0.2">
      <c r="B150" s="3"/>
      <c r="C150" s="3"/>
      <c r="D150" s="3"/>
      <c r="E150" s="3"/>
      <c r="F150" s="89"/>
      <c r="G150" s="3"/>
      <c r="H150" s="89"/>
      <c r="I150" s="90"/>
      <c r="K150" s="31"/>
    </row>
    <row r="151" spans="2:11" s="13" customFormat="1" x14ac:dyDescent="0.2">
      <c r="B151" s="3"/>
      <c r="C151" s="3"/>
      <c r="D151" s="3"/>
      <c r="E151" s="3"/>
      <c r="F151" s="89"/>
      <c r="G151" s="3"/>
      <c r="H151" s="89"/>
      <c r="I151" s="90"/>
      <c r="K151" s="31"/>
    </row>
    <row r="152" spans="2:11" s="13" customFormat="1" x14ac:dyDescent="0.2">
      <c r="B152" s="3"/>
      <c r="C152" s="3"/>
      <c r="D152" s="3"/>
      <c r="E152" s="3"/>
      <c r="F152" s="89"/>
      <c r="G152" s="3"/>
      <c r="H152" s="89"/>
      <c r="I152" s="90"/>
      <c r="K152" s="31"/>
    </row>
    <row r="153" spans="2:11" s="13" customFormat="1" x14ac:dyDescent="0.2">
      <c r="B153" s="3"/>
      <c r="C153" s="3"/>
      <c r="D153" s="3"/>
      <c r="E153" s="3"/>
      <c r="F153" s="89"/>
      <c r="G153" s="3"/>
      <c r="H153" s="89"/>
      <c r="I153" s="90"/>
      <c r="K153" s="31"/>
    </row>
    <row r="154" spans="2:11" s="13" customFormat="1" x14ac:dyDescent="0.2">
      <c r="B154" s="3"/>
      <c r="C154" s="3"/>
      <c r="D154" s="3"/>
      <c r="E154" s="3"/>
      <c r="F154" s="89"/>
      <c r="G154" s="3"/>
      <c r="H154" s="89"/>
      <c r="I154" s="90"/>
      <c r="K154" s="31"/>
    </row>
    <row r="155" spans="2:11" s="13" customFormat="1" x14ac:dyDescent="0.2">
      <c r="B155" s="3"/>
      <c r="C155" s="3"/>
      <c r="D155" s="3"/>
      <c r="E155" s="3"/>
      <c r="F155" s="89"/>
      <c r="G155" s="3"/>
      <c r="H155" s="89"/>
      <c r="I155" s="90"/>
      <c r="K155" s="31"/>
    </row>
    <row r="156" spans="2:11" s="13" customFormat="1" x14ac:dyDescent="0.2">
      <c r="B156" s="3"/>
      <c r="C156" s="3"/>
      <c r="D156" s="3"/>
      <c r="E156" s="3"/>
      <c r="F156" s="89"/>
      <c r="G156" s="3"/>
      <c r="H156" s="89"/>
      <c r="I156" s="90"/>
      <c r="K156" s="31"/>
    </row>
    <row r="157" spans="2:11" s="13" customFormat="1" x14ac:dyDescent="0.2">
      <c r="B157" s="3"/>
      <c r="C157" s="3"/>
      <c r="D157" s="3"/>
      <c r="E157" s="3"/>
      <c r="F157" s="89"/>
      <c r="G157" s="3"/>
      <c r="H157" s="89"/>
      <c r="I157" s="90"/>
      <c r="K157" s="31"/>
    </row>
    <row r="158" spans="2:11" s="13" customFormat="1" x14ac:dyDescent="0.2">
      <c r="B158" s="3"/>
      <c r="C158" s="3"/>
      <c r="D158" s="3"/>
      <c r="E158" s="3"/>
      <c r="F158" s="89"/>
      <c r="G158" s="3"/>
      <c r="H158" s="89"/>
      <c r="I158" s="90"/>
      <c r="K158" s="31"/>
    </row>
    <row r="159" spans="2:11" s="13" customFormat="1" x14ac:dyDescent="0.2">
      <c r="B159" s="3"/>
      <c r="C159" s="3"/>
      <c r="D159" s="3"/>
      <c r="E159" s="3"/>
      <c r="F159" s="89"/>
      <c r="G159" s="3"/>
      <c r="H159" s="89"/>
      <c r="I159" s="90"/>
      <c r="K159" s="31"/>
    </row>
    <row r="160" spans="2:11" s="13" customFormat="1" x14ac:dyDescent="0.2">
      <c r="B160" s="3"/>
      <c r="C160" s="3"/>
      <c r="D160" s="3"/>
      <c r="E160" s="3"/>
      <c r="F160" s="89"/>
      <c r="G160" s="3"/>
      <c r="H160" s="89"/>
      <c r="I160" s="90"/>
      <c r="K160" s="31"/>
    </row>
    <row r="161" spans="2:11" s="13" customFormat="1" x14ac:dyDescent="0.2">
      <c r="B161" s="3"/>
      <c r="C161" s="3"/>
      <c r="D161" s="3"/>
      <c r="E161" s="3"/>
      <c r="F161" s="89"/>
      <c r="G161" s="3"/>
      <c r="H161" s="89"/>
      <c r="I161" s="90"/>
      <c r="K161" s="31"/>
    </row>
    <row r="162" spans="2:11" s="13" customFormat="1" x14ac:dyDescent="0.2">
      <c r="B162" s="3"/>
      <c r="C162" s="3"/>
      <c r="D162" s="3"/>
      <c r="E162" s="3"/>
      <c r="F162" s="89"/>
      <c r="G162" s="3"/>
      <c r="H162" s="89"/>
      <c r="I162" s="90"/>
      <c r="K162" s="31"/>
    </row>
    <row r="163" spans="2:11" s="13" customFormat="1" x14ac:dyDescent="0.2">
      <c r="B163" s="3"/>
      <c r="C163" s="3"/>
      <c r="D163" s="3"/>
      <c r="E163" s="3"/>
      <c r="F163" s="89"/>
      <c r="G163" s="3"/>
      <c r="H163" s="89"/>
      <c r="I163" s="90"/>
      <c r="K163" s="31"/>
    </row>
    <row r="164" spans="2:11" s="13" customFormat="1" x14ac:dyDescent="0.2">
      <c r="B164" s="3"/>
      <c r="C164" s="3"/>
      <c r="D164" s="3"/>
      <c r="E164" s="3"/>
      <c r="F164" s="89"/>
      <c r="G164" s="3"/>
      <c r="H164" s="89"/>
      <c r="I164" s="90"/>
      <c r="K164" s="31"/>
    </row>
    <row r="165" spans="2:11" s="13" customFormat="1" x14ac:dyDescent="0.2">
      <c r="B165" s="3"/>
      <c r="C165" s="3"/>
      <c r="D165" s="3"/>
      <c r="E165" s="3"/>
      <c r="F165" s="89"/>
      <c r="G165" s="3"/>
      <c r="H165" s="89"/>
      <c r="I165" s="90"/>
      <c r="K165" s="31"/>
    </row>
    <row r="166" spans="2:11" s="13" customFormat="1" x14ac:dyDescent="0.2">
      <c r="B166" s="3"/>
      <c r="C166" s="3"/>
      <c r="D166" s="3"/>
      <c r="E166" s="3"/>
      <c r="F166" s="89"/>
      <c r="G166" s="3"/>
      <c r="H166" s="89"/>
      <c r="I166" s="90"/>
      <c r="K166" s="31"/>
    </row>
    <row r="167" spans="2:11" s="13" customFormat="1" x14ac:dyDescent="0.2">
      <c r="B167" s="3"/>
      <c r="C167" s="3"/>
      <c r="D167" s="3"/>
      <c r="E167" s="3"/>
      <c r="F167" s="89"/>
      <c r="G167" s="3"/>
      <c r="H167" s="89"/>
      <c r="I167" s="90"/>
      <c r="K167" s="31"/>
    </row>
    <row r="168" spans="2:11" s="13" customFormat="1" x14ac:dyDescent="0.2">
      <c r="B168" s="3"/>
      <c r="C168" s="3"/>
      <c r="D168" s="3"/>
      <c r="E168" s="3"/>
      <c r="F168" s="89"/>
      <c r="G168" s="3"/>
      <c r="H168" s="89"/>
      <c r="I168" s="90"/>
      <c r="K168" s="31"/>
    </row>
    <row r="169" spans="2:11" s="13" customFormat="1" x14ac:dyDescent="0.2">
      <c r="B169" s="3"/>
      <c r="C169" s="3"/>
      <c r="D169" s="3"/>
      <c r="E169" s="3"/>
      <c r="F169" s="89"/>
      <c r="G169" s="3"/>
      <c r="H169" s="89"/>
      <c r="I169" s="90"/>
      <c r="K169" s="31"/>
    </row>
    <row r="170" spans="2:11" s="13" customFormat="1" x14ac:dyDescent="0.2">
      <c r="B170" s="3"/>
      <c r="C170" s="3"/>
      <c r="D170" s="3"/>
      <c r="E170" s="3"/>
      <c r="F170" s="89"/>
      <c r="G170" s="3"/>
      <c r="H170" s="89"/>
      <c r="I170" s="90"/>
      <c r="K170" s="31"/>
    </row>
    <row r="171" spans="2:11" s="13" customFormat="1" x14ac:dyDescent="0.2">
      <c r="B171" s="3"/>
      <c r="C171" s="3"/>
      <c r="D171" s="3"/>
      <c r="E171" s="3"/>
      <c r="F171" s="89"/>
      <c r="G171" s="3"/>
      <c r="H171" s="89"/>
      <c r="I171" s="90"/>
      <c r="K171" s="31"/>
    </row>
    <row r="172" spans="2:11" s="13" customFormat="1" x14ac:dyDescent="0.2">
      <c r="B172" s="3"/>
      <c r="C172" s="3"/>
      <c r="D172" s="3"/>
      <c r="E172" s="3"/>
      <c r="F172" s="89"/>
      <c r="G172" s="3"/>
      <c r="H172" s="89"/>
      <c r="I172" s="90"/>
      <c r="K172" s="31"/>
    </row>
    <row r="173" spans="2:11" s="13" customFormat="1" x14ac:dyDescent="0.2">
      <c r="B173" s="3"/>
      <c r="C173" s="3"/>
      <c r="D173" s="3"/>
      <c r="E173" s="3"/>
      <c r="F173" s="89"/>
      <c r="G173" s="3"/>
      <c r="H173" s="89"/>
      <c r="I173" s="90"/>
      <c r="K173" s="31"/>
    </row>
    <row r="174" spans="2:11" s="13" customFormat="1" x14ac:dyDescent="0.2">
      <c r="B174" s="3"/>
      <c r="C174" s="3"/>
      <c r="D174" s="3"/>
      <c r="E174" s="3"/>
      <c r="F174" s="89"/>
      <c r="G174" s="3"/>
      <c r="H174" s="89"/>
      <c r="I174" s="90"/>
      <c r="K174" s="31"/>
    </row>
    <row r="175" spans="2:11" s="13" customFormat="1" x14ac:dyDescent="0.2">
      <c r="B175" s="3"/>
      <c r="C175" s="3"/>
      <c r="D175" s="3"/>
      <c r="E175" s="3"/>
      <c r="F175" s="89"/>
      <c r="G175" s="3"/>
      <c r="H175" s="89"/>
      <c r="I175" s="90"/>
      <c r="K175" s="31"/>
    </row>
    <row r="176" spans="2:11" s="13" customFormat="1" x14ac:dyDescent="0.2">
      <c r="B176" s="3"/>
      <c r="C176" s="3"/>
      <c r="D176" s="3"/>
      <c r="E176" s="3"/>
      <c r="F176" s="89"/>
      <c r="G176" s="3"/>
      <c r="H176" s="89"/>
      <c r="I176" s="90"/>
      <c r="K176" s="31"/>
    </row>
    <row r="177" spans="2:11" s="13" customFormat="1" x14ac:dyDescent="0.2">
      <c r="B177" s="3"/>
      <c r="C177" s="3"/>
      <c r="D177" s="3"/>
      <c r="E177" s="3"/>
      <c r="F177" s="89"/>
      <c r="G177" s="3"/>
      <c r="H177" s="89"/>
      <c r="I177" s="90"/>
      <c r="K177" s="31"/>
    </row>
    <row r="178" spans="2:11" s="13" customFormat="1" x14ac:dyDescent="0.2">
      <c r="B178" s="3"/>
      <c r="C178" s="3"/>
      <c r="D178" s="3"/>
      <c r="E178" s="3"/>
      <c r="F178" s="89"/>
      <c r="G178" s="3"/>
      <c r="H178" s="89"/>
      <c r="I178" s="90"/>
      <c r="K178" s="31"/>
    </row>
    <row r="179" spans="2:11" s="13" customFormat="1" x14ac:dyDescent="0.2">
      <c r="B179" s="3"/>
      <c r="C179" s="3"/>
      <c r="D179" s="3"/>
      <c r="E179" s="3"/>
      <c r="F179" s="89"/>
      <c r="G179" s="3"/>
      <c r="H179" s="89"/>
      <c r="I179" s="90"/>
      <c r="K179" s="31"/>
    </row>
    <row r="180" spans="2:11" s="13" customFormat="1" x14ac:dyDescent="0.2">
      <c r="B180" s="3"/>
      <c r="C180" s="3"/>
      <c r="D180" s="3"/>
      <c r="E180" s="3"/>
      <c r="F180" s="89"/>
      <c r="G180" s="3"/>
      <c r="H180" s="89"/>
      <c r="I180" s="90"/>
      <c r="K180" s="31"/>
    </row>
    <row r="181" spans="2:11" s="13" customFormat="1" x14ac:dyDescent="0.2">
      <c r="B181" s="3"/>
      <c r="C181" s="3"/>
      <c r="D181" s="3"/>
      <c r="E181" s="3"/>
      <c r="F181" s="89"/>
      <c r="G181" s="3"/>
      <c r="H181" s="89"/>
      <c r="I181" s="90"/>
      <c r="K181" s="31"/>
    </row>
    <row r="182" spans="2:11" s="13" customFormat="1" x14ac:dyDescent="0.2">
      <c r="B182" s="3"/>
      <c r="C182" s="3"/>
      <c r="D182" s="3"/>
      <c r="E182" s="3"/>
      <c r="F182" s="89"/>
      <c r="G182" s="3"/>
      <c r="H182" s="89"/>
      <c r="I182" s="90"/>
      <c r="K182" s="31"/>
    </row>
    <row r="183" spans="2:11" s="13" customFormat="1" x14ac:dyDescent="0.2">
      <c r="B183" s="3"/>
      <c r="C183" s="3"/>
      <c r="D183" s="3"/>
      <c r="E183" s="3"/>
      <c r="F183" s="89"/>
      <c r="G183" s="3"/>
      <c r="H183" s="89"/>
      <c r="I183" s="90"/>
      <c r="K183" s="31"/>
    </row>
    <row r="184" spans="2:11" s="13" customFormat="1" x14ac:dyDescent="0.2">
      <c r="B184" s="3"/>
      <c r="C184" s="3"/>
      <c r="D184" s="3"/>
      <c r="E184" s="3"/>
      <c r="F184" s="89"/>
      <c r="G184" s="3"/>
      <c r="H184" s="89"/>
      <c r="I184" s="90"/>
      <c r="K184" s="31"/>
    </row>
    <row r="185" spans="2:11" s="13" customFormat="1" x14ac:dyDescent="0.2">
      <c r="B185" s="3"/>
      <c r="C185" s="3"/>
      <c r="D185" s="3"/>
      <c r="E185" s="3"/>
      <c r="F185" s="89"/>
      <c r="G185" s="3"/>
      <c r="H185" s="89"/>
      <c r="I185" s="90"/>
      <c r="K185" s="31"/>
    </row>
    <row r="186" spans="2:11" s="13" customFormat="1" x14ac:dyDescent="0.2">
      <c r="B186" s="3"/>
      <c r="C186" s="3"/>
      <c r="D186" s="3"/>
      <c r="E186" s="3"/>
      <c r="F186" s="89"/>
      <c r="G186" s="3"/>
      <c r="H186" s="89"/>
      <c r="I186" s="90"/>
      <c r="K186" s="31"/>
    </row>
    <row r="187" spans="2:11" s="13" customFormat="1" x14ac:dyDescent="0.2">
      <c r="B187" s="3"/>
      <c r="C187" s="3"/>
      <c r="D187" s="3"/>
      <c r="E187" s="3"/>
      <c r="F187" s="89"/>
      <c r="G187" s="3"/>
      <c r="H187" s="89"/>
      <c r="I187" s="90"/>
      <c r="K187" s="31"/>
    </row>
    <row r="188" spans="2:11" s="13" customFormat="1" x14ac:dyDescent="0.2">
      <c r="B188" s="3"/>
      <c r="C188" s="3"/>
      <c r="D188" s="3"/>
      <c r="E188" s="3"/>
      <c r="F188" s="89"/>
      <c r="G188" s="3"/>
      <c r="H188" s="89"/>
      <c r="I188" s="90"/>
      <c r="K188" s="31"/>
    </row>
    <row r="189" spans="2:11" s="13" customFormat="1" x14ac:dyDescent="0.2">
      <c r="B189" s="3"/>
      <c r="C189" s="3"/>
      <c r="D189" s="3"/>
      <c r="E189" s="3"/>
      <c r="F189" s="89"/>
      <c r="G189" s="3"/>
      <c r="H189" s="89"/>
      <c r="I189" s="90"/>
      <c r="K189" s="31"/>
    </row>
    <row r="190" spans="2:11" s="13" customFormat="1" x14ac:dyDescent="0.2">
      <c r="B190" s="3"/>
      <c r="C190" s="3"/>
      <c r="D190" s="3"/>
      <c r="E190" s="3"/>
      <c r="F190" s="89"/>
      <c r="G190" s="3"/>
      <c r="H190" s="89"/>
      <c r="I190" s="90"/>
      <c r="K190" s="31"/>
    </row>
    <row r="191" spans="2:11" s="13" customFormat="1" x14ac:dyDescent="0.2">
      <c r="B191" s="3"/>
      <c r="C191" s="3"/>
      <c r="D191" s="3"/>
      <c r="E191" s="3"/>
      <c r="F191" s="89"/>
      <c r="G191" s="3"/>
      <c r="H191" s="89"/>
      <c r="I191" s="90"/>
      <c r="K191" s="31"/>
    </row>
    <row r="192" spans="2:11" s="13" customFormat="1" x14ac:dyDescent="0.2">
      <c r="B192" s="3"/>
      <c r="C192" s="3"/>
      <c r="D192" s="3"/>
      <c r="E192" s="3"/>
      <c r="F192" s="89"/>
      <c r="G192" s="3"/>
      <c r="H192" s="89"/>
      <c r="I192" s="90"/>
      <c r="K192" s="31"/>
    </row>
    <row r="193" spans="2:11" s="13" customFormat="1" x14ac:dyDescent="0.2">
      <c r="B193" s="3"/>
      <c r="C193" s="3"/>
      <c r="D193" s="3"/>
      <c r="E193" s="3"/>
      <c r="F193" s="89"/>
      <c r="G193" s="3"/>
      <c r="H193" s="89"/>
      <c r="I193" s="90"/>
      <c r="K193" s="31"/>
    </row>
    <row r="194" spans="2:11" s="13" customFormat="1" x14ac:dyDescent="0.2">
      <c r="B194" s="3"/>
      <c r="C194" s="3"/>
      <c r="D194" s="3"/>
      <c r="E194" s="3"/>
      <c r="F194" s="89"/>
      <c r="G194" s="3"/>
      <c r="H194" s="89"/>
      <c r="I194" s="90"/>
      <c r="K194" s="31"/>
    </row>
    <row r="195" spans="2:11" s="13" customFormat="1" x14ac:dyDescent="0.2">
      <c r="B195" s="3"/>
      <c r="C195" s="3"/>
      <c r="D195" s="3"/>
      <c r="E195" s="3"/>
      <c r="F195" s="89"/>
      <c r="G195" s="3"/>
      <c r="H195" s="89"/>
      <c r="I195" s="90"/>
      <c r="K195" s="31"/>
    </row>
    <row r="196" spans="2:11" s="13" customFormat="1" x14ac:dyDescent="0.2">
      <c r="B196" s="3"/>
      <c r="C196" s="3"/>
      <c r="D196" s="3"/>
      <c r="E196" s="3"/>
      <c r="F196" s="89"/>
      <c r="G196" s="3"/>
      <c r="H196" s="89"/>
      <c r="I196" s="90"/>
      <c r="K196" s="31"/>
    </row>
    <row r="197" spans="2:11" s="13" customFormat="1" x14ac:dyDescent="0.2">
      <c r="B197" s="3"/>
      <c r="C197" s="3"/>
      <c r="D197" s="3"/>
      <c r="E197" s="3"/>
      <c r="F197" s="89"/>
      <c r="G197" s="3"/>
      <c r="H197" s="89"/>
      <c r="I197" s="90"/>
      <c r="K197" s="31"/>
    </row>
    <row r="198" spans="2:11" s="13" customFormat="1" x14ac:dyDescent="0.2">
      <c r="B198" s="3"/>
      <c r="C198" s="3"/>
      <c r="D198" s="3"/>
      <c r="E198" s="3"/>
      <c r="F198" s="89"/>
      <c r="G198" s="3"/>
      <c r="H198" s="89"/>
      <c r="I198" s="90"/>
      <c r="K198" s="31"/>
    </row>
    <row r="199" spans="2:11" s="13" customFormat="1" x14ac:dyDescent="0.2">
      <c r="B199" s="3"/>
      <c r="C199" s="3"/>
      <c r="D199" s="3"/>
      <c r="E199" s="3"/>
      <c r="F199" s="89"/>
      <c r="G199" s="3"/>
      <c r="H199" s="89"/>
      <c r="I199" s="90"/>
      <c r="K199" s="31"/>
    </row>
    <row r="200" spans="2:11" s="13" customFormat="1" x14ac:dyDescent="0.2">
      <c r="B200" s="3"/>
      <c r="C200" s="3"/>
      <c r="D200" s="3"/>
      <c r="E200" s="3"/>
      <c r="F200" s="89"/>
      <c r="G200" s="3"/>
      <c r="H200" s="89"/>
      <c r="I200" s="90"/>
      <c r="K200" s="31"/>
    </row>
    <row r="201" spans="2:11" s="13" customFormat="1" x14ac:dyDescent="0.2">
      <c r="B201" s="3"/>
      <c r="C201" s="3"/>
      <c r="D201" s="3"/>
      <c r="E201" s="3"/>
      <c r="F201" s="89"/>
      <c r="G201" s="3"/>
      <c r="H201" s="89"/>
      <c r="I201" s="90"/>
      <c r="K201" s="31"/>
    </row>
    <row r="202" spans="2:11" s="13" customFormat="1" x14ac:dyDescent="0.2">
      <c r="B202" s="3"/>
      <c r="C202" s="3"/>
      <c r="D202" s="3"/>
      <c r="E202" s="3"/>
      <c r="F202" s="89"/>
      <c r="G202" s="3"/>
      <c r="H202" s="89"/>
      <c r="I202" s="90"/>
      <c r="K202" s="31"/>
    </row>
    <row r="203" spans="2:11" s="13" customFormat="1" x14ac:dyDescent="0.2">
      <c r="B203" s="3"/>
      <c r="C203" s="3"/>
      <c r="D203" s="3"/>
      <c r="E203" s="3"/>
      <c r="F203" s="89"/>
      <c r="G203" s="3"/>
      <c r="H203" s="89"/>
      <c r="I203" s="90"/>
      <c r="K203" s="31"/>
    </row>
    <row r="204" spans="2:11" s="13" customFormat="1" x14ac:dyDescent="0.2">
      <c r="B204" s="3"/>
      <c r="C204" s="3"/>
      <c r="D204" s="3"/>
      <c r="E204" s="3"/>
      <c r="F204" s="89"/>
      <c r="G204" s="3"/>
      <c r="H204" s="89"/>
      <c r="I204" s="90"/>
      <c r="K204" s="31"/>
    </row>
    <row r="205" spans="2:11" s="13" customFormat="1" x14ac:dyDescent="0.2">
      <c r="B205" s="3"/>
      <c r="C205" s="3"/>
      <c r="D205" s="3"/>
      <c r="E205" s="3"/>
      <c r="F205" s="89"/>
      <c r="G205" s="3"/>
      <c r="H205" s="89"/>
      <c r="I205" s="90"/>
      <c r="K205" s="31"/>
    </row>
    <row r="206" spans="2:11" s="13" customFormat="1" x14ac:dyDescent="0.2">
      <c r="B206" s="3"/>
      <c r="C206" s="3"/>
      <c r="D206" s="3"/>
      <c r="E206" s="3"/>
      <c r="F206" s="89"/>
      <c r="G206" s="3"/>
      <c r="H206" s="89"/>
      <c r="I206" s="90"/>
      <c r="K206" s="31"/>
    </row>
    <row r="207" spans="2:11" s="13" customFormat="1" x14ac:dyDescent="0.2">
      <c r="B207" s="3"/>
      <c r="C207" s="3"/>
      <c r="D207" s="3"/>
      <c r="E207" s="3"/>
      <c r="F207" s="89"/>
      <c r="G207" s="3"/>
      <c r="H207" s="89"/>
      <c r="I207" s="90"/>
      <c r="K207" s="31"/>
    </row>
    <row r="208" spans="2:11" s="13" customFormat="1" x14ac:dyDescent="0.2">
      <c r="B208" s="3"/>
      <c r="C208" s="3"/>
      <c r="D208" s="3"/>
      <c r="E208" s="3"/>
      <c r="F208" s="89"/>
      <c r="G208" s="3"/>
      <c r="H208" s="89"/>
      <c r="I208" s="90"/>
      <c r="K208" s="31"/>
    </row>
    <row r="209" spans="2:11" s="13" customFormat="1" x14ac:dyDescent="0.2">
      <c r="B209" s="3"/>
      <c r="C209" s="3"/>
      <c r="D209" s="3"/>
      <c r="E209" s="3"/>
      <c r="F209" s="89"/>
      <c r="G209" s="3"/>
      <c r="H209" s="89"/>
      <c r="I209" s="90"/>
      <c r="K209" s="31"/>
    </row>
    <row r="210" spans="2:11" s="13" customFormat="1" x14ac:dyDescent="0.2">
      <c r="B210" s="3"/>
      <c r="C210" s="3"/>
      <c r="D210" s="3"/>
      <c r="E210" s="3"/>
      <c r="F210" s="89"/>
      <c r="G210" s="3"/>
      <c r="H210" s="89"/>
      <c r="I210" s="90"/>
      <c r="K210" s="31"/>
    </row>
    <row r="211" spans="2:11" s="13" customFormat="1" x14ac:dyDescent="0.2">
      <c r="B211" s="3"/>
      <c r="C211" s="3"/>
      <c r="D211" s="3"/>
      <c r="E211" s="3"/>
      <c r="F211" s="89"/>
      <c r="G211" s="3"/>
      <c r="H211" s="89"/>
      <c r="I211" s="90"/>
      <c r="K211" s="31"/>
    </row>
    <row r="212" spans="2:11" s="13" customFormat="1" x14ac:dyDescent="0.2">
      <c r="B212" s="3"/>
      <c r="C212" s="3"/>
      <c r="D212" s="3"/>
      <c r="E212" s="3"/>
      <c r="F212" s="89"/>
      <c r="G212" s="3"/>
      <c r="H212" s="89"/>
      <c r="I212" s="90"/>
      <c r="K212" s="31"/>
    </row>
    <row r="213" spans="2:11" s="13" customFormat="1" x14ac:dyDescent="0.2">
      <c r="B213" s="3"/>
      <c r="C213" s="3"/>
      <c r="D213" s="3"/>
      <c r="E213" s="3"/>
      <c r="F213" s="89"/>
      <c r="G213" s="3"/>
      <c r="H213" s="89"/>
      <c r="I213" s="90"/>
      <c r="K213" s="31"/>
    </row>
    <row r="214" spans="2:11" s="13" customFormat="1" x14ac:dyDescent="0.2">
      <c r="B214" s="3"/>
      <c r="C214" s="3"/>
      <c r="D214" s="3"/>
      <c r="E214" s="3"/>
      <c r="F214" s="89"/>
      <c r="G214" s="3"/>
      <c r="H214" s="89"/>
      <c r="I214" s="90"/>
      <c r="K214" s="31"/>
    </row>
    <row r="215" spans="2:11" s="13" customFormat="1" x14ac:dyDescent="0.2">
      <c r="B215" s="3"/>
      <c r="C215" s="3"/>
      <c r="D215" s="3"/>
      <c r="E215" s="3"/>
      <c r="F215" s="89"/>
      <c r="G215" s="3"/>
      <c r="H215" s="89"/>
      <c r="I215" s="90"/>
      <c r="K215" s="31"/>
    </row>
    <row r="216" spans="2:11" s="13" customFormat="1" x14ac:dyDescent="0.2">
      <c r="B216" s="3"/>
      <c r="C216" s="3"/>
      <c r="D216" s="3"/>
      <c r="E216" s="3"/>
      <c r="F216" s="89"/>
      <c r="G216" s="3"/>
      <c r="H216" s="89"/>
      <c r="I216" s="90"/>
      <c r="K216" s="31"/>
    </row>
    <row r="217" spans="2:11" s="13" customFormat="1" x14ac:dyDescent="0.2">
      <c r="B217" s="3"/>
      <c r="C217" s="3"/>
      <c r="D217" s="3"/>
      <c r="E217" s="3"/>
      <c r="F217" s="89"/>
      <c r="G217" s="3"/>
      <c r="H217" s="89"/>
      <c r="I217" s="90"/>
      <c r="K217" s="31"/>
    </row>
    <row r="218" spans="2:11" s="13" customFormat="1" x14ac:dyDescent="0.2">
      <c r="B218" s="3"/>
      <c r="C218" s="3"/>
      <c r="D218" s="3"/>
      <c r="E218" s="3"/>
      <c r="F218" s="89"/>
      <c r="G218" s="3"/>
      <c r="H218" s="89"/>
      <c r="I218" s="90"/>
      <c r="K218" s="31"/>
    </row>
    <row r="219" spans="2:11" s="13" customFormat="1" x14ac:dyDescent="0.2">
      <c r="B219" s="3"/>
      <c r="C219" s="3"/>
      <c r="D219" s="3"/>
      <c r="E219" s="3"/>
      <c r="F219" s="89"/>
      <c r="G219" s="3"/>
      <c r="H219" s="89"/>
      <c r="I219" s="90"/>
      <c r="K219" s="31"/>
    </row>
    <row r="220" spans="2:11" s="13" customFormat="1" x14ac:dyDescent="0.2">
      <c r="B220" s="3"/>
      <c r="C220" s="3"/>
      <c r="D220" s="3"/>
      <c r="E220" s="3"/>
      <c r="F220" s="89"/>
      <c r="G220" s="3"/>
      <c r="H220" s="89"/>
      <c r="I220" s="90"/>
      <c r="K220" s="31"/>
    </row>
    <row r="221" spans="2:11" s="13" customFormat="1" x14ac:dyDescent="0.2">
      <c r="B221" s="3"/>
      <c r="C221" s="3"/>
      <c r="D221" s="3"/>
      <c r="E221" s="3"/>
      <c r="F221" s="89"/>
      <c r="G221" s="3"/>
      <c r="H221" s="89"/>
      <c r="I221" s="90"/>
      <c r="K221" s="31"/>
    </row>
    <row r="222" spans="2:11" s="13" customFormat="1" x14ac:dyDescent="0.2">
      <c r="B222" s="3"/>
      <c r="C222" s="3"/>
      <c r="D222" s="3"/>
      <c r="E222" s="3"/>
      <c r="F222" s="89"/>
      <c r="G222" s="3"/>
      <c r="H222" s="89"/>
      <c r="I222" s="90"/>
      <c r="K222" s="31"/>
    </row>
    <row r="223" spans="2:11" s="13" customFormat="1" x14ac:dyDescent="0.2">
      <c r="B223" s="3"/>
      <c r="C223" s="3"/>
      <c r="D223" s="3"/>
      <c r="E223" s="3"/>
      <c r="F223" s="89"/>
      <c r="G223" s="3"/>
      <c r="H223" s="89"/>
      <c r="I223" s="90"/>
      <c r="K223" s="31"/>
    </row>
    <row r="224" spans="2:11" s="13" customFormat="1" x14ac:dyDescent="0.2">
      <c r="B224" s="3"/>
      <c r="C224" s="3"/>
      <c r="D224" s="3"/>
      <c r="E224" s="3"/>
      <c r="F224" s="89"/>
      <c r="G224" s="3"/>
      <c r="H224" s="89"/>
      <c r="I224" s="90"/>
      <c r="K224" s="31"/>
    </row>
    <row r="225" spans="2:11" s="13" customFormat="1" x14ac:dyDescent="0.2">
      <c r="B225" s="3"/>
      <c r="C225" s="3"/>
      <c r="D225" s="3"/>
      <c r="E225" s="3"/>
      <c r="F225" s="89"/>
      <c r="G225" s="3"/>
      <c r="H225" s="89"/>
      <c r="I225" s="90"/>
      <c r="K225" s="31"/>
    </row>
    <row r="226" spans="2:11" s="13" customFormat="1" x14ac:dyDescent="0.2">
      <c r="B226" s="3"/>
      <c r="C226" s="3"/>
      <c r="D226" s="3"/>
      <c r="E226" s="3"/>
      <c r="F226" s="89"/>
      <c r="G226" s="3"/>
      <c r="H226" s="89"/>
      <c r="I226" s="90"/>
      <c r="K226" s="31"/>
    </row>
    <row r="227" spans="2:11" s="13" customFormat="1" x14ac:dyDescent="0.2">
      <c r="B227" s="3"/>
      <c r="C227" s="3"/>
      <c r="D227" s="3"/>
      <c r="E227" s="3"/>
      <c r="F227" s="89"/>
      <c r="G227" s="3"/>
      <c r="H227" s="89"/>
      <c r="I227" s="90"/>
      <c r="K227" s="31"/>
    </row>
    <row r="228" spans="2:11" s="13" customFormat="1" x14ac:dyDescent="0.2">
      <c r="B228" s="3"/>
      <c r="C228" s="3"/>
      <c r="D228" s="3"/>
      <c r="E228" s="3"/>
      <c r="F228" s="89"/>
      <c r="G228" s="3"/>
      <c r="H228" s="89"/>
      <c r="I228" s="90"/>
      <c r="K228" s="31"/>
    </row>
    <row r="229" spans="2:11" s="13" customFormat="1" x14ac:dyDescent="0.2">
      <c r="B229" s="3"/>
      <c r="C229" s="3"/>
      <c r="D229" s="3"/>
      <c r="E229" s="3"/>
      <c r="F229" s="89"/>
      <c r="G229" s="3"/>
      <c r="H229" s="89"/>
      <c r="I229" s="90"/>
      <c r="K229" s="31"/>
    </row>
    <row r="230" spans="2:11" s="13" customFormat="1" x14ac:dyDescent="0.2">
      <c r="B230" s="3"/>
      <c r="C230" s="3"/>
      <c r="D230" s="3"/>
      <c r="E230" s="3"/>
      <c r="F230" s="89"/>
      <c r="G230" s="3"/>
      <c r="H230" s="89"/>
      <c r="I230" s="90"/>
      <c r="K230" s="31"/>
    </row>
    <row r="231" spans="2:11" s="13" customFormat="1" x14ac:dyDescent="0.2">
      <c r="B231" s="3"/>
      <c r="C231" s="3"/>
      <c r="D231" s="3"/>
      <c r="E231" s="3"/>
      <c r="F231" s="89"/>
      <c r="G231" s="3"/>
      <c r="H231" s="89"/>
      <c r="I231" s="90"/>
      <c r="K231" s="31"/>
    </row>
    <row r="232" spans="2:11" s="13" customFormat="1" x14ac:dyDescent="0.2">
      <c r="B232" s="3"/>
      <c r="C232" s="3"/>
      <c r="D232" s="3"/>
      <c r="E232" s="3"/>
      <c r="F232" s="89"/>
      <c r="G232" s="3"/>
      <c r="H232" s="89"/>
      <c r="I232" s="90"/>
      <c r="K232" s="31"/>
    </row>
    <row r="233" spans="2:11" s="13" customFormat="1" x14ac:dyDescent="0.2">
      <c r="B233" s="3"/>
      <c r="C233" s="3"/>
      <c r="D233" s="3"/>
      <c r="E233" s="3"/>
      <c r="F233" s="89"/>
      <c r="G233" s="3"/>
      <c r="H233" s="89"/>
      <c r="I233" s="90"/>
      <c r="K233" s="31"/>
    </row>
    <row r="234" spans="2:11" s="13" customFormat="1" x14ac:dyDescent="0.2">
      <c r="B234" s="3"/>
      <c r="C234" s="3"/>
      <c r="D234" s="3"/>
      <c r="E234" s="3"/>
      <c r="F234" s="89"/>
      <c r="G234" s="3"/>
      <c r="H234" s="89"/>
      <c r="I234" s="90"/>
      <c r="K234" s="31"/>
    </row>
    <row r="235" spans="2:11" s="13" customFormat="1" x14ac:dyDescent="0.2">
      <c r="B235" s="3"/>
      <c r="C235" s="3"/>
      <c r="D235" s="3"/>
      <c r="E235" s="3"/>
      <c r="F235" s="89"/>
      <c r="G235" s="3"/>
      <c r="H235" s="89"/>
      <c r="I235" s="90"/>
      <c r="K235" s="31"/>
    </row>
    <row r="236" spans="2:11" s="13" customFormat="1" x14ac:dyDescent="0.2">
      <c r="B236" s="3"/>
      <c r="C236" s="3"/>
      <c r="D236" s="3"/>
      <c r="E236" s="3"/>
      <c r="F236" s="89"/>
      <c r="G236" s="3"/>
      <c r="H236" s="89"/>
      <c r="I236" s="90"/>
      <c r="K236" s="31"/>
    </row>
    <row r="237" spans="2:11" s="13" customFormat="1" x14ac:dyDescent="0.2">
      <c r="B237" s="3"/>
      <c r="C237" s="3"/>
      <c r="D237" s="3"/>
      <c r="E237" s="3"/>
      <c r="F237" s="89"/>
      <c r="G237" s="3"/>
      <c r="H237" s="89"/>
      <c r="I237" s="90"/>
      <c r="K237" s="31"/>
    </row>
    <row r="238" spans="2:11" s="13" customFormat="1" x14ac:dyDescent="0.2">
      <c r="B238" s="3"/>
      <c r="C238" s="3"/>
      <c r="D238" s="3"/>
      <c r="E238" s="3"/>
      <c r="F238" s="89"/>
      <c r="G238" s="3"/>
      <c r="H238" s="89"/>
      <c r="I238" s="90"/>
      <c r="K238" s="31"/>
    </row>
    <row r="239" spans="2:11" s="13" customFormat="1" x14ac:dyDescent="0.2">
      <c r="B239" s="3"/>
      <c r="C239" s="3"/>
      <c r="D239" s="3"/>
      <c r="E239" s="3"/>
      <c r="F239" s="89"/>
      <c r="G239" s="3"/>
      <c r="H239" s="89"/>
      <c r="I239" s="90"/>
      <c r="K239" s="31"/>
    </row>
    <row r="240" spans="2:11" s="13" customFormat="1" x14ac:dyDescent="0.2">
      <c r="B240" s="3"/>
      <c r="C240" s="3"/>
      <c r="D240" s="3"/>
      <c r="E240" s="3"/>
      <c r="F240" s="89"/>
      <c r="G240" s="3"/>
      <c r="H240" s="89"/>
      <c r="I240" s="90"/>
      <c r="K240" s="31"/>
    </row>
    <row r="241" spans="2:11" s="13" customFormat="1" x14ac:dyDescent="0.2">
      <c r="B241" s="3"/>
      <c r="C241" s="3"/>
      <c r="D241" s="3"/>
      <c r="E241" s="3"/>
      <c r="F241" s="89"/>
      <c r="G241" s="3"/>
      <c r="H241" s="89"/>
      <c r="I241" s="90"/>
      <c r="K241" s="31"/>
    </row>
    <row r="242" spans="2:11" s="13" customFormat="1" x14ac:dyDescent="0.2">
      <c r="B242" s="3"/>
      <c r="C242" s="3"/>
      <c r="D242" s="3"/>
      <c r="E242" s="3"/>
      <c r="F242" s="89"/>
      <c r="G242" s="3"/>
      <c r="H242" s="89"/>
      <c r="I242" s="90"/>
      <c r="K242" s="31"/>
    </row>
    <row r="243" spans="2:11" s="13" customFormat="1" x14ac:dyDescent="0.2">
      <c r="B243" s="3"/>
      <c r="C243" s="3"/>
      <c r="D243" s="3"/>
      <c r="E243" s="3"/>
      <c r="F243" s="89"/>
      <c r="G243" s="3"/>
      <c r="H243" s="89"/>
      <c r="I243" s="90"/>
      <c r="K243" s="31"/>
    </row>
    <row r="244" spans="2:11" s="13" customFormat="1" x14ac:dyDescent="0.2">
      <c r="B244" s="3"/>
      <c r="C244" s="3"/>
      <c r="D244" s="3"/>
      <c r="E244" s="3"/>
      <c r="F244" s="89"/>
      <c r="G244" s="3"/>
      <c r="H244" s="89"/>
      <c r="I244" s="90"/>
      <c r="K244" s="31"/>
    </row>
    <row r="245" spans="2:11" s="13" customFormat="1" x14ac:dyDescent="0.2">
      <c r="B245" s="3"/>
      <c r="C245" s="3"/>
      <c r="D245" s="3"/>
      <c r="E245" s="3"/>
      <c r="F245" s="89"/>
      <c r="G245" s="3"/>
      <c r="H245" s="89"/>
      <c r="I245" s="90"/>
      <c r="K245" s="31"/>
    </row>
    <row r="246" spans="2:11" s="13" customFormat="1" x14ac:dyDescent="0.2">
      <c r="B246" s="3"/>
      <c r="C246" s="3"/>
      <c r="D246" s="3"/>
      <c r="E246" s="3"/>
      <c r="F246" s="89"/>
      <c r="G246" s="3"/>
      <c r="H246" s="89"/>
      <c r="I246" s="90"/>
      <c r="K246" s="31"/>
    </row>
    <row r="247" spans="2:11" s="13" customFormat="1" x14ac:dyDescent="0.2">
      <c r="B247" s="3"/>
      <c r="C247" s="3"/>
      <c r="D247" s="3"/>
      <c r="E247" s="3"/>
      <c r="F247" s="89"/>
      <c r="G247" s="3"/>
      <c r="H247" s="89"/>
      <c r="I247" s="90"/>
      <c r="K247" s="31"/>
    </row>
    <row r="248" spans="2:11" s="13" customFormat="1" x14ac:dyDescent="0.2">
      <c r="B248" s="3"/>
      <c r="C248" s="3"/>
      <c r="D248" s="3"/>
      <c r="E248" s="3"/>
      <c r="F248" s="89"/>
      <c r="G248" s="3"/>
      <c r="H248" s="89"/>
      <c r="I248" s="90"/>
      <c r="K248" s="31"/>
    </row>
    <row r="249" spans="2:11" s="13" customFormat="1" x14ac:dyDescent="0.2">
      <c r="B249" s="3"/>
      <c r="C249" s="3"/>
      <c r="D249" s="3"/>
      <c r="E249" s="3"/>
      <c r="F249" s="89"/>
      <c r="G249" s="3"/>
      <c r="H249" s="89"/>
      <c r="I249" s="90"/>
      <c r="K249" s="31"/>
    </row>
    <row r="250" spans="2:11" s="13" customFormat="1" x14ac:dyDescent="0.2">
      <c r="B250" s="3"/>
      <c r="C250" s="3"/>
      <c r="D250" s="3"/>
      <c r="E250" s="3"/>
      <c r="F250" s="89"/>
      <c r="G250" s="3"/>
      <c r="H250" s="89"/>
      <c r="I250" s="90"/>
      <c r="K250" s="31"/>
    </row>
    <row r="251" spans="2:11" s="13" customFormat="1" x14ac:dyDescent="0.2">
      <c r="B251" s="3"/>
      <c r="C251" s="3"/>
      <c r="D251" s="3"/>
      <c r="E251" s="3"/>
      <c r="F251" s="89"/>
      <c r="G251" s="3"/>
      <c r="H251" s="89"/>
      <c r="I251" s="90"/>
      <c r="K251" s="31"/>
    </row>
    <row r="252" spans="2:11" s="13" customFormat="1" x14ac:dyDescent="0.2">
      <c r="B252" s="3"/>
      <c r="C252" s="3"/>
      <c r="D252" s="3"/>
      <c r="E252" s="3"/>
      <c r="F252" s="89"/>
      <c r="G252" s="3"/>
      <c r="H252" s="89"/>
      <c r="I252" s="90"/>
      <c r="K252" s="31"/>
    </row>
    <row r="253" spans="2:11" s="13" customFormat="1" x14ac:dyDescent="0.2">
      <c r="B253" s="3"/>
      <c r="C253" s="3"/>
      <c r="D253" s="3"/>
      <c r="E253" s="3"/>
      <c r="F253" s="89"/>
      <c r="G253" s="3"/>
      <c r="H253" s="89"/>
      <c r="I253" s="90"/>
      <c r="K253" s="31"/>
    </row>
    <row r="254" spans="2:11" s="13" customFormat="1" x14ac:dyDescent="0.2">
      <c r="B254" s="3"/>
      <c r="C254" s="3"/>
      <c r="D254" s="3"/>
      <c r="E254" s="3"/>
      <c r="F254" s="89"/>
      <c r="G254" s="3"/>
      <c r="H254" s="89"/>
      <c r="I254" s="90"/>
      <c r="K254" s="31"/>
    </row>
    <row r="255" spans="2:11" s="13" customFormat="1" x14ac:dyDescent="0.2">
      <c r="B255" s="3"/>
      <c r="C255" s="3"/>
      <c r="D255" s="3"/>
      <c r="E255" s="3"/>
      <c r="F255" s="89"/>
      <c r="G255" s="3"/>
      <c r="H255" s="89"/>
      <c r="I255" s="90"/>
      <c r="K255" s="31"/>
    </row>
    <row r="256" spans="2:11" s="13" customFormat="1" x14ac:dyDescent="0.2">
      <c r="B256" s="3"/>
      <c r="C256" s="3"/>
      <c r="D256" s="3"/>
      <c r="E256" s="3"/>
      <c r="F256" s="89"/>
      <c r="G256" s="3"/>
      <c r="H256" s="89"/>
      <c r="I256" s="90"/>
      <c r="K256" s="31"/>
    </row>
    <row r="257" spans="1:13" s="13" customFormat="1" x14ac:dyDescent="0.2">
      <c r="B257" s="3"/>
      <c r="C257" s="3"/>
      <c r="D257" s="3"/>
      <c r="E257" s="3"/>
      <c r="F257" s="89"/>
      <c r="G257" s="3"/>
      <c r="H257" s="89"/>
      <c r="I257" s="90"/>
      <c r="K257" s="31"/>
    </row>
    <row r="258" spans="1:13" s="89" customFormat="1" x14ac:dyDescent="0.2">
      <c r="A258" s="13"/>
      <c r="B258" s="3"/>
      <c r="C258" s="3"/>
      <c r="D258" s="3"/>
      <c r="E258" s="3"/>
      <c r="G258" s="3"/>
      <c r="I258" s="90"/>
      <c r="J258" s="13"/>
      <c r="K258" s="31"/>
      <c r="L258" s="13"/>
      <c r="M258" s="13"/>
    </row>
    <row r="259" spans="1:13" s="89" customFormat="1" x14ac:dyDescent="0.2">
      <c r="A259" s="13"/>
      <c r="B259" s="3"/>
      <c r="C259" s="3"/>
      <c r="D259" s="3"/>
      <c r="E259" s="3"/>
      <c r="G259" s="91"/>
      <c r="I259" s="90"/>
      <c r="J259" s="13"/>
      <c r="K259" s="31"/>
      <c r="L259" s="13"/>
      <c r="M259" s="13"/>
    </row>
    <row r="260" spans="1:13" s="89" customFormat="1" x14ac:dyDescent="0.2">
      <c r="A260" s="13"/>
      <c r="B260" s="3"/>
      <c r="C260" s="3"/>
      <c r="D260" s="3"/>
      <c r="E260" s="3"/>
      <c r="G260" s="92"/>
      <c r="I260" s="90"/>
      <c r="J260" s="13"/>
      <c r="K260" s="31"/>
      <c r="L260" s="13"/>
      <c r="M260" s="13"/>
    </row>
    <row r="261" spans="1:13" s="89" customFormat="1" x14ac:dyDescent="0.2">
      <c r="A261" s="13"/>
      <c r="B261" s="3"/>
      <c r="C261" s="3"/>
      <c r="D261" s="3"/>
      <c r="E261" s="3"/>
      <c r="G261" s="93"/>
      <c r="I261" s="90"/>
      <c r="J261" s="13"/>
      <c r="K261" s="31"/>
      <c r="L261" s="13"/>
      <c r="M261" s="13"/>
    </row>
    <row r="262" spans="1:13" s="89" customFormat="1" x14ac:dyDescent="0.2">
      <c r="A262" s="13"/>
      <c r="B262" s="3"/>
      <c r="C262" s="3"/>
      <c r="D262" s="3"/>
      <c r="E262" s="3"/>
      <c r="G262" s="94"/>
      <c r="I262" s="90"/>
      <c r="J262" s="13"/>
      <c r="K262" s="31"/>
      <c r="L262" s="13"/>
      <c r="M262" s="13"/>
    </row>
    <row r="263" spans="1:13" s="89" customFormat="1" x14ac:dyDescent="0.2">
      <c r="A263" s="13"/>
      <c r="B263" s="3"/>
      <c r="C263" s="3"/>
      <c r="D263" s="3"/>
      <c r="E263" s="3"/>
      <c r="G263" s="91"/>
      <c r="I263" s="90"/>
      <c r="J263" s="13"/>
      <c r="K263" s="31"/>
      <c r="L263" s="13"/>
      <c r="M263" s="13"/>
    </row>
    <row r="264" spans="1:13" s="13" customFormat="1" x14ac:dyDescent="0.2">
      <c r="B264" s="3"/>
      <c r="C264" s="3"/>
      <c r="D264" s="3"/>
      <c r="E264" s="3"/>
      <c r="F264" s="89"/>
      <c r="G264" s="3"/>
      <c r="H264" s="89"/>
      <c r="I264" s="90"/>
      <c r="K264" s="31"/>
    </row>
    <row r="265" spans="1:13" s="13" customFormat="1" x14ac:dyDescent="0.2">
      <c r="B265" s="3"/>
      <c r="C265" s="3"/>
      <c r="D265" s="3"/>
      <c r="E265" s="3"/>
      <c r="F265" s="89"/>
      <c r="G265" s="3"/>
      <c r="H265" s="89"/>
      <c r="I265" s="90"/>
      <c r="K265" s="31"/>
    </row>
    <row r="266" spans="1:13" s="13" customFormat="1" x14ac:dyDescent="0.2">
      <c r="B266" s="3"/>
      <c r="C266" s="3"/>
      <c r="D266" s="3"/>
      <c r="E266" s="3"/>
      <c r="F266" s="89"/>
      <c r="G266" s="3"/>
      <c r="H266" s="89"/>
      <c r="I266" s="90"/>
      <c r="K266" s="31"/>
    </row>
    <row r="267" spans="1:13" s="89" customFormat="1" x14ac:dyDescent="0.2">
      <c r="A267" s="13"/>
      <c r="B267" s="3"/>
      <c r="C267" s="3"/>
      <c r="D267" s="3"/>
      <c r="E267" s="3"/>
      <c r="G267" s="95"/>
      <c r="I267" s="90"/>
      <c r="J267" s="13"/>
      <c r="K267" s="31"/>
      <c r="L267" s="13"/>
      <c r="M267" s="13"/>
    </row>
    <row r="268" spans="1:13" s="89" customFormat="1" x14ac:dyDescent="0.2">
      <c r="A268" s="13"/>
      <c r="B268" s="3"/>
      <c r="C268" s="3"/>
      <c r="D268" s="3"/>
      <c r="E268" s="3"/>
      <c r="G268" s="96"/>
      <c r="I268" s="90"/>
      <c r="J268" s="13"/>
      <c r="K268" s="31"/>
      <c r="L268" s="13"/>
      <c r="M268" s="13"/>
    </row>
    <row r="269" spans="1:13" s="89" customFormat="1" x14ac:dyDescent="0.2">
      <c r="A269" s="13"/>
      <c r="B269" s="3"/>
      <c r="C269" s="3"/>
      <c r="D269" s="3"/>
      <c r="E269" s="3"/>
      <c r="G269" s="93"/>
      <c r="I269" s="90"/>
      <c r="J269" s="13"/>
      <c r="K269" s="31"/>
      <c r="L269" s="13"/>
      <c r="M269" s="13"/>
    </row>
    <row r="270" spans="1:13" s="89" customFormat="1" x14ac:dyDescent="0.2">
      <c r="A270" s="13"/>
      <c r="B270" s="3"/>
      <c r="C270" s="3"/>
      <c r="D270" s="3"/>
      <c r="E270" s="3"/>
      <c r="G270" s="93"/>
      <c r="I270" s="90"/>
      <c r="J270" s="13"/>
      <c r="K270" s="31"/>
      <c r="L270" s="13"/>
      <c r="M270" s="13"/>
    </row>
    <row r="271" spans="1:13" s="89" customFormat="1" x14ac:dyDescent="0.2">
      <c r="A271" s="13"/>
      <c r="B271" s="3"/>
      <c r="C271" s="3"/>
      <c r="D271" s="3"/>
      <c r="E271" s="3"/>
      <c r="G271" s="91"/>
      <c r="I271" s="90"/>
      <c r="J271" s="13"/>
      <c r="K271" s="31"/>
      <c r="L271" s="13"/>
      <c r="M271" s="13"/>
    </row>
    <row r="272" spans="1:13" s="13" customFormat="1" x14ac:dyDescent="0.2">
      <c r="B272" s="3"/>
      <c r="C272" s="3"/>
      <c r="D272" s="3"/>
      <c r="E272" s="3"/>
      <c r="F272" s="89"/>
      <c r="G272" s="3"/>
      <c r="H272" s="89"/>
      <c r="I272" s="90"/>
      <c r="K272" s="31"/>
    </row>
    <row r="273" spans="1:13" s="13" customFormat="1" x14ac:dyDescent="0.2">
      <c r="B273" s="3"/>
      <c r="C273" s="3"/>
      <c r="D273" s="3"/>
      <c r="E273" s="3"/>
      <c r="F273" s="89"/>
      <c r="G273" s="3"/>
      <c r="H273" s="89"/>
      <c r="I273" s="90"/>
      <c r="K273" s="31"/>
    </row>
    <row r="274" spans="1:13" s="13" customFormat="1" x14ac:dyDescent="0.2">
      <c r="B274" s="3"/>
      <c r="C274" s="3"/>
      <c r="D274" s="3"/>
      <c r="E274" s="3"/>
      <c r="F274" s="89"/>
      <c r="G274" s="3"/>
      <c r="H274" s="89"/>
      <c r="I274" s="90"/>
      <c r="K274" s="31"/>
    </row>
    <row r="275" spans="1:13" s="89" customFormat="1" x14ac:dyDescent="0.2">
      <c r="A275" s="13"/>
      <c r="B275" s="3"/>
      <c r="C275" s="3"/>
      <c r="D275" s="3"/>
      <c r="E275" s="3"/>
      <c r="G275" s="95"/>
      <c r="I275" s="90"/>
      <c r="J275" s="13"/>
      <c r="K275" s="31"/>
      <c r="L275" s="13"/>
      <c r="M275" s="13"/>
    </row>
    <row r="276" spans="1:13" s="89" customFormat="1" x14ac:dyDescent="0.2">
      <c r="A276" s="13"/>
      <c r="B276" s="3"/>
      <c r="C276" s="3"/>
      <c r="D276" s="3"/>
      <c r="E276" s="3"/>
      <c r="G276" s="96"/>
      <c r="I276" s="90"/>
      <c r="J276" s="13"/>
      <c r="K276" s="31"/>
      <c r="L276" s="13"/>
      <c r="M276" s="13"/>
    </row>
    <row r="277" spans="1:13" s="89" customFormat="1" x14ac:dyDescent="0.2">
      <c r="A277" s="13"/>
      <c r="B277" s="3"/>
      <c r="C277" s="3"/>
      <c r="D277" s="3"/>
      <c r="E277" s="3"/>
      <c r="G277" s="93"/>
      <c r="I277" s="90"/>
      <c r="J277" s="13"/>
      <c r="K277" s="31"/>
      <c r="L277" s="13"/>
      <c r="M277" s="13"/>
    </row>
    <row r="278" spans="1:13" s="89" customFormat="1" x14ac:dyDescent="0.2">
      <c r="A278" s="13"/>
      <c r="B278" s="3"/>
      <c r="C278" s="3"/>
      <c r="D278" s="3"/>
      <c r="E278" s="3"/>
      <c r="G278" s="93"/>
      <c r="I278" s="90"/>
      <c r="J278" s="13"/>
      <c r="K278" s="31"/>
      <c r="L278" s="13"/>
      <c r="M278" s="13"/>
    </row>
    <row r="279" spans="1:13" s="89" customFormat="1" x14ac:dyDescent="0.2">
      <c r="A279" s="13"/>
      <c r="B279" s="3"/>
      <c r="C279" s="3"/>
      <c r="D279" s="3"/>
      <c r="E279" s="3"/>
      <c r="G279" s="95"/>
      <c r="I279" s="90"/>
      <c r="J279" s="13"/>
      <c r="K279" s="31"/>
      <c r="L279" s="13"/>
      <c r="M279" s="13"/>
    </row>
    <row r="280" spans="1:13" s="89" customFormat="1" x14ac:dyDescent="0.2">
      <c r="A280" s="13"/>
      <c r="B280" s="3"/>
      <c r="C280" s="3"/>
      <c r="D280" s="3"/>
      <c r="E280" s="3"/>
      <c r="G280" s="97"/>
      <c r="I280" s="90"/>
      <c r="J280" s="13"/>
      <c r="K280" s="31"/>
      <c r="L280" s="13"/>
      <c r="M280" s="13"/>
    </row>
    <row r="281" spans="1:13" s="89" customFormat="1" x14ac:dyDescent="0.2">
      <c r="A281" s="13"/>
      <c r="B281" s="3"/>
      <c r="C281" s="3"/>
      <c r="D281" s="3"/>
      <c r="E281" s="3"/>
      <c r="G281" s="95"/>
      <c r="I281" s="90"/>
      <c r="J281" s="13"/>
      <c r="K281" s="31"/>
      <c r="L281" s="13"/>
      <c r="M281" s="13"/>
    </row>
    <row r="282" spans="1:13" s="13" customFormat="1" x14ac:dyDescent="0.2">
      <c r="B282" s="3"/>
      <c r="C282" s="3"/>
      <c r="D282" s="3"/>
      <c r="E282" s="3"/>
      <c r="F282" s="89"/>
      <c r="G282" s="3"/>
      <c r="H282" s="89"/>
      <c r="I282" s="90"/>
      <c r="K282" s="31"/>
    </row>
    <row r="283" spans="1:13" s="13" customFormat="1" x14ac:dyDescent="0.2">
      <c r="B283" s="3"/>
      <c r="C283" s="3"/>
      <c r="D283" s="3"/>
      <c r="E283" s="3"/>
      <c r="F283" s="89"/>
      <c r="G283" s="3"/>
      <c r="H283" s="89"/>
      <c r="I283" s="90"/>
      <c r="K283" s="31"/>
    </row>
    <row r="284" spans="1:13" s="13" customFormat="1" x14ac:dyDescent="0.2">
      <c r="B284" s="3"/>
      <c r="C284" s="3"/>
      <c r="D284" s="3"/>
      <c r="E284" s="3"/>
      <c r="F284" s="89"/>
      <c r="G284" s="3"/>
      <c r="H284" s="89"/>
      <c r="I284" s="90"/>
      <c r="K284" s="31"/>
    </row>
    <row r="285" spans="1:13" s="13" customFormat="1" x14ac:dyDescent="0.2">
      <c r="B285" s="3"/>
      <c r="C285" s="3"/>
      <c r="D285" s="3"/>
      <c r="E285" s="3"/>
      <c r="F285" s="89"/>
      <c r="G285" s="3"/>
      <c r="H285" s="89"/>
      <c r="I285" s="90"/>
      <c r="K285" s="31"/>
    </row>
    <row r="286" spans="1:13" s="13" customFormat="1" x14ac:dyDescent="0.2">
      <c r="B286" s="3"/>
      <c r="C286" s="3"/>
      <c r="D286" s="3"/>
      <c r="E286" s="3"/>
      <c r="F286" s="89"/>
      <c r="G286" s="3"/>
      <c r="H286" s="89"/>
      <c r="I286" s="90"/>
      <c r="K286" s="31"/>
    </row>
    <row r="287" spans="1:13" s="13" customFormat="1" x14ac:dyDescent="0.2">
      <c r="B287" s="3"/>
      <c r="C287" s="3"/>
      <c r="D287" s="3"/>
      <c r="E287" s="3"/>
      <c r="F287" s="89"/>
      <c r="G287" s="3"/>
      <c r="H287" s="89"/>
      <c r="I287" s="90"/>
      <c r="K287" s="31"/>
    </row>
    <row r="288" spans="1:13" s="13" customFormat="1" x14ac:dyDescent="0.2">
      <c r="B288" s="3"/>
      <c r="C288" s="3"/>
      <c r="D288" s="3"/>
      <c r="E288" s="3"/>
      <c r="F288" s="89"/>
      <c r="G288" s="3"/>
      <c r="H288" s="89"/>
      <c r="I288" s="90"/>
      <c r="K288" s="31"/>
    </row>
    <row r="289" spans="2:11" s="13" customFormat="1" x14ac:dyDescent="0.2">
      <c r="B289" s="3"/>
      <c r="C289" s="3"/>
      <c r="D289" s="3"/>
      <c r="E289" s="3"/>
      <c r="F289" s="89"/>
      <c r="G289" s="3"/>
      <c r="H289" s="89"/>
      <c r="I289" s="90"/>
      <c r="K289" s="31"/>
    </row>
    <row r="290" spans="2:11" s="13" customFormat="1" x14ac:dyDescent="0.2">
      <c r="B290" s="3"/>
      <c r="C290" s="3"/>
      <c r="D290" s="3"/>
      <c r="E290" s="3"/>
      <c r="F290" s="89"/>
      <c r="G290" s="3"/>
      <c r="H290" s="89"/>
      <c r="I290" s="90"/>
      <c r="K290" s="31"/>
    </row>
    <row r="291" spans="2:11" s="13" customFormat="1" x14ac:dyDescent="0.2">
      <c r="B291" s="3"/>
      <c r="C291" s="3"/>
      <c r="D291" s="3"/>
      <c r="E291" s="3"/>
      <c r="F291" s="89"/>
      <c r="G291" s="3"/>
      <c r="H291" s="89"/>
      <c r="I291" s="90"/>
      <c r="K291" s="31"/>
    </row>
    <row r="292" spans="2:11" s="13" customFormat="1" x14ac:dyDescent="0.2">
      <c r="B292" s="3"/>
      <c r="C292" s="3"/>
      <c r="D292" s="3"/>
      <c r="E292" s="3"/>
      <c r="F292" s="89"/>
      <c r="G292" s="3"/>
      <c r="H292" s="89"/>
      <c r="I292" s="90"/>
      <c r="K292" s="31"/>
    </row>
    <row r="293" spans="2:11" s="13" customFormat="1" x14ac:dyDescent="0.2">
      <c r="B293" s="3"/>
      <c r="C293" s="3"/>
      <c r="D293" s="3"/>
      <c r="E293" s="3"/>
      <c r="F293" s="89"/>
      <c r="G293" s="3"/>
      <c r="H293" s="89"/>
      <c r="I293" s="90"/>
      <c r="K293" s="31"/>
    </row>
    <row r="294" spans="2:11" s="13" customFormat="1" x14ac:dyDescent="0.2">
      <c r="B294" s="3"/>
      <c r="C294" s="3"/>
      <c r="D294" s="3"/>
      <c r="E294" s="3"/>
      <c r="F294" s="89"/>
      <c r="G294" s="3"/>
      <c r="H294" s="89"/>
      <c r="I294" s="90"/>
      <c r="K294" s="31"/>
    </row>
    <row r="295" spans="2:11" s="13" customFormat="1" x14ac:dyDescent="0.2">
      <c r="B295" s="3"/>
      <c r="C295" s="3"/>
      <c r="D295" s="3"/>
      <c r="E295" s="3"/>
      <c r="F295" s="89"/>
      <c r="G295" s="3"/>
      <c r="H295" s="89"/>
      <c r="I295" s="90"/>
      <c r="K295" s="31"/>
    </row>
    <row r="296" spans="2:11" s="13" customFormat="1" x14ac:dyDescent="0.2">
      <c r="B296" s="3"/>
      <c r="C296" s="3"/>
      <c r="D296" s="3"/>
      <c r="E296" s="3"/>
      <c r="F296" s="89"/>
      <c r="G296" s="3"/>
      <c r="H296" s="89"/>
      <c r="I296" s="90"/>
      <c r="K296" s="31"/>
    </row>
    <row r="297" spans="2:11" s="13" customFormat="1" x14ac:dyDescent="0.2">
      <c r="B297" s="3"/>
      <c r="C297" s="3"/>
      <c r="D297" s="3"/>
      <c r="E297" s="3"/>
      <c r="F297" s="89"/>
      <c r="G297" s="3"/>
      <c r="H297" s="89"/>
      <c r="I297" s="90"/>
      <c r="K297" s="31"/>
    </row>
    <row r="298" spans="2:11" s="13" customFormat="1" x14ac:dyDescent="0.2">
      <c r="B298" s="3"/>
      <c r="C298" s="3"/>
      <c r="D298" s="3"/>
      <c r="E298" s="3"/>
      <c r="F298" s="89"/>
      <c r="G298" s="3"/>
      <c r="H298" s="89"/>
      <c r="I298" s="90"/>
      <c r="K298" s="31"/>
    </row>
    <row r="299" spans="2:11" s="13" customFormat="1" x14ac:dyDescent="0.2">
      <c r="B299" s="3"/>
      <c r="C299" s="3"/>
      <c r="D299" s="3"/>
      <c r="E299" s="3"/>
      <c r="F299" s="89"/>
      <c r="G299" s="3"/>
      <c r="H299" s="89"/>
      <c r="I299" s="90"/>
      <c r="K299" s="31"/>
    </row>
    <row r="300" spans="2:11" s="13" customFormat="1" x14ac:dyDescent="0.2">
      <c r="B300" s="3"/>
      <c r="C300" s="3"/>
      <c r="D300" s="3"/>
      <c r="E300" s="3"/>
      <c r="F300" s="89"/>
      <c r="G300" s="3"/>
      <c r="H300" s="89"/>
      <c r="I300" s="90"/>
      <c r="K300" s="31"/>
    </row>
    <row r="301" spans="2:11" s="13" customFormat="1" x14ac:dyDescent="0.2">
      <c r="B301" s="3"/>
      <c r="C301" s="3"/>
      <c r="D301" s="3"/>
      <c r="E301" s="3"/>
      <c r="F301" s="89"/>
      <c r="G301" s="3"/>
      <c r="H301" s="89"/>
      <c r="I301" s="90"/>
      <c r="K301" s="31"/>
    </row>
    <row r="302" spans="2:11" s="13" customFormat="1" x14ac:dyDescent="0.2">
      <c r="B302" s="3"/>
      <c r="C302" s="3"/>
      <c r="D302" s="3"/>
      <c r="E302" s="3"/>
      <c r="F302" s="89"/>
      <c r="G302" s="3"/>
      <c r="H302" s="89"/>
      <c r="I302" s="90"/>
      <c r="K302" s="31"/>
    </row>
    <row r="303" spans="2:11" s="13" customFormat="1" x14ac:dyDescent="0.2">
      <c r="B303" s="3"/>
      <c r="C303" s="3"/>
      <c r="D303" s="3"/>
      <c r="E303" s="3"/>
      <c r="F303" s="89"/>
      <c r="G303" s="3"/>
      <c r="H303" s="89"/>
      <c r="I303" s="90"/>
      <c r="K303" s="31"/>
    </row>
    <row r="304" spans="2:11" s="13" customFormat="1" x14ac:dyDescent="0.2">
      <c r="B304" s="3"/>
      <c r="C304" s="3"/>
      <c r="D304" s="3"/>
      <c r="E304" s="3"/>
      <c r="F304" s="89"/>
      <c r="G304" s="3"/>
      <c r="H304" s="89"/>
      <c r="I304" s="90"/>
      <c r="K304" s="31"/>
    </row>
    <row r="305" spans="2:11" s="13" customFormat="1" x14ac:dyDescent="0.2">
      <c r="B305" s="3"/>
      <c r="C305" s="3"/>
      <c r="D305" s="3"/>
      <c r="E305" s="3"/>
      <c r="F305" s="89"/>
      <c r="G305" s="3"/>
      <c r="H305" s="89"/>
      <c r="I305" s="90"/>
      <c r="K305" s="31"/>
    </row>
    <row r="306" spans="2:11" s="13" customFormat="1" x14ac:dyDescent="0.2">
      <c r="B306" s="3"/>
      <c r="C306" s="3"/>
      <c r="D306" s="3"/>
      <c r="E306" s="3"/>
      <c r="F306" s="89"/>
      <c r="G306" s="3"/>
      <c r="H306" s="89"/>
      <c r="I306" s="90"/>
      <c r="K306" s="31"/>
    </row>
    <row r="307" spans="2:11" s="13" customFormat="1" x14ac:dyDescent="0.2">
      <c r="B307" s="3"/>
      <c r="C307" s="3"/>
      <c r="D307" s="3"/>
      <c r="E307" s="3"/>
      <c r="F307" s="89"/>
      <c r="G307" s="3"/>
      <c r="H307" s="89"/>
      <c r="I307" s="90"/>
      <c r="K307" s="31"/>
    </row>
    <row r="308" spans="2:11" s="13" customFormat="1" x14ac:dyDescent="0.2">
      <c r="B308" s="3"/>
      <c r="C308" s="3"/>
      <c r="D308" s="3"/>
      <c r="E308" s="3"/>
      <c r="F308" s="89"/>
      <c r="G308" s="3"/>
      <c r="H308" s="89"/>
      <c r="I308" s="90"/>
      <c r="K308" s="31"/>
    </row>
    <row r="309" spans="2:11" s="13" customFormat="1" x14ac:dyDescent="0.2">
      <c r="B309" s="3"/>
      <c r="C309" s="3"/>
      <c r="D309" s="3"/>
      <c r="E309" s="3"/>
      <c r="F309" s="89"/>
      <c r="G309" s="3"/>
      <c r="H309" s="89"/>
      <c r="I309" s="90"/>
      <c r="K309" s="31"/>
    </row>
    <row r="310" spans="2:11" s="13" customFormat="1" x14ac:dyDescent="0.2">
      <c r="B310" s="3"/>
      <c r="C310" s="3"/>
      <c r="D310" s="3"/>
      <c r="E310" s="3"/>
      <c r="F310" s="89"/>
      <c r="G310" s="3"/>
      <c r="H310" s="89"/>
      <c r="I310" s="90"/>
      <c r="K310" s="31"/>
    </row>
    <row r="311" spans="2:11" s="13" customFormat="1" x14ac:dyDescent="0.2">
      <c r="B311" s="3"/>
      <c r="C311" s="3"/>
      <c r="D311" s="3"/>
      <c r="E311" s="3"/>
      <c r="F311" s="89"/>
      <c r="G311" s="3"/>
      <c r="H311" s="89"/>
      <c r="I311" s="90"/>
      <c r="K311" s="31"/>
    </row>
    <row r="312" spans="2:11" s="13" customFormat="1" x14ac:dyDescent="0.2">
      <c r="B312" s="3"/>
      <c r="C312" s="3"/>
      <c r="D312" s="3"/>
      <c r="E312" s="3"/>
      <c r="F312" s="89"/>
      <c r="G312" s="3"/>
      <c r="H312" s="89"/>
      <c r="I312" s="90"/>
      <c r="K312" s="31"/>
    </row>
    <row r="313" spans="2:11" s="13" customFormat="1" x14ac:dyDescent="0.2">
      <c r="B313" s="3"/>
      <c r="C313" s="3"/>
      <c r="D313" s="3"/>
      <c r="E313" s="3"/>
      <c r="F313" s="89"/>
      <c r="G313" s="3"/>
      <c r="H313" s="89"/>
      <c r="I313" s="90"/>
      <c r="K313" s="31"/>
    </row>
    <row r="314" spans="2:11" s="13" customFormat="1" x14ac:dyDescent="0.2">
      <c r="B314" s="3"/>
      <c r="C314" s="3"/>
      <c r="D314" s="3"/>
      <c r="E314" s="3"/>
      <c r="F314" s="89"/>
      <c r="G314" s="3"/>
      <c r="H314" s="89"/>
      <c r="I314" s="90"/>
      <c r="K314" s="31"/>
    </row>
    <row r="315" spans="2:11" s="13" customFormat="1" x14ac:dyDescent="0.2">
      <c r="B315" s="3"/>
      <c r="C315" s="3"/>
      <c r="D315" s="3"/>
      <c r="E315" s="3"/>
      <c r="F315" s="89"/>
      <c r="G315" s="3"/>
      <c r="H315" s="89"/>
      <c r="I315" s="90"/>
      <c r="K315" s="31"/>
    </row>
    <row r="316" spans="2:11" s="13" customFormat="1" x14ac:dyDescent="0.2">
      <c r="B316" s="3"/>
      <c r="C316" s="3"/>
      <c r="D316" s="3"/>
      <c r="E316" s="3"/>
      <c r="F316" s="89"/>
      <c r="G316" s="3"/>
      <c r="H316" s="89"/>
      <c r="I316" s="90"/>
      <c r="K316" s="31"/>
    </row>
    <row r="317" spans="2:11" s="13" customFormat="1" x14ac:dyDescent="0.2">
      <c r="B317" s="3"/>
      <c r="C317" s="3"/>
      <c r="D317" s="3"/>
      <c r="E317" s="3"/>
      <c r="F317" s="89"/>
      <c r="G317" s="3"/>
      <c r="H317" s="89"/>
      <c r="I317" s="90"/>
      <c r="K317" s="31"/>
    </row>
    <row r="318" spans="2:11" s="13" customFormat="1" x14ac:dyDescent="0.2">
      <c r="B318" s="3"/>
      <c r="C318" s="3"/>
      <c r="D318" s="3"/>
      <c r="E318" s="3"/>
      <c r="F318" s="89"/>
      <c r="G318" s="3"/>
      <c r="H318" s="89"/>
      <c r="I318" s="90"/>
      <c r="K318" s="31"/>
    </row>
    <row r="319" spans="2:11" s="13" customFormat="1" x14ac:dyDescent="0.2">
      <c r="B319" s="3"/>
      <c r="C319" s="3"/>
      <c r="D319" s="3"/>
      <c r="E319" s="3"/>
      <c r="F319" s="89"/>
      <c r="G319" s="3"/>
      <c r="H319" s="89"/>
      <c r="I319" s="90"/>
      <c r="K319" s="31"/>
    </row>
    <row r="320" spans="2:11" s="13" customFormat="1" x14ac:dyDescent="0.2">
      <c r="B320" s="3"/>
      <c r="C320" s="3"/>
      <c r="D320" s="3"/>
      <c r="E320" s="3"/>
      <c r="F320" s="89"/>
      <c r="G320" s="3"/>
      <c r="H320" s="89"/>
      <c r="I320" s="90"/>
      <c r="K320" s="31"/>
    </row>
    <row r="321" spans="2:11" s="13" customFormat="1" x14ac:dyDescent="0.2">
      <c r="B321" s="3"/>
      <c r="C321" s="3"/>
      <c r="D321" s="3"/>
      <c r="E321" s="3"/>
      <c r="F321" s="89"/>
      <c r="G321" s="3"/>
      <c r="H321" s="89"/>
      <c r="I321" s="90"/>
      <c r="K321" s="31"/>
    </row>
    <row r="322" spans="2:11" s="13" customFormat="1" x14ac:dyDescent="0.2">
      <c r="B322" s="3"/>
      <c r="C322" s="3"/>
      <c r="D322" s="3"/>
      <c r="E322" s="3"/>
      <c r="F322" s="89"/>
      <c r="G322" s="3"/>
      <c r="H322" s="89"/>
      <c r="I322" s="90"/>
      <c r="K322" s="31"/>
    </row>
    <row r="323" spans="2:11" s="13" customFormat="1" x14ac:dyDescent="0.2">
      <c r="B323" s="3"/>
      <c r="C323" s="3"/>
      <c r="D323" s="3"/>
      <c r="E323" s="3"/>
      <c r="F323" s="89"/>
      <c r="G323" s="3"/>
      <c r="H323" s="89"/>
      <c r="I323" s="90"/>
      <c r="K323" s="31"/>
    </row>
    <row r="324" spans="2:11" s="13" customFormat="1" x14ac:dyDescent="0.2">
      <c r="B324" s="3"/>
      <c r="C324" s="3"/>
      <c r="D324" s="3"/>
      <c r="E324" s="3"/>
      <c r="F324" s="89"/>
      <c r="G324" s="3"/>
      <c r="H324" s="89"/>
      <c r="I324" s="90"/>
      <c r="K324" s="31"/>
    </row>
    <row r="325" spans="2:11" s="13" customFormat="1" x14ac:dyDescent="0.2">
      <c r="B325" s="3"/>
      <c r="C325" s="3"/>
      <c r="D325" s="3"/>
      <c r="E325" s="3"/>
      <c r="F325" s="89"/>
      <c r="G325" s="3"/>
      <c r="H325" s="89"/>
      <c r="I325" s="90"/>
      <c r="K325" s="31"/>
    </row>
    <row r="326" spans="2:11" s="13" customFormat="1" x14ac:dyDescent="0.2">
      <c r="B326" s="3"/>
      <c r="C326" s="3"/>
      <c r="D326" s="3"/>
      <c r="E326" s="3"/>
      <c r="F326" s="89"/>
      <c r="G326" s="3"/>
      <c r="H326" s="89"/>
      <c r="I326" s="90"/>
      <c r="K326" s="31"/>
    </row>
    <row r="327" spans="2:11" s="13" customFormat="1" x14ac:dyDescent="0.2">
      <c r="B327" s="3"/>
      <c r="C327" s="3"/>
      <c r="D327" s="3"/>
      <c r="E327" s="3"/>
      <c r="F327" s="89"/>
      <c r="G327" s="3"/>
      <c r="H327" s="89"/>
      <c r="I327" s="90"/>
      <c r="K327" s="31"/>
    </row>
    <row r="328" spans="2:11" s="13" customFormat="1" x14ac:dyDescent="0.2">
      <c r="B328" s="3"/>
      <c r="C328" s="3"/>
      <c r="D328" s="3"/>
      <c r="E328" s="3"/>
      <c r="F328" s="89"/>
      <c r="G328" s="3"/>
      <c r="H328" s="89"/>
      <c r="I328" s="90"/>
      <c r="K328" s="31"/>
    </row>
    <row r="329" spans="2:11" s="13" customFormat="1" x14ac:dyDescent="0.2">
      <c r="B329" s="3"/>
      <c r="C329" s="3"/>
      <c r="D329" s="3"/>
      <c r="E329" s="3"/>
      <c r="F329" s="89"/>
      <c r="G329" s="3"/>
      <c r="H329" s="89"/>
      <c r="I329" s="90"/>
      <c r="K329" s="31"/>
    </row>
    <row r="330" spans="2:11" s="13" customFormat="1" x14ac:dyDescent="0.2">
      <c r="B330" s="3"/>
      <c r="C330" s="3"/>
      <c r="D330" s="3"/>
      <c r="E330" s="3"/>
      <c r="F330" s="89"/>
      <c r="G330" s="3"/>
      <c r="H330" s="89"/>
      <c r="I330" s="90"/>
      <c r="K330" s="31"/>
    </row>
    <row r="331" spans="2:11" s="13" customFormat="1" x14ac:dyDescent="0.2">
      <c r="B331" s="3"/>
      <c r="C331" s="3"/>
      <c r="D331" s="3"/>
      <c r="E331" s="3"/>
      <c r="F331" s="89"/>
      <c r="G331" s="3"/>
      <c r="H331" s="89"/>
      <c r="I331" s="90"/>
      <c r="K331" s="31"/>
    </row>
    <row r="332" spans="2:11" s="13" customFormat="1" x14ac:dyDescent="0.2">
      <c r="B332" s="3"/>
      <c r="C332" s="3"/>
      <c r="D332" s="3"/>
      <c r="E332" s="3"/>
      <c r="F332" s="89"/>
      <c r="G332" s="3"/>
      <c r="H332" s="89"/>
      <c r="I332" s="90"/>
      <c r="K332" s="31"/>
    </row>
    <row r="333" spans="2:11" s="13" customFormat="1" x14ac:dyDescent="0.2">
      <c r="B333" s="3"/>
      <c r="C333" s="3"/>
      <c r="D333" s="3"/>
      <c r="E333" s="3"/>
      <c r="F333" s="89"/>
      <c r="G333" s="3"/>
      <c r="H333" s="89"/>
      <c r="I333" s="90"/>
      <c r="K333" s="31"/>
    </row>
    <row r="334" spans="2:11" s="13" customFormat="1" x14ac:dyDescent="0.2">
      <c r="B334" s="3"/>
      <c r="C334" s="3"/>
      <c r="D334" s="3"/>
      <c r="E334" s="3"/>
      <c r="F334" s="89"/>
      <c r="G334" s="3"/>
      <c r="H334" s="89"/>
      <c r="I334" s="90"/>
      <c r="K334" s="31"/>
    </row>
    <row r="335" spans="2:11" s="13" customFormat="1" x14ac:dyDescent="0.2">
      <c r="B335" s="3"/>
      <c r="C335" s="3"/>
      <c r="D335" s="3"/>
      <c r="E335" s="3"/>
      <c r="F335" s="89"/>
      <c r="G335" s="3"/>
      <c r="H335" s="89"/>
      <c r="I335" s="90"/>
      <c r="K335" s="31"/>
    </row>
    <row r="336" spans="2:11" s="13" customFormat="1" x14ac:dyDescent="0.2">
      <c r="B336" s="3"/>
      <c r="C336" s="3"/>
      <c r="D336" s="3"/>
      <c r="E336" s="3"/>
      <c r="F336" s="89"/>
      <c r="G336" s="3"/>
      <c r="H336" s="89"/>
      <c r="I336" s="90"/>
      <c r="K336" s="31"/>
    </row>
    <row r="337" spans="2:11" s="13" customFormat="1" x14ac:dyDescent="0.2">
      <c r="B337" s="3"/>
      <c r="C337" s="3"/>
      <c r="D337" s="3"/>
      <c r="E337" s="3"/>
      <c r="F337" s="89"/>
      <c r="G337" s="3"/>
      <c r="H337" s="89"/>
      <c r="I337" s="90"/>
      <c r="K337" s="31"/>
    </row>
    <row r="338" spans="2:11" s="13" customFormat="1" x14ac:dyDescent="0.2">
      <c r="B338" s="3"/>
      <c r="C338" s="3"/>
      <c r="D338" s="3"/>
      <c r="E338" s="3"/>
      <c r="F338" s="89"/>
      <c r="G338" s="3"/>
      <c r="H338" s="89"/>
      <c r="I338" s="90"/>
      <c r="K338" s="31"/>
    </row>
    <row r="339" spans="2:11" s="13" customFormat="1" x14ac:dyDescent="0.2">
      <c r="B339" s="3"/>
      <c r="C339" s="3"/>
      <c r="D339" s="3"/>
      <c r="E339" s="3"/>
      <c r="F339" s="89"/>
      <c r="G339" s="3"/>
      <c r="H339" s="89"/>
      <c r="I339" s="90"/>
      <c r="K339" s="31"/>
    </row>
    <row r="340" spans="2:11" s="13" customFormat="1" x14ac:dyDescent="0.2">
      <c r="B340" s="3"/>
      <c r="C340" s="3"/>
      <c r="D340" s="3"/>
      <c r="E340" s="3"/>
      <c r="F340" s="89"/>
      <c r="G340" s="3"/>
      <c r="H340" s="89"/>
      <c r="I340" s="90"/>
      <c r="K340" s="31"/>
    </row>
    <row r="341" spans="2:11" s="13" customFormat="1" x14ac:dyDescent="0.2">
      <c r="B341" s="3"/>
      <c r="C341" s="3"/>
      <c r="D341" s="3"/>
      <c r="E341" s="3"/>
      <c r="F341" s="89"/>
      <c r="G341" s="3"/>
      <c r="H341" s="89"/>
      <c r="I341" s="90"/>
      <c r="K341" s="31"/>
    </row>
    <row r="342" spans="2:11" s="13" customFormat="1" x14ac:dyDescent="0.2">
      <c r="B342" s="3"/>
      <c r="C342" s="3"/>
      <c r="D342" s="3"/>
      <c r="E342" s="3"/>
      <c r="F342" s="89"/>
      <c r="G342" s="3"/>
      <c r="H342" s="89"/>
      <c r="I342" s="90"/>
      <c r="K342" s="31"/>
    </row>
    <row r="343" spans="2:11" s="13" customFormat="1" x14ac:dyDescent="0.2">
      <c r="B343" s="3"/>
      <c r="C343" s="3"/>
      <c r="D343" s="3"/>
      <c r="E343" s="3"/>
      <c r="F343" s="89"/>
      <c r="G343" s="3"/>
      <c r="H343" s="89"/>
      <c r="I343" s="90"/>
      <c r="K343" s="31"/>
    </row>
    <row r="344" spans="2:11" s="13" customFormat="1" x14ac:dyDescent="0.2">
      <c r="B344" s="3"/>
      <c r="C344" s="3"/>
      <c r="D344" s="3"/>
      <c r="E344" s="3"/>
      <c r="F344" s="89"/>
      <c r="G344" s="3"/>
      <c r="H344" s="89"/>
      <c r="I344" s="90"/>
      <c r="K344" s="31"/>
    </row>
    <row r="345" spans="2:11" s="13" customFormat="1" x14ac:dyDescent="0.2">
      <c r="B345" s="3"/>
      <c r="C345" s="3"/>
      <c r="D345" s="3"/>
      <c r="E345" s="3"/>
      <c r="F345" s="89"/>
      <c r="G345" s="3"/>
      <c r="H345" s="89"/>
      <c r="I345" s="90"/>
      <c r="K345" s="31"/>
    </row>
    <row r="346" spans="2:11" s="13" customFormat="1" x14ac:dyDescent="0.2">
      <c r="B346" s="3"/>
      <c r="C346" s="3"/>
      <c r="D346" s="3"/>
      <c r="E346" s="3"/>
      <c r="F346" s="89"/>
      <c r="G346" s="3"/>
      <c r="H346" s="89"/>
      <c r="I346" s="90"/>
      <c r="K346" s="31"/>
    </row>
    <row r="347" spans="2:11" s="13" customFormat="1" x14ac:dyDescent="0.2">
      <c r="B347" s="3"/>
      <c r="C347" s="3"/>
      <c r="D347" s="3"/>
      <c r="E347" s="3"/>
      <c r="F347" s="89"/>
      <c r="G347" s="3"/>
      <c r="H347" s="89"/>
      <c r="I347" s="90"/>
      <c r="K347" s="31"/>
    </row>
    <row r="348" spans="2:11" s="13" customFormat="1" x14ac:dyDescent="0.2">
      <c r="B348" s="3"/>
      <c r="C348" s="3"/>
      <c r="D348" s="3"/>
      <c r="E348" s="3"/>
      <c r="F348" s="89"/>
      <c r="G348" s="3"/>
      <c r="H348" s="89"/>
      <c r="I348" s="90"/>
      <c r="K348" s="31"/>
    </row>
    <row r="349" spans="2:11" s="13" customFormat="1" x14ac:dyDescent="0.2">
      <c r="B349" s="3"/>
      <c r="C349" s="3"/>
      <c r="D349" s="3"/>
      <c r="E349" s="3"/>
      <c r="F349" s="89"/>
      <c r="G349" s="3"/>
      <c r="H349" s="89"/>
      <c r="I349" s="90"/>
      <c r="K349" s="31"/>
    </row>
    <row r="350" spans="2:11" s="13" customFormat="1" x14ac:dyDescent="0.2">
      <c r="B350" s="3"/>
      <c r="C350" s="3"/>
      <c r="D350" s="3"/>
      <c r="E350" s="3"/>
      <c r="F350" s="89"/>
      <c r="G350" s="3"/>
      <c r="H350" s="89"/>
      <c r="I350" s="90"/>
      <c r="K350" s="31"/>
    </row>
    <row r="351" spans="2:11" s="13" customFormat="1" x14ac:dyDescent="0.2">
      <c r="B351" s="3"/>
      <c r="C351" s="3"/>
      <c r="D351" s="3"/>
      <c r="E351" s="3"/>
      <c r="F351" s="89"/>
      <c r="G351" s="3"/>
      <c r="H351" s="89"/>
      <c r="I351" s="90"/>
      <c r="K351" s="31"/>
    </row>
    <row r="352" spans="2:11" s="13" customFormat="1" x14ac:dyDescent="0.2">
      <c r="B352" s="3"/>
      <c r="C352" s="3"/>
      <c r="D352" s="3"/>
      <c r="E352" s="3"/>
      <c r="F352" s="89"/>
      <c r="G352" s="3"/>
      <c r="H352" s="89"/>
      <c r="I352" s="90"/>
      <c r="K352" s="31"/>
    </row>
    <row r="353" spans="2:11" s="13" customFormat="1" x14ac:dyDescent="0.2">
      <c r="B353" s="3"/>
      <c r="C353" s="3"/>
      <c r="D353" s="3"/>
      <c r="E353" s="3"/>
      <c r="F353" s="89"/>
      <c r="G353" s="3"/>
      <c r="H353" s="89"/>
      <c r="I353" s="90"/>
      <c r="K353" s="31"/>
    </row>
    <row r="354" spans="2:11" s="13" customFormat="1" x14ac:dyDescent="0.2">
      <c r="B354" s="3"/>
      <c r="C354" s="3"/>
      <c r="D354" s="3"/>
      <c r="E354" s="3"/>
      <c r="F354" s="89"/>
      <c r="G354" s="3"/>
      <c r="H354" s="89"/>
      <c r="I354" s="90"/>
      <c r="K354" s="31"/>
    </row>
    <row r="355" spans="2:11" s="13" customFormat="1" x14ac:dyDescent="0.2">
      <c r="B355" s="3"/>
      <c r="C355" s="3"/>
      <c r="D355" s="3"/>
      <c r="E355" s="3"/>
      <c r="F355" s="89"/>
      <c r="G355" s="3"/>
      <c r="H355" s="89"/>
      <c r="I355" s="90"/>
      <c r="K355" s="31"/>
    </row>
    <row r="356" spans="2:11" s="13" customFormat="1" x14ac:dyDescent="0.2">
      <c r="B356" s="3"/>
      <c r="C356" s="3"/>
      <c r="D356" s="3"/>
      <c r="E356" s="3"/>
      <c r="F356" s="89"/>
      <c r="G356" s="3"/>
      <c r="H356" s="89"/>
      <c r="I356" s="90"/>
      <c r="K356" s="31"/>
    </row>
    <row r="357" spans="2:11" s="13" customFormat="1" x14ac:dyDescent="0.2">
      <c r="B357" s="3"/>
      <c r="C357" s="3"/>
      <c r="D357" s="3"/>
      <c r="E357" s="3"/>
      <c r="F357" s="89"/>
      <c r="G357" s="3"/>
      <c r="H357" s="89"/>
      <c r="I357" s="90"/>
      <c r="K357" s="31"/>
    </row>
    <row r="358" spans="2:11" s="13" customFormat="1" x14ac:dyDescent="0.2">
      <c r="B358" s="3"/>
      <c r="C358" s="3"/>
      <c r="D358" s="3"/>
      <c r="E358" s="3"/>
      <c r="F358" s="89"/>
      <c r="G358" s="3"/>
      <c r="H358" s="89"/>
      <c r="I358" s="90"/>
      <c r="K358" s="31"/>
    </row>
    <row r="359" spans="2:11" s="13" customFormat="1" x14ac:dyDescent="0.2">
      <c r="B359" s="3"/>
      <c r="C359" s="3"/>
      <c r="D359" s="3"/>
      <c r="E359" s="3"/>
      <c r="F359" s="89"/>
      <c r="G359" s="3"/>
      <c r="H359" s="89"/>
      <c r="I359" s="90"/>
      <c r="K359" s="31"/>
    </row>
    <row r="360" spans="2:11" s="13" customFormat="1" x14ac:dyDescent="0.2">
      <c r="B360" s="3"/>
      <c r="C360" s="3"/>
      <c r="D360" s="3"/>
      <c r="E360" s="3"/>
      <c r="F360" s="89"/>
      <c r="G360" s="3"/>
      <c r="H360" s="89"/>
      <c r="I360" s="90"/>
      <c r="K360" s="31"/>
    </row>
    <row r="361" spans="2:11" s="13" customFormat="1" x14ac:dyDescent="0.2">
      <c r="B361" s="3"/>
      <c r="C361" s="3"/>
      <c r="D361" s="3"/>
      <c r="E361" s="3"/>
      <c r="F361" s="89"/>
      <c r="G361" s="3"/>
      <c r="H361" s="89"/>
      <c r="I361" s="90"/>
      <c r="K361" s="31"/>
    </row>
    <row r="362" spans="2:11" s="13" customFormat="1" x14ac:dyDescent="0.2">
      <c r="B362" s="3"/>
      <c r="C362" s="3"/>
      <c r="D362" s="3"/>
      <c r="E362" s="3"/>
      <c r="F362" s="89"/>
      <c r="G362" s="3"/>
      <c r="H362" s="89"/>
      <c r="I362" s="90"/>
      <c r="K362" s="31"/>
    </row>
    <row r="363" spans="2:11" s="13" customFormat="1" x14ac:dyDescent="0.2">
      <c r="B363" s="3"/>
      <c r="C363" s="3"/>
      <c r="D363" s="3"/>
      <c r="E363" s="3"/>
      <c r="F363" s="89"/>
      <c r="G363" s="3"/>
      <c r="H363" s="89"/>
      <c r="I363" s="90"/>
      <c r="K363" s="31"/>
    </row>
    <row r="364" spans="2:11" s="13" customFormat="1" x14ac:dyDescent="0.2">
      <c r="B364" s="3"/>
      <c r="C364" s="3"/>
      <c r="D364" s="3"/>
      <c r="E364" s="3"/>
      <c r="F364" s="89"/>
      <c r="G364" s="3"/>
      <c r="H364" s="89"/>
      <c r="I364" s="90"/>
      <c r="K364" s="31"/>
    </row>
    <row r="365" spans="2:11" s="13" customFormat="1" x14ac:dyDescent="0.2">
      <c r="B365" s="3"/>
      <c r="C365" s="3"/>
      <c r="D365" s="3"/>
      <c r="E365" s="3"/>
      <c r="F365" s="89"/>
      <c r="G365" s="3"/>
      <c r="H365" s="89"/>
      <c r="I365" s="90"/>
      <c r="K365" s="31"/>
    </row>
    <row r="366" spans="2:11" s="13" customFormat="1" x14ac:dyDescent="0.2">
      <c r="B366" s="3"/>
      <c r="C366" s="3"/>
      <c r="D366" s="3"/>
      <c r="E366" s="3"/>
      <c r="F366" s="89"/>
      <c r="G366" s="3"/>
      <c r="H366" s="89"/>
      <c r="I366" s="90"/>
      <c r="K366" s="31"/>
    </row>
    <row r="367" spans="2:11" s="13" customFormat="1" x14ac:dyDescent="0.2">
      <c r="B367" s="3"/>
      <c r="C367" s="3"/>
      <c r="D367" s="3"/>
      <c r="E367" s="3"/>
      <c r="F367" s="89"/>
      <c r="G367" s="3"/>
      <c r="H367" s="89"/>
      <c r="I367" s="90"/>
      <c r="K367" s="31"/>
    </row>
    <row r="368" spans="2:11" s="13" customFormat="1" x14ac:dyDescent="0.2">
      <c r="B368" s="3"/>
      <c r="C368" s="3"/>
      <c r="D368" s="3"/>
      <c r="E368" s="3"/>
      <c r="F368" s="89"/>
      <c r="G368" s="3"/>
      <c r="H368" s="89"/>
      <c r="I368" s="90"/>
      <c r="K368" s="31"/>
    </row>
    <row r="369" spans="2:11" s="13" customFormat="1" x14ac:dyDescent="0.2">
      <c r="B369" s="3"/>
      <c r="C369" s="3"/>
      <c r="D369" s="3"/>
      <c r="E369" s="3"/>
      <c r="F369" s="89"/>
      <c r="G369" s="3"/>
      <c r="H369" s="89"/>
      <c r="I369" s="90"/>
      <c r="K369" s="31"/>
    </row>
    <row r="370" spans="2:11" s="13" customFormat="1" x14ac:dyDescent="0.2">
      <c r="B370" s="3"/>
      <c r="C370" s="3"/>
      <c r="D370" s="3"/>
      <c r="E370" s="3"/>
      <c r="F370" s="89"/>
      <c r="G370" s="3"/>
      <c r="H370" s="89"/>
      <c r="I370" s="90"/>
      <c r="K370" s="31"/>
    </row>
    <row r="371" spans="2:11" s="13" customFormat="1" x14ac:dyDescent="0.2">
      <c r="B371" s="3"/>
      <c r="C371" s="3"/>
      <c r="D371" s="3"/>
      <c r="E371" s="3"/>
      <c r="F371" s="89"/>
      <c r="G371" s="3"/>
      <c r="H371" s="89"/>
      <c r="I371" s="90"/>
      <c r="K371" s="31"/>
    </row>
    <row r="372" spans="2:11" s="13" customFormat="1" x14ac:dyDescent="0.2">
      <c r="B372" s="3"/>
      <c r="C372" s="3"/>
      <c r="D372" s="3"/>
      <c r="E372" s="3"/>
      <c r="F372" s="89"/>
      <c r="G372" s="3"/>
      <c r="H372" s="89"/>
      <c r="I372" s="90"/>
      <c r="K372" s="31"/>
    </row>
    <row r="373" spans="2:11" s="13" customFormat="1" x14ac:dyDescent="0.2">
      <c r="B373" s="3"/>
      <c r="C373" s="3"/>
      <c r="D373" s="3"/>
      <c r="E373" s="3"/>
      <c r="F373" s="89"/>
      <c r="G373" s="3"/>
      <c r="H373" s="89"/>
      <c r="I373" s="90"/>
      <c r="K373" s="31"/>
    </row>
    <row r="374" spans="2:11" s="13" customFormat="1" x14ac:dyDescent="0.2">
      <c r="B374" s="3"/>
      <c r="C374" s="3"/>
      <c r="D374" s="3"/>
      <c r="E374" s="3"/>
      <c r="F374" s="89"/>
      <c r="G374" s="3"/>
      <c r="H374" s="89"/>
      <c r="I374" s="90"/>
      <c r="K374" s="31"/>
    </row>
    <row r="375" spans="2:11" s="13" customFormat="1" x14ac:dyDescent="0.2">
      <c r="B375" s="3"/>
      <c r="C375" s="3"/>
      <c r="D375" s="3"/>
      <c r="E375" s="3"/>
      <c r="F375" s="89"/>
      <c r="G375" s="3"/>
      <c r="H375" s="89"/>
      <c r="I375" s="90"/>
      <c r="K375" s="31"/>
    </row>
    <row r="376" spans="2:11" s="13" customFormat="1" x14ac:dyDescent="0.2">
      <c r="B376" s="3"/>
      <c r="C376" s="3"/>
      <c r="D376" s="3"/>
      <c r="E376" s="3"/>
      <c r="F376" s="89"/>
      <c r="G376" s="3"/>
      <c r="H376" s="89"/>
      <c r="I376" s="90"/>
      <c r="K376" s="31"/>
    </row>
    <row r="377" spans="2:11" s="13" customFormat="1" x14ac:dyDescent="0.2">
      <c r="B377" s="3"/>
      <c r="C377" s="3"/>
      <c r="D377" s="3"/>
      <c r="E377" s="3"/>
      <c r="F377" s="89"/>
      <c r="G377" s="3"/>
      <c r="H377" s="89"/>
      <c r="I377" s="90"/>
      <c r="K377" s="31"/>
    </row>
    <row r="378" spans="2:11" s="13" customFormat="1" x14ac:dyDescent="0.2">
      <c r="B378" s="3"/>
      <c r="C378" s="3"/>
      <c r="D378" s="3"/>
      <c r="E378" s="3"/>
      <c r="F378" s="89"/>
      <c r="G378" s="3"/>
      <c r="H378" s="89"/>
      <c r="I378" s="90"/>
      <c r="K378" s="31"/>
    </row>
    <row r="379" spans="2:11" s="13" customFormat="1" x14ac:dyDescent="0.2">
      <c r="B379" s="3"/>
      <c r="C379" s="3"/>
      <c r="D379" s="3"/>
      <c r="E379" s="3"/>
      <c r="F379" s="89"/>
      <c r="G379" s="3"/>
      <c r="H379" s="89"/>
      <c r="I379" s="90"/>
      <c r="K379" s="31"/>
    </row>
    <row r="380" spans="2:11" s="13" customFormat="1" x14ac:dyDescent="0.2">
      <c r="B380" s="3"/>
      <c r="C380" s="3"/>
      <c r="D380" s="3"/>
      <c r="E380" s="3"/>
      <c r="F380" s="89"/>
      <c r="G380" s="3"/>
      <c r="H380" s="89"/>
      <c r="I380" s="90"/>
      <c r="K380" s="31"/>
    </row>
    <row r="381" spans="2:11" s="13" customFormat="1" x14ac:dyDescent="0.2">
      <c r="B381" s="3"/>
      <c r="C381" s="3"/>
      <c r="D381" s="3"/>
      <c r="E381" s="3"/>
      <c r="F381" s="89"/>
      <c r="G381" s="3"/>
      <c r="H381" s="89"/>
      <c r="I381" s="90"/>
      <c r="K381" s="31"/>
    </row>
    <row r="382" spans="2:11" s="13" customFormat="1" x14ac:dyDescent="0.2">
      <c r="B382" s="3"/>
      <c r="C382" s="3"/>
      <c r="D382" s="3"/>
      <c r="E382" s="3"/>
      <c r="F382" s="89"/>
      <c r="G382" s="3"/>
      <c r="H382" s="89"/>
      <c r="I382" s="90"/>
      <c r="K382" s="31"/>
    </row>
    <row r="383" spans="2:11" s="13" customFormat="1" x14ac:dyDescent="0.2">
      <c r="B383" s="3"/>
      <c r="C383" s="3"/>
      <c r="D383" s="3"/>
      <c r="E383" s="3"/>
      <c r="F383" s="89"/>
      <c r="G383" s="3"/>
      <c r="H383" s="89"/>
      <c r="I383" s="90"/>
      <c r="K383" s="31"/>
    </row>
    <row r="384" spans="2:11" s="13" customFormat="1" x14ac:dyDescent="0.2">
      <c r="B384" s="3"/>
      <c r="C384" s="3"/>
      <c r="D384" s="3"/>
      <c r="E384" s="3"/>
      <c r="F384" s="89"/>
      <c r="G384" s="3"/>
      <c r="H384" s="89"/>
      <c r="I384" s="90"/>
      <c r="K384" s="31"/>
    </row>
    <row r="385" spans="2:11" s="13" customFormat="1" x14ac:dyDescent="0.2">
      <c r="B385" s="3"/>
      <c r="C385" s="3"/>
      <c r="D385" s="3"/>
      <c r="E385" s="3"/>
      <c r="F385" s="89"/>
      <c r="G385" s="3"/>
      <c r="H385" s="89"/>
      <c r="I385" s="90"/>
      <c r="K385" s="31"/>
    </row>
    <row r="386" spans="2:11" s="13" customFormat="1" x14ac:dyDescent="0.2">
      <c r="B386" s="3"/>
      <c r="C386" s="3"/>
      <c r="D386" s="3"/>
      <c r="E386" s="3"/>
      <c r="F386" s="89"/>
      <c r="G386" s="3"/>
      <c r="H386" s="89"/>
      <c r="I386" s="90"/>
      <c r="K386" s="31"/>
    </row>
    <row r="387" spans="2:11" s="13" customFormat="1" x14ac:dyDescent="0.2">
      <c r="B387" s="3"/>
      <c r="C387" s="3"/>
      <c r="D387" s="3"/>
      <c r="E387" s="3"/>
      <c r="F387" s="89"/>
      <c r="G387" s="3"/>
      <c r="H387" s="89"/>
      <c r="I387" s="90"/>
      <c r="K387" s="31"/>
    </row>
    <row r="388" spans="2:11" s="13" customFormat="1" x14ac:dyDescent="0.2">
      <c r="B388" s="3"/>
      <c r="C388" s="3"/>
      <c r="D388" s="3"/>
      <c r="E388" s="3"/>
      <c r="F388" s="89"/>
      <c r="G388" s="3"/>
      <c r="H388" s="89"/>
      <c r="I388" s="90"/>
      <c r="K388" s="31"/>
    </row>
    <row r="389" spans="2:11" s="13" customFormat="1" x14ac:dyDescent="0.2">
      <c r="B389" s="3"/>
      <c r="C389" s="3"/>
      <c r="D389" s="3"/>
      <c r="E389" s="3"/>
      <c r="F389" s="89"/>
      <c r="G389" s="3"/>
      <c r="H389" s="89"/>
      <c r="I389" s="90"/>
      <c r="K389" s="31"/>
    </row>
    <row r="390" spans="2:11" s="13" customFormat="1" x14ac:dyDescent="0.2">
      <c r="B390" s="3"/>
      <c r="C390" s="3"/>
      <c r="D390" s="3"/>
      <c r="E390" s="3"/>
      <c r="F390" s="89"/>
      <c r="G390" s="3"/>
      <c r="H390" s="89"/>
      <c r="I390" s="90"/>
      <c r="K390" s="31"/>
    </row>
    <row r="391" spans="2:11" s="13" customFormat="1" x14ac:dyDescent="0.2">
      <c r="B391" s="3"/>
      <c r="C391" s="3"/>
      <c r="D391" s="3"/>
      <c r="E391" s="3"/>
      <c r="F391" s="89"/>
      <c r="G391" s="3"/>
      <c r="H391" s="89"/>
      <c r="I391" s="90"/>
      <c r="K391" s="31"/>
    </row>
    <row r="392" spans="2:11" s="13" customFormat="1" x14ac:dyDescent="0.2">
      <c r="B392" s="3"/>
      <c r="C392" s="3"/>
      <c r="D392" s="3"/>
      <c r="E392" s="3"/>
      <c r="F392" s="89"/>
      <c r="G392" s="3"/>
      <c r="H392" s="89"/>
      <c r="I392" s="90"/>
      <c r="K392" s="31"/>
    </row>
    <row r="393" spans="2:11" s="13" customFormat="1" x14ac:dyDescent="0.2">
      <c r="B393" s="3"/>
      <c r="C393" s="3"/>
      <c r="D393" s="3"/>
      <c r="E393" s="3"/>
      <c r="F393" s="89"/>
      <c r="G393" s="3"/>
      <c r="H393" s="89"/>
      <c r="I393" s="90"/>
      <c r="K393" s="31"/>
    </row>
    <row r="394" spans="2:11" s="13" customFormat="1" x14ac:dyDescent="0.2">
      <c r="B394" s="3"/>
      <c r="C394" s="3"/>
      <c r="D394" s="3"/>
      <c r="E394" s="3"/>
      <c r="F394" s="89"/>
      <c r="G394" s="3"/>
      <c r="H394" s="89"/>
      <c r="I394" s="90"/>
      <c r="K394" s="31"/>
    </row>
    <row r="395" spans="2:11" s="13" customFormat="1" x14ac:dyDescent="0.2">
      <c r="B395" s="3"/>
      <c r="C395" s="3"/>
      <c r="D395" s="3"/>
      <c r="E395" s="3"/>
      <c r="F395" s="89"/>
      <c r="G395" s="3"/>
      <c r="H395" s="89"/>
      <c r="I395" s="90"/>
      <c r="K395" s="31"/>
    </row>
    <row r="396" spans="2:11" s="13" customFormat="1" x14ac:dyDescent="0.2">
      <c r="B396" s="3"/>
      <c r="C396" s="3"/>
      <c r="D396" s="3"/>
      <c r="E396" s="3"/>
      <c r="F396" s="89"/>
      <c r="G396" s="3"/>
      <c r="H396" s="89"/>
      <c r="I396" s="90"/>
      <c r="K396" s="31"/>
    </row>
    <row r="397" spans="2:11" s="13" customFormat="1" x14ac:dyDescent="0.2">
      <c r="B397" s="3"/>
      <c r="C397" s="3"/>
      <c r="D397" s="3"/>
      <c r="E397" s="3"/>
      <c r="F397" s="89"/>
      <c r="G397" s="3"/>
      <c r="H397" s="89"/>
      <c r="I397" s="90"/>
      <c r="K397" s="31"/>
    </row>
    <row r="398" spans="2:11" s="13" customFormat="1" x14ac:dyDescent="0.2">
      <c r="B398" s="3"/>
      <c r="C398" s="3"/>
      <c r="D398" s="3"/>
      <c r="E398" s="3"/>
      <c r="F398" s="89"/>
      <c r="G398" s="3"/>
      <c r="H398" s="89"/>
      <c r="I398" s="90"/>
      <c r="K398" s="31"/>
    </row>
    <row r="399" spans="2:11" s="13" customFormat="1" x14ac:dyDescent="0.2">
      <c r="B399" s="3"/>
      <c r="C399" s="3"/>
      <c r="D399" s="3"/>
      <c r="E399" s="3"/>
      <c r="F399" s="89"/>
      <c r="G399" s="3"/>
      <c r="H399" s="89"/>
      <c r="I399" s="90"/>
      <c r="K399" s="31"/>
    </row>
    <row r="400" spans="2:11" s="13" customFormat="1" x14ac:dyDescent="0.2">
      <c r="B400" s="3"/>
      <c r="C400" s="3"/>
      <c r="D400" s="3"/>
      <c r="E400" s="3"/>
      <c r="F400" s="89"/>
      <c r="G400" s="3"/>
      <c r="H400" s="89"/>
      <c r="I400" s="90"/>
      <c r="K400" s="31"/>
    </row>
    <row r="401" spans="2:11" s="13" customFormat="1" x14ac:dyDescent="0.2">
      <c r="B401" s="3"/>
      <c r="C401" s="3"/>
      <c r="D401" s="3"/>
      <c r="E401" s="3"/>
      <c r="F401" s="89"/>
      <c r="G401" s="3"/>
      <c r="H401" s="89"/>
      <c r="I401" s="90"/>
      <c r="K401" s="31"/>
    </row>
    <row r="402" spans="2:11" s="13" customFormat="1" x14ac:dyDescent="0.2">
      <c r="B402" s="3"/>
      <c r="C402" s="3"/>
      <c r="D402" s="3"/>
      <c r="E402" s="3"/>
      <c r="F402" s="89"/>
      <c r="G402" s="3"/>
      <c r="H402" s="89"/>
      <c r="I402" s="90"/>
      <c r="K402" s="31"/>
    </row>
    <row r="403" spans="2:11" s="13" customFormat="1" x14ac:dyDescent="0.2">
      <c r="B403" s="3"/>
      <c r="C403" s="3"/>
      <c r="D403" s="3"/>
      <c r="E403" s="3"/>
      <c r="F403" s="89"/>
      <c r="G403" s="3"/>
      <c r="H403" s="89"/>
      <c r="I403" s="90"/>
      <c r="K403" s="31"/>
    </row>
    <row r="404" spans="2:11" s="13" customFormat="1" x14ac:dyDescent="0.2">
      <c r="B404" s="3"/>
      <c r="C404" s="3"/>
      <c r="D404" s="3"/>
      <c r="E404" s="3"/>
      <c r="F404" s="89"/>
      <c r="G404" s="3"/>
      <c r="H404" s="89"/>
      <c r="I404" s="90"/>
      <c r="K404" s="31"/>
    </row>
    <row r="405" spans="2:11" s="13" customFormat="1" x14ac:dyDescent="0.2">
      <c r="B405" s="3"/>
      <c r="C405" s="3"/>
      <c r="D405" s="3"/>
      <c r="E405" s="3"/>
      <c r="F405" s="89"/>
      <c r="G405" s="3"/>
      <c r="H405" s="89"/>
      <c r="I405" s="90"/>
      <c r="K405" s="31"/>
    </row>
    <row r="406" spans="2:11" s="13" customFormat="1" x14ac:dyDescent="0.2">
      <c r="B406" s="3"/>
      <c r="C406" s="3"/>
      <c r="D406" s="3"/>
      <c r="E406" s="3"/>
      <c r="F406" s="89"/>
      <c r="G406" s="3"/>
      <c r="H406" s="89"/>
      <c r="I406" s="90"/>
      <c r="K406" s="31"/>
    </row>
    <row r="407" spans="2:11" s="13" customFormat="1" x14ac:dyDescent="0.2">
      <c r="B407" s="3"/>
      <c r="C407" s="3"/>
      <c r="D407" s="3"/>
      <c r="E407" s="3"/>
      <c r="F407" s="89"/>
      <c r="G407" s="3"/>
      <c r="H407" s="89"/>
      <c r="I407" s="90"/>
      <c r="K407" s="31"/>
    </row>
    <row r="408" spans="2:11" s="13" customFormat="1" x14ac:dyDescent="0.2">
      <c r="B408" s="3"/>
      <c r="C408" s="3"/>
      <c r="D408" s="3"/>
      <c r="E408" s="3"/>
      <c r="F408" s="89"/>
      <c r="G408" s="3"/>
      <c r="H408" s="89"/>
      <c r="I408" s="90"/>
      <c r="K408" s="31"/>
    </row>
    <row r="409" spans="2:11" s="13" customFormat="1" x14ac:dyDescent="0.2">
      <c r="B409" s="3"/>
      <c r="C409" s="3"/>
      <c r="D409" s="3"/>
      <c r="E409" s="3"/>
      <c r="F409" s="89"/>
      <c r="G409" s="3"/>
      <c r="H409" s="89"/>
      <c r="I409" s="90"/>
      <c r="K409" s="31"/>
    </row>
    <row r="410" spans="2:11" s="13" customFormat="1" x14ac:dyDescent="0.2">
      <c r="B410" s="3"/>
      <c r="C410" s="3"/>
      <c r="D410" s="3"/>
      <c r="E410" s="3"/>
      <c r="F410" s="89"/>
      <c r="G410" s="3"/>
      <c r="H410" s="89"/>
      <c r="I410" s="90"/>
      <c r="K410" s="31"/>
    </row>
    <row r="411" spans="2:11" s="13" customFormat="1" x14ac:dyDescent="0.2">
      <c r="B411" s="3"/>
      <c r="C411" s="3"/>
      <c r="D411" s="3"/>
      <c r="E411" s="3"/>
      <c r="F411" s="89"/>
      <c r="G411" s="3"/>
      <c r="H411" s="89"/>
      <c r="I411" s="90"/>
      <c r="K411" s="31"/>
    </row>
    <row r="412" spans="2:11" s="13" customFormat="1" x14ac:dyDescent="0.2">
      <c r="B412" s="3"/>
      <c r="C412" s="3"/>
      <c r="D412" s="3"/>
      <c r="E412" s="3"/>
      <c r="F412" s="89"/>
      <c r="G412" s="3"/>
      <c r="H412" s="89"/>
      <c r="I412" s="90"/>
      <c r="K412" s="31"/>
    </row>
    <row r="413" spans="2:11" s="13" customFormat="1" x14ac:dyDescent="0.2">
      <c r="B413" s="3"/>
      <c r="C413" s="3"/>
      <c r="D413" s="3"/>
      <c r="E413" s="3"/>
      <c r="F413" s="89"/>
      <c r="G413" s="3"/>
      <c r="H413" s="89"/>
      <c r="I413" s="90"/>
      <c r="K413" s="31"/>
    </row>
    <row r="414" spans="2:11" s="13" customFormat="1" x14ac:dyDescent="0.2">
      <c r="B414" s="3"/>
      <c r="C414" s="3"/>
      <c r="D414" s="3"/>
      <c r="E414" s="3"/>
      <c r="F414" s="89"/>
      <c r="G414" s="3"/>
      <c r="H414" s="89"/>
      <c r="I414" s="90"/>
      <c r="K414" s="31"/>
    </row>
    <row r="415" spans="2:11" s="13" customFormat="1" x14ac:dyDescent="0.2">
      <c r="B415" s="3"/>
      <c r="C415" s="3"/>
      <c r="D415" s="3"/>
      <c r="E415" s="3"/>
      <c r="F415" s="89"/>
      <c r="G415" s="3"/>
      <c r="H415" s="89"/>
      <c r="I415" s="90"/>
      <c r="K415" s="31"/>
    </row>
    <row r="416" spans="2:11" s="13" customFormat="1" x14ac:dyDescent="0.2">
      <c r="B416" s="3"/>
      <c r="C416" s="3"/>
      <c r="D416" s="3"/>
      <c r="E416" s="3"/>
      <c r="F416" s="89"/>
      <c r="G416" s="3"/>
      <c r="H416" s="89"/>
      <c r="I416" s="90"/>
      <c r="K416" s="31"/>
    </row>
    <row r="417" spans="2:11" s="13" customFormat="1" x14ac:dyDescent="0.2">
      <c r="B417" s="3"/>
      <c r="C417" s="3"/>
      <c r="D417" s="3"/>
      <c r="E417" s="3"/>
      <c r="F417" s="89"/>
      <c r="G417" s="3"/>
      <c r="H417" s="89"/>
      <c r="I417" s="90"/>
      <c r="K417" s="31"/>
    </row>
    <row r="418" spans="2:11" s="13" customFormat="1" x14ac:dyDescent="0.2">
      <c r="B418" s="3"/>
      <c r="C418" s="3"/>
      <c r="D418" s="3"/>
      <c r="E418" s="3"/>
      <c r="F418" s="89"/>
      <c r="G418" s="3"/>
      <c r="H418" s="89"/>
      <c r="I418" s="90"/>
      <c r="K418" s="31"/>
    </row>
    <row r="419" spans="2:11" s="13" customFormat="1" x14ac:dyDescent="0.2">
      <c r="B419" s="3"/>
      <c r="C419" s="3"/>
      <c r="D419" s="3"/>
      <c r="E419" s="3"/>
      <c r="F419" s="89"/>
      <c r="G419" s="3"/>
      <c r="H419" s="89"/>
      <c r="I419" s="90"/>
      <c r="K419" s="31"/>
    </row>
    <row r="420" spans="2:11" s="13" customFormat="1" x14ac:dyDescent="0.2">
      <c r="B420" s="3"/>
      <c r="C420" s="3"/>
      <c r="D420" s="3"/>
      <c r="E420" s="3"/>
      <c r="F420" s="89"/>
      <c r="G420" s="3"/>
      <c r="H420" s="89"/>
      <c r="I420" s="90"/>
      <c r="K420" s="31"/>
    </row>
    <row r="421" spans="2:11" s="13" customFormat="1" x14ac:dyDescent="0.2">
      <c r="B421" s="3"/>
      <c r="C421" s="3"/>
      <c r="D421" s="3"/>
      <c r="E421" s="3"/>
      <c r="F421" s="89"/>
      <c r="G421" s="3"/>
      <c r="H421" s="89"/>
      <c r="I421" s="90"/>
      <c r="K421" s="31"/>
    </row>
    <row r="422" spans="2:11" s="13" customFormat="1" x14ac:dyDescent="0.2">
      <c r="B422" s="3"/>
      <c r="C422" s="3"/>
      <c r="D422" s="3"/>
      <c r="E422" s="3"/>
      <c r="F422" s="89"/>
      <c r="G422" s="3"/>
      <c r="H422" s="89"/>
      <c r="I422" s="90"/>
      <c r="K422" s="31"/>
    </row>
    <row r="423" spans="2:11" s="13" customFormat="1" x14ac:dyDescent="0.2">
      <c r="B423" s="3"/>
      <c r="C423" s="3"/>
      <c r="D423" s="3"/>
      <c r="E423" s="3"/>
      <c r="F423" s="89"/>
      <c r="G423" s="3"/>
      <c r="H423" s="89"/>
      <c r="I423" s="90"/>
      <c r="K423" s="31"/>
    </row>
    <row r="424" spans="2:11" s="13" customFormat="1" x14ac:dyDescent="0.2">
      <c r="B424" s="3"/>
      <c r="C424" s="3"/>
      <c r="D424" s="3"/>
      <c r="E424" s="3"/>
      <c r="F424" s="89"/>
      <c r="G424" s="3"/>
      <c r="H424" s="89"/>
      <c r="I424" s="90"/>
      <c r="K424" s="31"/>
    </row>
    <row r="425" spans="2:11" s="13" customFormat="1" x14ac:dyDescent="0.2">
      <c r="B425" s="3"/>
      <c r="C425" s="3"/>
      <c r="D425" s="3"/>
      <c r="E425" s="3"/>
      <c r="F425" s="89"/>
      <c r="G425" s="3"/>
      <c r="H425" s="89"/>
      <c r="I425" s="90"/>
      <c r="K425" s="31"/>
    </row>
    <row r="426" spans="2:11" s="13" customFormat="1" x14ac:dyDescent="0.2">
      <c r="B426" s="3"/>
      <c r="C426" s="3"/>
      <c r="D426" s="3"/>
      <c r="E426" s="3"/>
      <c r="F426" s="89"/>
      <c r="G426" s="3"/>
      <c r="H426" s="89"/>
      <c r="I426" s="90"/>
      <c r="K426" s="31"/>
    </row>
    <row r="427" spans="2:11" s="13" customFormat="1" x14ac:dyDescent="0.2">
      <c r="B427" s="3"/>
      <c r="C427" s="3"/>
      <c r="D427" s="3"/>
      <c r="E427" s="3"/>
      <c r="F427" s="89"/>
      <c r="G427" s="3"/>
      <c r="H427" s="89"/>
      <c r="I427" s="90"/>
      <c r="K427" s="31"/>
    </row>
    <row r="428" spans="2:11" s="13" customFormat="1" x14ac:dyDescent="0.2">
      <c r="B428" s="3"/>
      <c r="C428" s="3"/>
      <c r="D428" s="3"/>
      <c r="E428" s="3"/>
      <c r="F428" s="89"/>
      <c r="G428" s="3"/>
      <c r="H428" s="89"/>
      <c r="I428" s="90"/>
      <c r="K428" s="31"/>
    </row>
    <row r="429" spans="2:11" s="13" customFormat="1" x14ac:dyDescent="0.2">
      <c r="B429" s="3"/>
      <c r="C429" s="3"/>
      <c r="D429" s="3"/>
      <c r="E429" s="3"/>
      <c r="F429" s="89"/>
      <c r="G429" s="3"/>
      <c r="H429" s="89"/>
      <c r="I429" s="90"/>
      <c r="K429" s="31"/>
    </row>
    <row r="430" spans="2:11" s="13" customFormat="1" x14ac:dyDescent="0.2">
      <c r="B430" s="3"/>
      <c r="C430" s="3"/>
      <c r="D430" s="3"/>
      <c r="E430" s="3"/>
      <c r="F430" s="89"/>
      <c r="G430" s="3"/>
      <c r="H430" s="89"/>
      <c r="I430" s="90"/>
      <c r="K430" s="31"/>
    </row>
    <row r="431" spans="2:11" s="13" customFormat="1" x14ac:dyDescent="0.2">
      <c r="B431" s="3"/>
      <c r="C431" s="3"/>
      <c r="D431" s="3"/>
      <c r="E431" s="3"/>
      <c r="F431" s="89"/>
      <c r="G431" s="3"/>
      <c r="H431" s="89"/>
      <c r="I431" s="90"/>
      <c r="K431" s="31"/>
    </row>
    <row r="432" spans="2:11" s="13" customFormat="1" x14ac:dyDescent="0.2">
      <c r="B432" s="3"/>
      <c r="C432" s="3"/>
      <c r="D432" s="3"/>
      <c r="E432" s="3"/>
      <c r="F432" s="89"/>
      <c r="G432" s="3"/>
      <c r="H432" s="89"/>
      <c r="I432" s="90"/>
      <c r="K432" s="31"/>
    </row>
    <row r="433" spans="2:11" s="13" customFormat="1" x14ac:dyDescent="0.2">
      <c r="B433" s="3"/>
      <c r="C433" s="3"/>
      <c r="D433" s="3"/>
      <c r="E433" s="3"/>
      <c r="F433" s="89"/>
      <c r="G433" s="3"/>
      <c r="H433" s="89"/>
      <c r="I433" s="90"/>
      <c r="K433" s="31"/>
    </row>
    <row r="434" spans="2:11" s="13" customFormat="1" x14ac:dyDescent="0.2">
      <c r="B434" s="3"/>
      <c r="C434" s="3"/>
      <c r="D434" s="3"/>
      <c r="E434" s="3"/>
      <c r="F434" s="89"/>
      <c r="G434" s="3"/>
      <c r="H434" s="89"/>
      <c r="I434" s="90"/>
      <c r="K434" s="31"/>
    </row>
    <row r="435" spans="2:11" s="13" customFormat="1" x14ac:dyDescent="0.2">
      <c r="B435" s="3"/>
      <c r="C435" s="3"/>
      <c r="D435" s="3"/>
      <c r="E435" s="3"/>
      <c r="F435" s="89"/>
      <c r="G435" s="3"/>
      <c r="H435" s="89"/>
      <c r="I435" s="90"/>
      <c r="K435" s="31"/>
    </row>
    <row r="436" spans="2:11" s="13" customFormat="1" x14ac:dyDescent="0.2">
      <c r="B436" s="3"/>
      <c r="C436" s="3"/>
      <c r="D436" s="3"/>
      <c r="E436" s="3"/>
      <c r="F436" s="89"/>
      <c r="G436" s="3"/>
      <c r="H436" s="89"/>
      <c r="I436" s="90"/>
      <c r="K436" s="31"/>
    </row>
    <row r="437" spans="2:11" s="13" customFormat="1" x14ac:dyDescent="0.2">
      <c r="B437" s="3"/>
      <c r="C437" s="3"/>
      <c r="D437" s="3"/>
      <c r="E437" s="3"/>
      <c r="F437" s="89"/>
      <c r="G437" s="3"/>
      <c r="H437" s="89"/>
      <c r="I437" s="90"/>
      <c r="K437" s="31"/>
    </row>
    <row r="438" spans="2:11" s="13" customFormat="1" x14ac:dyDescent="0.2">
      <c r="B438" s="3"/>
      <c r="C438" s="3"/>
      <c r="D438" s="3"/>
      <c r="E438" s="3"/>
      <c r="F438" s="89"/>
      <c r="G438" s="3"/>
      <c r="H438" s="89"/>
      <c r="I438" s="90"/>
      <c r="K438" s="31"/>
    </row>
    <row r="439" spans="2:11" s="13" customFormat="1" x14ac:dyDescent="0.2">
      <c r="B439" s="3"/>
      <c r="C439" s="3"/>
      <c r="D439" s="3"/>
      <c r="E439" s="3"/>
      <c r="F439" s="89"/>
      <c r="G439" s="3"/>
      <c r="H439" s="89"/>
      <c r="I439" s="90"/>
      <c r="K439" s="31"/>
    </row>
    <row r="440" spans="2:11" s="13" customFormat="1" x14ac:dyDescent="0.2">
      <c r="B440" s="3"/>
      <c r="C440" s="3"/>
      <c r="D440" s="3"/>
      <c r="E440" s="3"/>
      <c r="F440" s="89"/>
      <c r="G440" s="3"/>
      <c r="H440" s="89"/>
      <c r="I440" s="90"/>
      <c r="K440" s="31"/>
    </row>
    <row r="441" spans="2:11" s="13" customFormat="1" x14ac:dyDescent="0.2">
      <c r="B441" s="3"/>
      <c r="C441" s="3"/>
      <c r="D441" s="3"/>
      <c r="E441" s="3"/>
      <c r="F441" s="89"/>
      <c r="G441" s="3"/>
      <c r="H441" s="89"/>
      <c r="I441" s="90"/>
      <c r="K441" s="31"/>
    </row>
    <row r="442" spans="2:11" s="13" customFormat="1" x14ac:dyDescent="0.2">
      <c r="B442" s="3"/>
      <c r="C442" s="3"/>
      <c r="D442" s="3"/>
      <c r="E442" s="3"/>
      <c r="F442" s="89"/>
      <c r="G442" s="3"/>
      <c r="H442" s="89"/>
      <c r="I442" s="90"/>
      <c r="K442" s="31"/>
    </row>
    <row r="443" spans="2:11" s="13" customFormat="1" x14ac:dyDescent="0.2">
      <c r="B443" s="3"/>
      <c r="C443" s="3"/>
      <c r="D443" s="3"/>
      <c r="E443" s="3"/>
      <c r="F443" s="89"/>
      <c r="G443" s="3"/>
      <c r="H443" s="89"/>
      <c r="I443" s="90"/>
      <c r="K443" s="31"/>
    </row>
    <row r="444" spans="2:11" s="13" customFormat="1" x14ac:dyDescent="0.2">
      <c r="B444" s="3"/>
      <c r="C444" s="3"/>
      <c r="D444" s="3"/>
      <c r="E444" s="3"/>
      <c r="F444" s="89"/>
      <c r="G444" s="3"/>
      <c r="H444" s="89"/>
      <c r="I444" s="90"/>
      <c r="K444" s="31"/>
    </row>
    <row r="445" spans="2:11" s="13" customFormat="1" x14ac:dyDescent="0.2">
      <c r="B445" s="3"/>
      <c r="C445" s="3"/>
      <c r="D445" s="3"/>
      <c r="E445" s="3"/>
      <c r="F445" s="89"/>
      <c r="G445" s="3"/>
      <c r="H445" s="89"/>
      <c r="I445" s="90"/>
      <c r="K445" s="31"/>
    </row>
    <row r="446" spans="2:11" s="13" customFormat="1" x14ac:dyDescent="0.2">
      <c r="B446" s="3"/>
      <c r="C446" s="3"/>
      <c r="D446" s="3"/>
      <c r="E446" s="3"/>
      <c r="F446" s="89"/>
      <c r="G446" s="3"/>
      <c r="H446" s="89"/>
      <c r="I446" s="90"/>
      <c r="K446" s="31"/>
    </row>
    <row r="447" spans="2:11" s="13" customFormat="1" x14ac:dyDescent="0.2">
      <c r="B447" s="3"/>
      <c r="C447" s="3"/>
      <c r="D447" s="3"/>
      <c r="E447" s="3"/>
      <c r="F447" s="89"/>
      <c r="G447" s="3"/>
      <c r="H447" s="89"/>
      <c r="I447" s="90"/>
      <c r="K447" s="31"/>
    </row>
    <row r="448" spans="2:11" s="13" customFormat="1" x14ac:dyDescent="0.2">
      <c r="B448" s="3"/>
      <c r="C448" s="3"/>
      <c r="D448" s="3"/>
      <c r="E448" s="3"/>
      <c r="F448" s="89"/>
      <c r="G448" s="3"/>
      <c r="H448" s="89"/>
      <c r="I448" s="90"/>
      <c r="K448" s="31"/>
    </row>
    <row r="449" spans="2:11" s="13" customFormat="1" x14ac:dyDescent="0.2">
      <c r="B449" s="3"/>
      <c r="C449" s="3"/>
      <c r="D449" s="3"/>
      <c r="E449" s="3"/>
      <c r="F449" s="89"/>
      <c r="G449" s="3"/>
      <c r="H449" s="89"/>
      <c r="I449" s="90"/>
      <c r="K449" s="31"/>
    </row>
    <row r="450" spans="2:11" s="13" customFormat="1" x14ac:dyDescent="0.2">
      <c r="B450" s="3"/>
      <c r="C450" s="3"/>
      <c r="D450" s="3"/>
      <c r="E450" s="3"/>
      <c r="F450" s="89"/>
      <c r="G450" s="3"/>
      <c r="H450" s="89"/>
      <c r="I450" s="90"/>
      <c r="K450" s="31"/>
    </row>
    <row r="451" spans="2:11" s="13" customFormat="1" x14ac:dyDescent="0.2">
      <c r="B451" s="3"/>
      <c r="C451" s="3"/>
      <c r="D451" s="3"/>
      <c r="E451" s="3"/>
      <c r="F451" s="89"/>
      <c r="G451" s="3"/>
      <c r="H451" s="89"/>
      <c r="I451" s="90"/>
      <c r="K451" s="31"/>
    </row>
    <row r="452" spans="2:11" s="13" customFormat="1" x14ac:dyDescent="0.2">
      <c r="B452" s="3"/>
      <c r="C452" s="3"/>
      <c r="D452" s="3"/>
      <c r="E452" s="3"/>
      <c r="F452" s="89"/>
      <c r="G452" s="3"/>
      <c r="H452" s="89"/>
      <c r="I452" s="90"/>
      <c r="K452" s="31"/>
    </row>
    <row r="453" spans="2:11" s="13" customFormat="1" x14ac:dyDescent="0.2">
      <c r="B453" s="3"/>
      <c r="C453" s="3"/>
      <c r="D453" s="3"/>
      <c r="E453" s="3"/>
      <c r="F453" s="89"/>
      <c r="G453" s="3"/>
      <c r="H453" s="89"/>
      <c r="I453" s="90"/>
      <c r="K453" s="31"/>
    </row>
    <row r="454" spans="2:11" s="13" customFormat="1" x14ac:dyDescent="0.2">
      <c r="B454" s="3"/>
      <c r="C454" s="3"/>
      <c r="D454" s="3"/>
      <c r="E454" s="3"/>
      <c r="F454" s="89"/>
      <c r="G454" s="3"/>
      <c r="H454" s="89"/>
      <c r="I454" s="90"/>
      <c r="K454" s="31"/>
    </row>
    <row r="455" spans="2:11" s="13" customFormat="1" x14ac:dyDescent="0.2">
      <c r="B455" s="3"/>
      <c r="C455" s="3"/>
      <c r="D455" s="3"/>
      <c r="E455" s="3"/>
      <c r="F455" s="89"/>
      <c r="G455" s="3"/>
      <c r="H455" s="89"/>
      <c r="I455" s="90"/>
      <c r="K455" s="31"/>
    </row>
    <row r="456" spans="2:11" s="13" customFormat="1" x14ac:dyDescent="0.2">
      <c r="B456" s="3"/>
      <c r="C456" s="3"/>
      <c r="D456" s="3"/>
      <c r="E456" s="3"/>
      <c r="F456" s="89"/>
      <c r="G456" s="3"/>
      <c r="H456" s="89"/>
      <c r="I456" s="90"/>
      <c r="K456" s="31"/>
    </row>
    <row r="457" spans="2:11" s="13" customFormat="1" x14ac:dyDescent="0.2">
      <c r="B457" s="3"/>
      <c r="C457" s="3"/>
      <c r="D457" s="3"/>
      <c r="E457" s="3"/>
      <c r="F457" s="89"/>
      <c r="G457" s="3"/>
      <c r="H457" s="89"/>
      <c r="I457" s="90"/>
      <c r="K457" s="31"/>
    </row>
    <row r="458" spans="2:11" s="13" customFormat="1" x14ac:dyDescent="0.2">
      <c r="B458" s="3"/>
      <c r="C458" s="3"/>
      <c r="D458" s="3"/>
      <c r="E458" s="3"/>
      <c r="F458" s="89"/>
      <c r="G458" s="3"/>
      <c r="H458" s="89"/>
      <c r="I458" s="90"/>
      <c r="K458" s="31"/>
    </row>
    <row r="459" spans="2:11" s="13" customFormat="1" x14ac:dyDescent="0.2">
      <c r="B459" s="3"/>
      <c r="C459" s="3"/>
      <c r="D459" s="3"/>
      <c r="E459" s="3"/>
      <c r="F459" s="89"/>
      <c r="G459" s="3"/>
      <c r="H459" s="89"/>
      <c r="I459" s="90"/>
      <c r="K459" s="31"/>
    </row>
    <row r="460" spans="2:11" s="13" customFormat="1" x14ac:dyDescent="0.2">
      <c r="B460" s="3"/>
      <c r="C460" s="3"/>
      <c r="D460" s="3"/>
      <c r="E460" s="3"/>
      <c r="F460" s="89"/>
      <c r="G460" s="3"/>
      <c r="H460" s="89"/>
      <c r="I460" s="90"/>
      <c r="K460" s="31"/>
    </row>
    <row r="461" spans="2:11" s="13" customFormat="1" x14ac:dyDescent="0.2">
      <c r="B461" s="3"/>
      <c r="C461" s="3"/>
      <c r="D461" s="3"/>
      <c r="E461" s="3"/>
      <c r="F461" s="89"/>
      <c r="G461" s="3"/>
      <c r="H461" s="89"/>
      <c r="I461" s="90"/>
      <c r="K461" s="31"/>
    </row>
    <row r="462" spans="2:11" s="13" customFormat="1" x14ac:dyDescent="0.2">
      <c r="B462" s="3"/>
      <c r="C462" s="3"/>
      <c r="D462" s="3"/>
      <c r="E462" s="3"/>
      <c r="F462" s="89"/>
      <c r="G462" s="3"/>
      <c r="H462" s="89"/>
      <c r="I462" s="90"/>
      <c r="K462" s="31"/>
    </row>
    <row r="463" spans="2:11" s="13" customFormat="1" x14ac:dyDescent="0.2">
      <c r="B463" s="3"/>
      <c r="C463" s="3"/>
      <c r="D463" s="3"/>
      <c r="E463" s="3"/>
      <c r="F463" s="89"/>
      <c r="G463" s="3"/>
      <c r="H463" s="89"/>
      <c r="I463" s="90"/>
      <c r="K463" s="31"/>
    </row>
    <row r="464" spans="2:11" s="13" customFormat="1" x14ac:dyDescent="0.2">
      <c r="B464" s="3"/>
      <c r="C464" s="3"/>
      <c r="D464" s="3"/>
      <c r="E464" s="3"/>
      <c r="F464" s="89"/>
      <c r="G464" s="3"/>
      <c r="H464" s="89"/>
      <c r="I464" s="90"/>
      <c r="K464" s="31"/>
    </row>
    <row r="465" spans="2:11" s="13" customFormat="1" x14ac:dyDescent="0.2">
      <c r="B465" s="3"/>
      <c r="C465" s="3"/>
      <c r="D465" s="3"/>
      <c r="E465" s="3"/>
      <c r="F465" s="89"/>
      <c r="G465" s="3"/>
      <c r="H465" s="89"/>
      <c r="I465" s="90"/>
      <c r="K465" s="31"/>
    </row>
    <row r="466" spans="2:11" s="13" customFormat="1" x14ac:dyDescent="0.2">
      <c r="B466" s="3"/>
      <c r="C466" s="3"/>
      <c r="D466" s="3"/>
      <c r="E466" s="3"/>
      <c r="F466" s="89"/>
      <c r="G466" s="3"/>
      <c r="H466" s="89"/>
      <c r="I466" s="90"/>
      <c r="K466" s="31"/>
    </row>
    <row r="467" spans="2:11" s="13" customFormat="1" x14ac:dyDescent="0.2">
      <c r="B467" s="3"/>
      <c r="C467" s="3"/>
      <c r="D467" s="3"/>
      <c r="E467" s="3"/>
      <c r="F467" s="89"/>
      <c r="G467" s="3"/>
      <c r="H467" s="89"/>
      <c r="I467" s="90"/>
      <c r="K467" s="31"/>
    </row>
    <row r="468" spans="2:11" s="13" customFormat="1" x14ac:dyDescent="0.2">
      <c r="B468" s="3"/>
      <c r="C468" s="3"/>
      <c r="D468" s="3"/>
      <c r="E468" s="3"/>
      <c r="F468" s="89"/>
      <c r="G468" s="3"/>
      <c r="H468" s="89"/>
      <c r="I468" s="90"/>
      <c r="K468" s="31"/>
    </row>
    <row r="469" spans="2:11" s="13" customFormat="1" x14ac:dyDescent="0.2">
      <c r="B469" s="3"/>
      <c r="C469" s="3"/>
      <c r="D469" s="3"/>
      <c r="E469" s="3"/>
      <c r="F469" s="89"/>
      <c r="G469" s="3"/>
      <c r="H469" s="89"/>
      <c r="I469" s="90"/>
      <c r="K469" s="31"/>
    </row>
    <row r="470" spans="2:11" s="13" customFormat="1" x14ac:dyDescent="0.2">
      <c r="B470" s="3"/>
      <c r="C470" s="3"/>
      <c r="D470" s="3"/>
      <c r="E470" s="3"/>
      <c r="F470" s="89"/>
      <c r="G470" s="3"/>
      <c r="H470" s="89"/>
      <c r="I470" s="90"/>
      <c r="K470" s="31"/>
    </row>
    <row r="471" spans="2:11" s="13" customFormat="1" x14ac:dyDescent="0.2">
      <c r="B471" s="3"/>
      <c r="C471" s="3"/>
      <c r="D471" s="3"/>
      <c r="E471" s="3"/>
      <c r="F471" s="89"/>
      <c r="G471" s="3"/>
      <c r="H471" s="89"/>
      <c r="I471" s="90"/>
      <c r="K471" s="31"/>
    </row>
    <row r="472" spans="2:11" s="13" customFormat="1" x14ac:dyDescent="0.2">
      <c r="B472" s="3"/>
      <c r="C472" s="3"/>
      <c r="D472" s="3"/>
      <c r="E472" s="3"/>
      <c r="F472" s="89"/>
      <c r="G472" s="3"/>
      <c r="H472" s="89"/>
      <c r="I472" s="90"/>
      <c r="K472" s="31"/>
    </row>
    <row r="473" spans="2:11" s="13" customFormat="1" x14ac:dyDescent="0.2">
      <c r="B473" s="3"/>
      <c r="C473" s="3"/>
      <c r="D473" s="3"/>
      <c r="E473" s="3"/>
      <c r="F473" s="89"/>
      <c r="G473" s="3"/>
      <c r="H473" s="89"/>
      <c r="I473" s="90"/>
      <c r="K473" s="31"/>
    </row>
    <row r="474" spans="2:11" s="13" customFormat="1" x14ac:dyDescent="0.2">
      <c r="B474" s="3"/>
      <c r="C474" s="3"/>
      <c r="D474" s="3"/>
      <c r="E474" s="3"/>
      <c r="F474" s="89"/>
      <c r="G474" s="3"/>
      <c r="H474" s="89"/>
      <c r="I474" s="90"/>
      <c r="K474" s="31"/>
    </row>
    <row r="475" spans="2:11" s="13" customFormat="1" x14ac:dyDescent="0.2">
      <c r="B475" s="3"/>
      <c r="C475" s="3"/>
      <c r="D475" s="3"/>
      <c r="E475" s="3"/>
      <c r="F475" s="89"/>
      <c r="G475" s="3"/>
      <c r="H475" s="89"/>
      <c r="I475" s="90"/>
      <c r="K475" s="31"/>
    </row>
    <row r="476" spans="2:11" s="13" customFormat="1" x14ac:dyDescent="0.2">
      <c r="B476" s="3"/>
      <c r="C476" s="3"/>
      <c r="D476" s="3"/>
      <c r="E476" s="3"/>
      <c r="F476" s="89"/>
      <c r="G476" s="3"/>
      <c r="H476" s="89"/>
      <c r="I476" s="90"/>
      <c r="K476" s="31"/>
    </row>
    <row r="477" spans="2:11" s="13" customFormat="1" x14ac:dyDescent="0.2">
      <c r="B477" s="3"/>
      <c r="C477" s="3"/>
      <c r="D477" s="3"/>
      <c r="E477" s="3"/>
      <c r="F477" s="89"/>
      <c r="G477" s="3"/>
      <c r="H477" s="89"/>
      <c r="I477" s="90"/>
      <c r="K477" s="31"/>
    </row>
    <row r="478" spans="2:11" s="13" customFormat="1" x14ac:dyDescent="0.2">
      <c r="B478" s="3"/>
      <c r="C478" s="3"/>
      <c r="D478" s="3"/>
      <c r="E478" s="3"/>
      <c r="F478" s="89"/>
      <c r="G478" s="3"/>
      <c r="H478" s="89"/>
      <c r="I478" s="90"/>
      <c r="K478" s="31"/>
    </row>
    <row r="479" spans="2:11" s="13" customFormat="1" x14ac:dyDescent="0.2">
      <c r="B479" s="3"/>
      <c r="C479" s="3"/>
      <c r="D479" s="3"/>
      <c r="E479" s="3"/>
      <c r="F479" s="89"/>
      <c r="G479" s="3"/>
      <c r="H479" s="89"/>
      <c r="I479" s="90"/>
      <c r="K479" s="31"/>
    </row>
    <row r="480" spans="2:11" s="13" customFormat="1" x14ac:dyDescent="0.2">
      <c r="B480" s="3"/>
      <c r="C480" s="3"/>
      <c r="D480" s="3"/>
      <c r="E480" s="3"/>
      <c r="F480" s="89"/>
      <c r="G480" s="3"/>
      <c r="H480" s="89"/>
      <c r="I480" s="90"/>
      <c r="K480" s="31"/>
    </row>
    <row r="481" spans="2:11" s="13" customFormat="1" x14ac:dyDescent="0.2">
      <c r="B481" s="3"/>
      <c r="C481" s="3"/>
      <c r="D481" s="3"/>
      <c r="E481" s="3"/>
      <c r="F481" s="89"/>
      <c r="G481" s="3"/>
      <c r="H481" s="89"/>
      <c r="I481" s="90"/>
      <c r="K481" s="31"/>
    </row>
    <row r="482" spans="2:11" s="13" customFormat="1" x14ac:dyDescent="0.2">
      <c r="B482" s="3"/>
      <c r="C482" s="3"/>
      <c r="D482" s="3"/>
      <c r="E482" s="3"/>
      <c r="F482" s="89"/>
      <c r="G482" s="3"/>
      <c r="H482" s="89"/>
      <c r="I482" s="90"/>
      <c r="K482" s="31"/>
    </row>
    <row r="483" spans="2:11" s="13" customFormat="1" x14ac:dyDescent="0.2">
      <c r="B483" s="3"/>
      <c r="C483" s="3"/>
      <c r="D483" s="3"/>
      <c r="E483" s="3"/>
      <c r="F483" s="89"/>
      <c r="G483" s="3"/>
      <c r="H483" s="89"/>
      <c r="I483" s="90"/>
      <c r="K483" s="31"/>
    </row>
    <row r="484" spans="2:11" s="13" customFormat="1" x14ac:dyDescent="0.2">
      <c r="B484" s="3"/>
      <c r="C484" s="3"/>
      <c r="D484" s="3"/>
      <c r="E484" s="3"/>
      <c r="F484" s="89"/>
      <c r="G484" s="3"/>
      <c r="H484" s="89"/>
      <c r="I484" s="90"/>
      <c r="K484" s="31"/>
    </row>
    <row r="485" spans="2:11" s="13" customFormat="1" x14ac:dyDescent="0.2">
      <c r="B485" s="3"/>
      <c r="C485" s="3"/>
      <c r="D485" s="3"/>
      <c r="E485" s="3"/>
      <c r="F485" s="89"/>
      <c r="G485" s="3"/>
      <c r="H485" s="89"/>
      <c r="I485" s="90"/>
      <c r="K485" s="31"/>
    </row>
    <row r="486" spans="2:11" s="13" customFormat="1" x14ac:dyDescent="0.2">
      <c r="B486" s="3"/>
      <c r="C486" s="3"/>
      <c r="D486" s="3"/>
      <c r="E486" s="3"/>
      <c r="F486" s="89"/>
      <c r="G486" s="3"/>
      <c r="H486" s="89"/>
      <c r="I486" s="90"/>
      <c r="K486" s="31"/>
    </row>
    <row r="487" spans="2:11" s="13" customFormat="1" x14ac:dyDescent="0.2">
      <c r="B487" s="3"/>
      <c r="C487" s="3"/>
      <c r="D487" s="3"/>
      <c r="E487" s="3"/>
      <c r="F487" s="89"/>
      <c r="G487" s="3"/>
      <c r="H487" s="89"/>
      <c r="I487" s="90"/>
      <c r="K487" s="31"/>
    </row>
    <row r="488" spans="2:11" s="13" customFormat="1" x14ac:dyDescent="0.2">
      <c r="B488" s="3"/>
      <c r="C488" s="3"/>
      <c r="D488" s="3"/>
      <c r="E488" s="3"/>
      <c r="F488" s="89"/>
      <c r="G488" s="3"/>
      <c r="H488" s="89"/>
      <c r="I488" s="90"/>
      <c r="K488" s="31"/>
    </row>
    <row r="489" spans="2:11" s="13" customFormat="1" x14ac:dyDescent="0.2">
      <c r="B489" s="3"/>
      <c r="C489" s="3"/>
      <c r="D489" s="3"/>
      <c r="E489" s="3"/>
      <c r="F489" s="89"/>
      <c r="G489" s="3"/>
      <c r="H489" s="89"/>
      <c r="I489" s="90"/>
      <c r="K489" s="31"/>
    </row>
    <row r="490" spans="2:11" s="13" customFormat="1" x14ac:dyDescent="0.2">
      <c r="B490" s="3"/>
      <c r="C490" s="3"/>
      <c r="D490" s="3"/>
      <c r="E490" s="3"/>
      <c r="F490" s="89"/>
      <c r="G490" s="3"/>
      <c r="H490" s="89"/>
      <c r="I490" s="90"/>
      <c r="K490" s="31"/>
    </row>
    <row r="491" spans="2:11" s="13" customFormat="1" x14ac:dyDescent="0.2">
      <c r="B491" s="3"/>
      <c r="C491" s="3"/>
      <c r="D491" s="3"/>
      <c r="E491" s="3"/>
      <c r="F491" s="89"/>
      <c r="G491" s="3"/>
      <c r="H491" s="89"/>
      <c r="I491" s="90"/>
      <c r="K491" s="31"/>
    </row>
    <row r="492" spans="2:11" s="13" customFormat="1" x14ac:dyDescent="0.2">
      <c r="B492" s="3"/>
      <c r="C492" s="3"/>
      <c r="D492" s="3"/>
      <c r="E492" s="3"/>
      <c r="F492" s="89"/>
      <c r="G492" s="3"/>
      <c r="H492" s="89"/>
      <c r="I492" s="90"/>
      <c r="K492" s="31"/>
    </row>
    <row r="493" spans="2:11" s="13" customFormat="1" x14ac:dyDescent="0.2">
      <c r="B493" s="3"/>
      <c r="C493" s="3"/>
      <c r="D493" s="3"/>
      <c r="E493" s="3"/>
      <c r="F493" s="89"/>
      <c r="G493" s="3"/>
      <c r="H493" s="89"/>
      <c r="I493" s="90"/>
      <c r="K493" s="31"/>
    </row>
    <row r="494" spans="2:11" s="13" customFormat="1" x14ac:dyDescent="0.2">
      <c r="B494" s="3"/>
      <c r="C494" s="3"/>
      <c r="D494" s="3"/>
      <c r="E494" s="3"/>
      <c r="F494" s="89"/>
      <c r="G494" s="3"/>
      <c r="H494" s="89"/>
      <c r="I494" s="90"/>
      <c r="K494" s="31"/>
    </row>
    <row r="495" spans="2:11" s="13" customFormat="1" x14ac:dyDescent="0.2">
      <c r="B495" s="3"/>
      <c r="C495" s="3"/>
      <c r="D495" s="3"/>
      <c r="E495" s="3"/>
      <c r="F495" s="89"/>
      <c r="G495" s="3"/>
      <c r="H495" s="89"/>
      <c r="I495" s="90"/>
      <c r="K495" s="31"/>
    </row>
    <row r="496" spans="2:11" s="13" customFormat="1" x14ac:dyDescent="0.2">
      <c r="B496" s="3"/>
      <c r="C496" s="3"/>
      <c r="D496" s="3"/>
      <c r="E496" s="3"/>
      <c r="F496" s="89"/>
      <c r="G496" s="3"/>
      <c r="H496" s="89"/>
      <c r="I496" s="90"/>
      <c r="K496" s="31"/>
    </row>
    <row r="497" spans="2:11" s="13" customFormat="1" x14ac:dyDescent="0.2">
      <c r="B497" s="3"/>
      <c r="C497" s="3"/>
      <c r="D497" s="3"/>
      <c r="E497" s="3"/>
      <c r="F497" s="89"/>
      <c r="G497" s="3"/>
      <c r="H497" s="89"/>
      <c r="I497" s="90"/>
      <c r="K497" s="31"/>
    </row>
    <row r="498" spans="2:11" s="13" customFormat="1" x14ac:dyDescent="0.2">
      <c r="B498" s="3"/>
      <c r="C498" s="3"/>
      <c r="D498" s="3"/>
      <c r="E498" s="3"/>
      <c r="F498" s="89"/>
      <c r="G498" s="3"/>
      <c r="H498" s="89"/>
      <c r="I498" s="90"/>
      <c r="K498" s="31"/>
    </row>
    <row r="499" spans="2:11" s="13" customFormat="1" x14ac:dyDescent="0.2">
      <c r="B499" s="3"/>
      <c r="C499" s="3"/>
      <c r="D499" s="3"/>
      <c r="E499" s="3"/>
      <c r="F499" s="89"/>
      <c r="G499" s="3"/>
      <c r="H499" s="89"/>
      <c r="I499" s="90"/>
      <c r="K499" s="31"/>
    </row>
    <row r="500" spans="2:11" s="13" customFormat="1" x14ac:dyDescent="0.2">
      <c r="B500" s="3"/>
      <c r="C500" s="3"/>
      <c r="D500" s="3"/>
      <c r="E500" s="3"/>
      <c r="F500" s="89"/>
      <c r="G500" s="3"/>
      <c r="H500" s="89"/>
      <c r="I500" s="90"/>
      <c r="K500" s="31"/>
    </row>
    <row r="501" spans="2:11" s="13" customFormat="1" x14ac:dyDescent="0.2">
      <c r="B501" s="3"/>
      <c r="C501" s="3"/>
      <c r="D501" s="3"/>
      <c r="E501" s="3"/>
      <c r="F501" s="89"/>
      <c r="G501" s="3"/>
      <c r="H501" s="89"/>
      <c r="I501" s="90"/>
      <c r="K501" s="31"/>
    </row>
    <row r="502" spans="2:11" s="13" customFormat="1" x14ac:dyDescent="0.2">
      <c r="B502" s="3"/>
      <c r="C502" s="3"/>
      <c r="D502" s="3"/>
      <c r="E502" s="3"/>
      <c r="F502" s="89"/>
      <c r="G502" s="3"/>
      <c r="H502" s="89"/>
      <c r="I502" s="90"/>
      <c r="K502" s="31"/>
    </row>
    <row r="503" spans="2:11" s="13" customFormat="1" x14ac:dyDescent="0.2">
      <c r="B503" s="3"/>
      <c r="C503" s="3"/>
      <c r="D503" s="3"/>
      <c r="E503" s="3"/>
      <c r="F503" s="89"/>
      <c r="G503" s="3"/>
      <c r="H503" s="89"/>
      <c r="I503" s="90"/>
      <c r="K503" s="31"/>
    </row>
    <row r="504" spans="2:11" s="13" customFormat="1" x14ac:dyDescent="0.2">
      <c r="B504" s="3"/>
      <c r="C504" s="3"/>
      <c r="D504" s="3"/>
      <c r="E504" s="3"/>
      <c r="F504" s="89"/>
      <c r="G504" s="3"/>
      <c r="H504" s="89"/>
      <c r="I504" s="90"/>
      <c r="K504" s="31"/>
    </row>
    <row r="505" spans="2:11" s="13" customFormat="1" x14ac:dyDescent="0.2">
      <c r="B505" s="3"/>
      <c r="C505" s="3"/>
      <c r="D505" s="3"/>
      <c r="E505" s="3"/>
      <c r="F505" s="89"/>
      <c r="G505" s="3"/>
      <c r="H505" s="89"/>
      <c r="I505" s="90"/>
      <c r="K505" s="31"/>
    </row>
    <row r="506" spans="2:11" s="13" customFormat="1" x14ac:dyDescent="0.2">
      <c r="B506" s="3"/>
      <c r="C506" s="3"/>
      <c r="D506" s="3"/>
      <c r="E506" s="3"/>
      <c r="F506" s="89"/>
      <c r="G506" s="3"/>
      <c r="H506" s="89"/>
      <c r="I506" s="90"/>
      <c r="K506" s="31"/>
    </row>
    <row r="507" spans="2:11" s="13" customFormat="1" x14ac:dyDescent="0.2">
      <c r="B507" s="3"/>
      <c r="C507" s="3"/>
      <c r="D507" s="3"/>
      <c r="E507" s="3"/>
      <c r="F507" s="89"/>
      <c r="G507" s="3"/>
      <c r="H507" s="89"/>
      <c r="I507" s="90"/>
      <c r="K507" s="31"/>
    </row>
    <row r="508" spans="2:11" s="13" customFormat="1" x14ac:dyDescent="0.2">
      <c r="B508" s="3"/>
      <c r="C508" s="3"/>
      <c r="D508" s="3"/>
      <c r="E508" s="3"/>
      <c r="F508" s="89"/>
      <c r="G508" s="3"/>
      <c r="H508" s="89"/>
      <c r="I508" s="90"/>
      <c r="K508" s="31"/>
    </row>
    <row r="509" spans="2:11" s="13" customFormat="1" x14ac:dyDescent="0.2">
      <c r="B509" s="3"/>
      <c r="C509" s="3"/>
      <c r="D509" s="3"/>
      <c r="E509" s="3"/>
      <c r="F509" s="89"/>
      <c r="G509" s="3"/>
      <c r="H509" s="89"/>
      <c r="I509" s="90"/>
      <c r="K509" s="31"/>
    </row>
    <row r="510" spans="2:11" s="13" customFormat="1" x14ac:dyDescent="0.2">
      <c r="B510" s="3"/>
      <c r="C510" s="3"/>
      <c r="D510" s="3"/>
      <c r="E510" s="3"/>
      <c r="F510" s="89"/>
      <c r="G510" s="3"/>
      <c r="H510" s="89"/>
      <c r="I510" s="90"/>
      <c r="K510" s="31"/>
    </row>
    <row r="511" spans="2:11" s="13" customFormat="1" x14ac:dyDescent="0.2">
      <c r="B511" s="3"/>
      <c r="C511" s="3"/>
      <c r="D511" s="3"/>
      <c r="E511" s="3"/>
      <c r="F511" s="89"/>
      <c r="G511" s="3"/>
      <c r="H511" s="89"/>
      <c r="I511" s="90"/>
      <c r="K511" s="31"/>
    </row>
    <row r="512" spans="2:11" s="13" customFormat="1" x14ac:dyDescent="0.2">
      <c r="B512" s="3"/>
      <c r="C512" s="3"/>
      <c r="D512" s="3"/>
      <c r="E512" s="3"/>
      <c r="F512" s="89"/>
      <c r="G512" s="3"/>
      <c r="H512" s="89"/>
      <c r="I512" s="90"/>
      <c r="K512" s="31"/>
    </row>
    <row r="513" spans="2:11" s="13" customFormat="1" x14ac:dyDescent="0.2">
      <c r="B513" s="3"/>
      <c r="C513" s="3"/>
      <c r="D513" s="3"/>
      <c r="E513" s="3"/>
      <c r="F513" s="89"/>
      <c r="G513" s="3"/>
      <c r="H513" s="89"/>
      <c r="I513" s="90"/>
      <c r="K513" s="31"/>
    </row>
    <row r="514" spans="2:11" s="13" customFormat="1" x14ac:dyDescent="0.2">
      <c r="B514" s="3"/>
      <c r="C514" s="3"/>
      <c r="D514" s="3"/>
      <c r="E514" s="3"/>
      <c r="F514" s="89"/>
      <c r="G514" s="3"/>
      <c r="H514" s="89"/>
      <c r="I514" s="90"/>
      <c r="K514" s="31"/>
    </row>
    <row r="515" spans="2:11" s="13" customFormat="1" x14ac:dyDescent="0.2">
      <c r="B515" s="3"/>
      <c r="C515" s="3"/>
      <c r="D515" s="3"/>
      <c r="E515" s="3"/>
      <c r="F515" s="89"/>
      <c r="G515" s="3"/>
      <c r="H515" s="89"/>
      <c r="I515" s="90"/>
      <c r="K515" s="31"/>
    </row>
    <row r="516" spans="2:11" s="13" customFormat="1" x14ac:dyDescent="0.2">
      <c r="B516" s="3"/>
      <c r="C516" s="3"/>
      <c r="D516" s="3"/>
      <c r="E516" s="3"/>
      <c r="F516" s="89"/>
      <c r="G516" s="3"/>
      <c r="H516" s="89"/>
      <c r="I516" s="90"/>
      <c r="K516" s="31"/>
    </row>
    <row r="517" spans="2:11" s="13" customFormat="1" x14ac:dyDescent="0.2">
      <c r="B517" s="3"/>
      <c r="C517" s="3"/>
      <c r="D517" s="3"/>
      <c r="E517" s="3"/>
      <c r="F517" s="89"/>
      <c r="G517" s="3"/>
      <c r="H517" s="89"/>
      <c r="I517" s="90"/>
      <c r="K517" s="31"/>
    </row>
    <row r="518" spans="2:11" s="13" customFormat="1" x14ac:dyDescent="0.2">
      <c r="B518" s="3"/>
      <c r="C518" s="3"/>
      <c r="D518" s="3"/>
      <c r="E518" s="3"/>
      <c r="F518" s="89"/>
      <c r="G518" s="3"/>
      <c r="H518" s="89"/>
      <c r="I518" s="90"/>
      <c r="K518" s="31"/>
    </row>
    <row r="519" spans="2:11" s="13" customFormat="1" x14ac:dyDescent="0.2">
      <c r="B519" s="3"/>
      <c r="C519" s="3"/>
      <c r="D519" s="3"/>
      <c r="E519" s="3"/>
      <c r="F519" s="89"/>
      <c r="G519" s="3"/>
      <c r="H519" s="89"/>
      <c r="I519" s="90"/>
      <c r="K519" s="31"/>
    </row>
    <row r="520" spans="2:11" s="13" customFormat="1" x14ac:dyDescent="0.2">
      <c r="B520" s="3"/>
      <c r="C520" s="3"/>
      <c r="D520" s="3"/>
      <c r="E520" s="3"/>
      <c r="F520" s="89"/>
      <c r="G520" s="3"/>
      <c r="H520" s="89"/>
      <c r="I520" s="90"/>
      <c r="K520" s="31"/>
    </row>
    <row r="521" spans="2:11" s="13" customFormat="1" x14ac:dyDescent="0.2">
      <c r="B521" s="3"/>
      <c r="C521" s="3"/>
      <c r="D521" s="3"/>
      <c r="E521" s="3"/>
      <c r="F521" s="89"/>
      <c r="G521" s="3"/>
      <c r="H521" s="89"/>
      <c r="I521" s="90"/>
      <c r="K521" s="31"/>
    </row>
    <row r="522" spans="2:11" s="13" customFormat="1" x14ac:dyDescent="0.2">
      <c r="B522" s="3"/>
      <c r="C522" s="3"/>
      <c r="D522" s="3"/>
      <c r="E522" s="3"/>
      <c r="F522" s="89"/>
      <c r="G522" s="3"/>
      <c r="H522" s="89"/>
      <c r="I522" s="90"/>
      <c r="K522" s="31"/>
    </row>
    <row r="523" spans="2:11" s="13" customFormat="1" x14ac:dyDescent="0.2">
      <c r="B523" s="3"/>
      <c r="C523" s="3"/>
      <c r="D523" s="3"/>
      <c r="E523" s="3"/>
      <c r="F523" s="89"/>
      <c r="G523" s="3"/>
      <c r="H523" s="89"/>
      <c r="I523" s="90"/>
      <c r="K523" s="31"/>
    </row>
    <row r="524" spans="2:11" s="13" customFormat="1" x14ac:dyDescent="0.2">
      <c r="B524" s="3"/>
      <c r="C524" s="3"/>
      <c r="D524" s="3"/>
      <c r="E524" s="3"/>
      <c r="F524" s="89"/>
      <c r="G524" s="3"/>
      <c r="H524" s="89"/>
      <c r="I524" s="90"/>
      <c r="K524" s="31"/>
    </row>
    <row r="525" spans="2:11" s="13" customFormat="1" x14ac:dyDescent="0.2">
      <c r="B525" s="3"/>
      <c r="C525" s="3"/>
      <c r="D525" s="3"/>
      <c r="E525" s="3"/>
      <c r="F525" s="89"/>
      <c r="G525" s="3"/>
      <c r="H525" s="89"/>
      <c r="I525" s="90"/>
      <c r="K525" s="31"/>
    </row>
    <row r="526" spans="2:11" s="13" customFormat="1" x14ac:dyDescent="0.2">
      <c r="B526" s="3"/>
      <c r="C526" s="3"/>
      <c r="D526" s="3"/>
      <c r="E526" s="3"/>
      <c r="F526" s="89"/>
      <c r="G526" s="3"/>
      <c r="H526" s="89"/>
      <c r="I526" s="90"/>
      <c r="K526" s="31"/>
    </row>
    <row r="527" spans="2:11" s="13" customFormat="1" x14ac:dyDescent="0.2">
      <c r="B527" s="3"/>
      <c r="C527" s="3"/>
      <c r="D527" s="3"/>
      <c r="E527" s="3"/>
      <c r="F527" s="89"/>
      <c r="G527" s="3"/>
      <c r="H527" s="89"/>
      <c r="I527" s="90"/>
      <c r="K527" s="31"/>
    </row>
    <row r="528" spans="2:11" s="13" customFormat="1" x14ac:dyDescent="0.2">
      <c r="B528" s="3"/>
      <c r="C528" s="3"/>
      <c r="D528" s="3"/>
      <c r="E528" s="3"/>
      <c r="F528" s="89"/>
      <c r="G528" s="3"/>
      <c r="H528" s="89"/>
      <c r="I528" s="90"/>
      <c r="K528" s="31"/>
    </row>
    <row r="529" spans="2:11" s="13" customFormat="1" x14ac:dyDescent="0.2">
      <c r="B529" s="3"/>
      <c r="C529" s="3"/>
      <c r="D529" s="3"/>
      <c r="E529" s="3"/>
      <c r="F529" s="89"/>
      <c r="G529" s="3"/>
      <c r="H529" s="89"/>
      <c r="I529" s="90"/>
      <c r="K529" s="31"/>
    </row>
    <row r="530" spans="2:11" s="13" customFormat="1" x14ac:dyDescent="0.2">
      <c r="B530" s="3"/>
      <c r="C530" s="3"/>
      <c r="D530" s="3"/>
      <c r="E530" s="3"/>
      <c r="F530" s="89"/>
      <c r="G530" s="3"/>
      <c r="H530" s="89"/>
      <c r="I530" s="90"/>
      <c r="K530" s="31"/>
    </row>
    <row r="531" spans="2:11" s="13" customFormat="1" x14ac:dyDescent="0.2">
      <c r="B531" s="3"/>
      <c r="C531" s="3"/>
      <c r="D531" s="3"/>
      <c r="E531" s="3"/>
      <c r="F531" s="89"/>
      <c r="G531" s="3"/>
      <c r="H531" s="89"/>
      <c r="I531" s="90"/>
      <c r="K531" s="31"/>
    </row>
    <row r="532" spans="2:11" s="13" customFormat="1" x14ac:dyDescent="0.2">
      <c r="B532" s="3"/>
      <c r="C532" s="3"/>
      <c r="D532" s="3"/>
      <c r="E532" s="3"/>
      <c r="F532" s="89"/>
      <c r="G532" s="3"/>
      <c r="H532" s="89"/>
      <c r="I532" s="90"/>
      <c r="K532" s="31"/>
    </row>
    <row r="533" spans="2:11" s="13" customFormat="1" x14ac:dyDescent="0.2">
      <c r="B533" s="3"/>
      <c r="C533" s="3"/>
      <c r="D533" s="3"/>
      <c r="E533" s="3"/>
      <c r="F533" s="89"/>
      <c r="G533" s="3"/>
      <c r="H533" s="89"/>
      <c r="I533" s="90"/>
      <c r="K533" s="31"/>
    </row>
    <row r="534" spans="2:11" s="13" customFormat="1" x14ac:dyDescent="0.2">
      <c r="B534" s="3"/>
      <c r="C534" s="3"/>
      <c r="D534" s="3"/>
      <c r="E534" s="3"/>
      <c r="F534" s="89"/>
      <c r="G534" s="3"/>
      <c r="H534" s="89"/>
      <c r="I534" s="90"/>
      <c r="K534" s="31"/>
    </row>
    <row r="535" spans="2:11" s="13" customFormat="1" x14ac:dyDescent="0.2">
      <c r="B535" s="3"/>
      <c r="C535" s="3"/>
      <c r="D535" s="3"/>
      <c r="E535" s="3"/>
      <c r="F535" s="89"/>
      <c r="G535" s="3"/>
      <c r="H535" s="89"/>
      <c r="I535" s="90"/>
      <c r="K535" s="31"/>
    </row>
    <row r="536" spans="2:11" s="13" customFormat="1" x14ac:dyDescent="0.2">
      <c r="B536" s="3"/>
      <c r="C536" s="3"/>
      <c r="D536" s="3"/>
      <c r="E536" s="3"/>
      <c r="F536" s="89"/>
      <c r="G536" s="3"/>
      <c r="H536" s="89"/>
      <c r="I536" s="90"/>
      <c r="K536" s="31"/>
    </row>
    <row r="537" spans="2:11" s="13" customFormat="1" x14ac:dyDescent="0.2">
      <c r="B537" s="3"/>
      <c r="C537" s="3"/>
      <c r="D537" s="3"/>
      <c r="E537" s="3"/>
      <c r="F537" s="89"/>
      <c r="G537" s="3"/>
      <c r="H537" s="89"/>
      <c r="I537" s="90"/>
      <c r="K537" s="31"/>
    </row>
    <row r="538" spans="2:11" s="13" customFormat="1" x14ac:dyDescent="0.2">
      <c r="B538" s="3"/>
      <c r="C538" s="3"/>
      <c r="D538" s="3"/>
      <c r="E538" s="3"/>
      <c r="F538" s="89"/>
      <c r="G538" s="3"/>
      <c r="H538" s="89"/>
      <c r="I538" s="90"/>
      <c r="K538" s="31"/>
    </row>
    <row r="539" spans="2:11" s="13" customFormat="1" x14ac:dyDescent="0.2">
      <c r="B539" s="3"/>
      <c r="C539" s="3"/>
      <c r="D539" s="3"/>
      <c r="E539" s="3"/>
      <c r="F539" s="89"/>
      <c r="G539" s="3"/>
      <c r="H539" s="89"/>
      <c r="I539" s="90"/>
      <c r="K539" s="31"/>
    </row>
    <row r="540" spans="2:11" s="13" customFormat="1" x14ac:dyDescent="0.2">
      <c r="B540" s="3"/>
      <c r="C540" s="3"/>
      <c r="D540" s="3"/>
      <c r="E540" s="3"/>
      <c r="F540" s="89"/>
      <c r="G540" s="3"/>
      <c r="H540" s="89"/>
      <c r="I540" s="90"/>
      <c r="K540" s="31"/>
    </row>
    <row r="541" spans="2:11" s="13" customFormat="1" x14ac:dyDescent="0.2">
      <c r="B541" s="3"/>
      <c r="C541" s="3"/>
      <c r="D541" s="3"/>
      <c r="E541" s="3"/>
      <c r="F541" s="89"/>
      <c r="G541" s="3"/>
      <c r="H541" s="89"/>
      <c r="I541" s="90"/>
      <c r="K541" s="31"/>
    </row>
    <row r="542" spans="2:11" s="13" customFormat="1" x14ac:dyDescent="0.2">
      <c r="B542" s="3"/>
      <c r="C542" s="3"/>
      <c r="D542" s="3"/>
      <c r="E542" s="3"/>
      <c r="F542" s="89"/>
      <c r="G542" s="3"/>
      <c r="H542" s="89"/>
      <c r="I542" s="90"/>
      <c r="K542" s="31"/>
    </row>
    <row r="543" spans="2:11" s="13" customFormat="1" x14ac:dyDescent="0.2">
      <c r="B543" s="3"/>
      <c r="C543" s="3"/>
      <c r="D543" s="3"/>
      <c r="E543" s="3"/>
      <c r="F543" s="89"/>
      <c r="G543" s="3"/>
      <c r="H543" s="89"/>
      <c r="I543" s="90"/>
      <c r="K543" s="31"/>
    </row>
    <row r="544" spans="2:11" s="13" customFormat="1" x14ac:dyDescent="0.2">
      <c r="B544" s="3"/>
      <c r="C544" s="3"/>
      <c r="D544" s="3"/>
      <c r="E544" s="3"/>
      <c r="F544" s="89"/>
      <c r="G544" s="3"/>
      <c r="H544" s="89"/>
      <c r="I544" s="90"/>
      <c r="K544" s="31"/>
    </row>
    <row r="545" spans="2:11" s="13" customFormat="1" x14ac:dyDescent="0.2">
      <c r="B545" s="3"/>
      <c r="C545" s="3"/>
      <c r="D545" s="3"/>
      <c r="E545" s="3"/>
      <c r="F545" s="89"/>
      <c r="G545" s="3"/>
      <c r="H545" s="89"/>
      <c r="I545" s="90"/>
      <c r="K545" s="31"/>
    </row>
    <row r="546" spans="2:11" s="13" customFormat="1" x14ac:dyDescent="0.2">
      <c r="B546" s="3"/>
      <c r="C546" s="3"/>
      <c r="D546" s="3"/>
      <c r="E546" s="3"/>
      <c r="F546" s="89"/>
      <c r="G546" s="3"/>
      <c r="H546" s="89"/>
      <c r="I546" s="90"/>
      <c r="K546" s="31"/>
    </row>
    <row r="547" spans="2:11" s="13" customFormat="1" x14ac:dyDescent="0.2">
      <c r="B547" s="3"/>
      <c r="C547" s="3"/>
      <c r="D547" s="3"/>
      <c r="E547" s="3"/>
      <c r="F547" s="89"/>
      <c r="G547" s="3"/>
      <c r="H547" s="89"/>
      <c r="I547" s="90"/>
      <c r="K547" s="31"/>
    </row>
    <row r="548" spans="2:11" s="13" customFormat="1" x14ac:dyDescent="0.2">
      <c r="B548" s="3"/>
      <c r="C548" s="3"/>
      <c r="D548" s="3"/>
      <c r="E548" s="3"/>
      <c r="F548" s="89"/>
      <c r="G548" s="3"/>
      <c r="H548" s="89"/>
      <c r="I548" s="90"/>
      <c r="K548" s="31"/>
    </row>
    <row r="549" spans="2:11" s="13" customFormat="1" x14ac:dyDescent="0.2">
      <c r="B549" s="3"/>
      <c r="C549" s="3"/>
      <c r="D549" s="3"/>
      <c r="E549" s="3"/>
      <c r="F549" s="89"/>
      <c r="G549" s="3"/>
      <c r="H549" s="89"/>
      <c r="I549" s="90"/>
      <c r="K549" s="31"/>
    </row>
    <row r="550" spans="2:11" s="13" customFormat="1" x14ac:dyDescent="0.2">
      <c r="B550" s="3"/>
      <c r="C550" s="3"/>
      <c r="D550" s="3"/>
      <c r="E550" s="3"/>
      <c r="F550" s="89"/>
      <c r="G550" s="3"/>
      <c r="H550" s="89"/>
      <c r="I550" s="90"/>
      <c r="K550" s="31"/>
    </row>
    <row r="551" spans="2:11" s="13" customFormat="1" x14ac:dyDescent="0.2">
      <c r="B551" s="3"/>
      <c r="C551" s="3"/>
      <c r="D551" s="3"/>
      <c r="E551" s="3"/>
      <c r="F551" s="89"/>
      <c r="G551" s="3"/>
      <c r="H551" s="89"/>
      <c r="I551" s="90"/>
      <c r="K551" s="31"/>
    </row>
    <row r="552" spans="2:11" s="13" customFormat="1" x14ac:dyDescent="0.2">
      <c r="B552" s="3"/>
      <c r="C552" s="3"/>
      <c r="D552" s="3"/>
      <c r="E552" s="3"/>
      <c r="F552" s="89"/>
      <c r="G552" s="3"/>
      <c r="H552" s="89"/>
      <c r="I552" s="90"/>
      <c r="K552" s="31"/>
    </row>
    <row r="553" spans="2:11" s="13" customFormat="1" x14ac:dyDescent="0.2">
      <c r="B553" s="3"/>
      <c r="C553" s="3"/>
      <c r="D553" s="3"/>
      <c r="E553" s="3"/>
      <c r="F553" s="89"/>
      <c r="G553" s="3"/>
      <c r="H553" s="89"/>
      <c r="I553" s="90"/>
      <c r="K553" s="31"/>
    </row>
    <row r="554" spans="2:11" s="13" customFormat="1" x14ac:dyDescent="0.2">
      <c r="B554" s="3"/>
      <c r="C554" s="3"/>
      <c r="D554" s="3"/>
      <c r="E554" s="3"/>
      <c r="F554" s="89"/>
      <c r="G554" s="3"/>
      <c r="H554" s="89"/>
      <c r="I554" s="90"/>
      <c r="K554" s="31"/>
    </row>
    <row r="555" spans="2:11" s="13" customFormat="1" x14ac:dyDescent="0.2">
      <c r="B555" s="3"/>
      <c r="C555" s="3"/>
      <c r="D555" s="3"/>
      <c r="E555" s="3"/>
      <c r="F555" s="89"/>
      <c r="G555" s="3"/>
      <c r="H555" s="89"/>
      <c r="I555" s="90"/>
      <c r="K555" s="31"/>
    </row>
    <row r="556" spans="2:11" s="13" customFormat="1" x14ac:dyDescent="0.2">
      <c r="B556" s="3"/>
      <c r="C556" s="3"/>
      <c r="D556" s="3"/>
      <c r="E556" s="3"/>
      <c r="F556" s="89"/>
      <c r="G556" s="3"/>
      <c r="H556" s="89"/>
      <c r="I556" s="90"/>
      <c r="K556" s="31"/>
    </row>
    <row r="557" spans="2:11" s="13" customFormat="1" x14ac:dyDescent="0.2">
      <c r="B557" s="3"/>
      <c r="C557" s="3"/>
      <c r="D557" s="3"/>
      <c r="E557" s="3"/>
      <c r="F557" s="89"/>
      <c r="G557" s="3"/>
      <c r="H557" s="89"/>
      <c r="I557" s="90"/>
      <c r="K557" s="31"/>
    </row>
    <row r="558" spans="2:11" s="13" customFormat="1" x14ac:dyDescent="0.2">
      <c r="B558" s="3"/>
      <c r="C558" s="3"/>
      <c r="D558" s="3"/>
      <c r="E558" s="3"/>
      <c r="F558" s="89"/>
      <c r="G558" s="3"/>
      <c r="H558" s="89"/>
      <c r="I558" s="90"/>
      <c r="K558" s="31"/>
    </row>
    <row r="559" spans="2:11" s="13" customFormat="1" x14ac:dyDescent="0.2">
      <c r="B559" s="3"/>
      <c r="C559" s="3"/>
      <c r="D559" s="3"/>
      <c r="E559" s="3"/>
      <c r="F559" s="89"/>
      <c r="G559" s="3"/>
      <c r="H559" s="89"/>
      <c r="I559" s="90"/>
      <c r="K559" s="31"/>
    </row>
    <row r="560" spans="2:11" s="13" customFormat="1" x14ac:dyDescent="0.2">
      <c r="B560" s="3"/>
      <c r="C560" s="3"/>
      <c r="D560" s="3"/>
      <c r="E560" s="3"/>
      <c r="F560" s="89"/>
      <c r="G560" s="3"/>
      <c r="H560" s="89"/>
      <c r="I560" s="90"/>
      <c r="K560" s="31"/>
    </row>
    <row r="561" spans="2:11" s="13" customFormat="1" x14ac:dyDescent="0.2">
      <c r="B561" s="3"/>
      <c r="C561" s="3"/>
      <c r="D561" s="3"/>
      <c r="E561" s="3"/>
      <c r="F561" s="89"/>
      <c r="G561" s="3"/>
      <c r="H561" s="89"/>
      <c r="I561" s="90"/>
      <c r="K561" s="31"/>
    </row>
    <row r="562" spans="2:11" s="13" customFormat="1" x14ac:dyDescent="0.2">
      <c r="B562" s="3"/>
      <c r="C562" s="3"/>
      <c r="D562" s="3"/>
      <c r="E562" s="3"/>
      <c r="F562" s="89"/>
      <c r="G562" s="3"/>
      <c r="H562" s="89"/>
      <c r="I562" s="90"/>
      <c r="K562" s="31"/>
    </row>
    <row r="563" spans="2:11" s="13" customFormat="1" x14ac:dyDescent="0.2">
      <c r="B563" s="3"/>
      <c r="C563" s="3"/>
      <c r="D563" s="3"/>
      <c r="E563" s="3"/>
      <c r="F563" s="89"/>
      <c r="G563" s="3"/>
      <c r="H563" s="89"/>
      <c r="I563" s="90"/>
      <c r="K563" s="31"/>
    </row>
    <row r="564" spans="2:11" s="13" customFormat="1" x14ac:dyDescent="0.2">
      <c r="B564" s="3"/>
      <c r="C564" s="3"/>
      <c r="D564" s="3"/>
      <c r="E564" s="3"/>
      <c r="F564" s="89"/>
      <c r="G564" s="3"/>
      <c r="H564" s="89"/>
      <c r="I564" s="90"/>
      <c r="K564" s="31"/>
    </row>
    <row r="565" spans="2:11" s="13" customFormat="1" x14ac:dyDescent="0.2">
      <c r="B565" s="3"/>
      <c r="C565" s="3"/>
      <c r="D565" s="3"/>
      <c r="E565" s="3"/>
      <c r="F565" s="89"/>
      <c r="G565" s="3"/>
      <c r="H565" s="89"/>
      <c r="I565" s="90"/>
      <c r="K565" s="31"/>
    </row>
    <row r="566" spans="2:11" s="13" customFormat="1" x14ac:dyDescent="0.2">
      <c r="B566" s="3"/>
      <c r="C566" s="3"/>
      <c r="D566" s="3"/>
      <c r="E566" s="3"/>
      <c r="F566" s="89"/>
      <c r="G566" s="3"/>
      <c r="H566" s="89"/>
      <c r="I566" s="90"/>
      <c r="K566" s="31"/>
    </row>
    <row r="567" spans="2:11" s="13" customFormat="1" x14ac:dyDescent="0.2">
      <c r="B567" s="3"/>
      <c r="C567" s="3"/>
      <c r="D567" s="3"/>
      <c r="E567" s="3"/>
      <c r="F567" s="89"/>
      <c r="G567" s="3"/>
      <c r="H567" s="89"/>
      <c r="I567" s="90"/>
      <c r="K567" s="31"/>
    </row>
    <row r="568" spans="2:11" s="13" customFormat="1" x14ac:dyDescent="0.2">
      <c r="B568" s="3"/>
      <c r="C568" s="3"/>
      <c r="D568" s="3"/>
      <c r="E568" s="3"/>
      <c r="F568" s="89"/>
      <c r="G568" s="3"/>
      <c r="H568" s="89"/>
      <c r="I568" s="90"/>
      <c r="K568" s="31"/>
    </row>
    <row r="569" spans="2:11" s="13" customFormat="1" x14ac:dyDescent="0.2">
      <c r="B569" s="3"/>
      <c r="C569" s="3"/>
      <c r="D569" s="3"/>
      <c r="E569" s="3"/>
      <c r="F569" s="89"/>
      <c r="G569" s="3"/>
      <c r="H569" s="89"/>
      <c r="I569" s="90"/>
      <c r="K569" s="31"/>
    </row>
    <row r="570" spans="2:11" s="13" customFormat="1" x14ac:dyDescent="0.2">
      <c r="B570" s="3"/>
      <c r="C570" s="3"/>
      <c r="D570" s="3"/>
      <c r="E570" s="3"/>
      <c r="F570" s="89"/>
      <c r="G570" s="3"/>
      <c r="H570" s="89"/>
      <c r="I570" s="90"/>
      <c r="K570" s="31"/>
    </row>
    <row r="571" spans="2:11" s="13" customFormat="1" x14ac:dyDescent="0.2">
      <c r="B571" s="3"/>
      <c r="C571" s="3"/>
      <c r="D571" s="3"/>
      <c r="E571" s="3"/>
      <c r="F571" s="89"/>
      <c r="G571" s="3"/>
      <c r="H571" s="89"/>
      <c r="I571" s="90"/>
      <c r="K571" s="31"/>
    </row>
    <row r="572" spans="2:11" s="13" customFormat="1" x14ac:dyDescent="0.2">
      <c r="B572" s="3"/>
      <c r="C572" s="3"/>
      <c r="D572" s="3"/>
      <c r="E572" s="3"/>
      <c r="F572" s="89"/>
      <c r="G572" s="3"/>
      <c r="H572" s="89"/>
      <c r="I572" s="90"/>
      <c r="K572" s="31"/>
    </row>
    <row r="573" spans="2:11" s="13" customFormat="1" x14ac:dyDescent="0.2">
      <c r="B573" s="3"/>
      <c r="C573" s="3"/>
      <c r="D573" s="3"/>
      <c r="E573" s="3"/>
      <c r="F573" s="89"/>
      <c r="G573" s="3"/>
      <c r="H573" s="89"/>
      <c r="I573" s="90"/>
      <c r="K573" s="31"/>
    </row>
    <row r="574" spans="2:11" s="13" customFormat="1" x14ac:dyDescent="0.2">
      <c r="B574" s="3"/>
      <c r="C574" s="3"/>
      <c r="D574" s="3"/>
      <c r="E574" s="3"/>
      <c r="F574" s="89"/>
      <c r="G574" s="3"/>
      <c r="H574" s="89"/>
      <c r="I574" s="90"/>
      <c r="K574" s="31"/>
    </row>
    <row r="575" spans="2:11" s="13" customFormat="1" x14ac:dyDescent="0.2">
      <c r="B575" s="3"/>
      <c r="C575" s="3"/>
      <c r="D575" s="3"/>
      <c r="E575" s="3"/>
      <c r="F575" s="89"/>
      <c r="G575" s="3"/>
      <c r="H575" s="89"/>
      <c r="I575" s="90"/>
      <c r="K575" s="31"/>
    </row>
    <row r="576" spans="2:11" s="13" customFormat="1" x14ac:dyDescent="0.2">
      <c r="B576" s="3"/>
      <c r="C576" s="3"/>
      <c r="D576" s="3"/>
      <c r="E576" s="3"/>
      <c r="F576" s="89"/>
      <c r="G576" s="3"/>
      <c r="H576" s="89"/>
      <c r="I576" s="90"/>
      <c r="K576" s="31"/>
    </row>
    <row r="577" spans="2:11" s="13" customFormat="1" x14ac:dyDescent="0.2">
      <c r="B577" s="3"/>
      <c r="C577" s="3"/>
      <c r="D577" s="3"/>
      <c r="E577" s="3"/>
      <c r="F577" s="89"/>
      <c r="G577" s="3"/>
      <c r="H577" s="89"/>
      <c r="I577" s="90"/>
      <c r="K577" s="31"/>
    </row>
    <row r="578" spans="2:11" s="13" customFormat="1" x14ac:dyDescent="0.2">
      <c r="B578" s="3"/>
      <c r="C578" s="3"/>
      <c r="D578" s="3"/>
      <c r="E578" s="3"/>
      <c r="F578" s="89"/>
      <c r="G578" s="3"/>
      <c r="H578" s="89"/>
      <c r="I578" s="90"/>
      <c r="K578" s="31"/>
    </row>
    <row r="579" spans="2:11" s="13" customFormat="1" x14ac:dyDescent="0.2">
      <c r="B579" s="3"/>
      <c r="C579" s="3"/>
      <c r="D579" s="3"/>
      <c r="E579" s="3"/>
      <c r="F579" s="89"/>
      <c r="G579" s="3"/>
      <c r="H579" s="89"/>
      <c r="I579" s="90"/>
      <c r="K579" s="31"/>
    </row>
    <row r="580" spans="2:11" s="13" customFormat="1" x14ac:dyDescent="0.2">
      <c r="B580" s="3"/>
      <c r="C580" s="3"/>
      <c r="D580" s="3"/>
      <c r="E580" s="3"/>
      <c r="F580" s="89"/>
      <c r="G580" s="3"/>
      <c r="H580" s="89"/>
      <c r="I580" s="90"/>
      <c r="K580" s="31"/>
    </row>
    <row r="581" spans="2:11" s="13" customFormat="1" x14ac:dyDescent="0.2">
      <c r="B581" s="3"/>
      <c r="C581" s="3"/>
      <c r="D581" s="3"/>
      <c r="E581" s="3"/>
      <c r="F581" s="89"/>
      <c r="G581" s="3"/>
      <c r="H581" s="89"/>
      <c r="I581" s="90"/>
      <c r="K581" s="31"/>
    </row>
    <row r="582" spans="2:11" s="13" customFormat="1" x14ac:dyDescent="0.2">
      <c r="B582" s="3"/>
      <c r="C582" s="3"/>
      <c r="D582" s="3"/>
      <c r="E582" s="3"/>
      <c r="F582" s="89"/>
      <c r="G582" s="3"/>
      <c r="H582" s="89"/>
      <c r="I582" s="90"/>
      <c r="K582" s="31"/>
    </row>
    <row r="583" spans="2:11" s="13" customFormat="1" x14ac:dyDescent="0.2">
      <c r="B583" s="3"/>
      <c r="C583" s="3"/>
      <c r="D583" s="3"/>
      <c r="E583" s="3"/>
      <c r="F583" s="89"/>
      <c r="G583" s="3"/>
      <c r="H583" s="89"/>
      <c r="I583" s="90"/>
      <c r="K583" s="31"/>
    </row>
    <row r="584" spans="2:11" s="13" customFormat="1" x14ac:dyDescent="0.2">
      <c r="B584" s="3"/>
      <c r="C584" s="3"/>
      <c r="D584" s="3"/>
      <c r="E584" s="3"/>
      <c r="F584" s="89"/>
      <c r="G584" s="3"/>
      <c r="H584" s="89"/>
      <c r="I584" s="90"/>
      <c r="K584" s="31"/>
    </row>
    <row r="585" spans="2:11" s="13" customFormat="1" x14ac:dyDescent="0.2">
      <c r="B585" s="3"/>
      <c r="C585" s="3"/>
      <c r="D585" s="3"/>
      <c r="E585" s="3"/>
      <c r="F585" s="89"/>
      <c r="G585" s="3"/>
      <c r="H585" s="89"/>
      <c r="I585" s="90"/>
      <c r="K585" s="31"/>
    </row>
    <row r="586" spans="2:11" s="13" customFormat="1" x14ac:dyDescent="0.2">
      <c r="B586" s="3"/>
      <c r="C586" s="3"/>
      <c r="D586" s="3"/>
      <c r="E586" s="3"/>
      <c r="F586" s="89"/>
      <c r="G586" s="3"/>
      <c r="H586" s="89"/>
      <c r="I586" s="90"/>
      <c r="K586" s="31"/>
    </row>
    <row r="587" spans="2:11" s="13" customFormat="1" x14ac:dyDescent="0.2">
      <c r="B587" s="3"/>
      <c r="C587" s="3"/>
      <c r="D587" s="3"/>
      <c r="E587" s="3"/>
      <c r="F587" s="89"/>
      <c r="G587" s="3"/>
      <c r="H587" s="89"/>
      <c r="I587" s="90"/>
      <c r="K587" s="31"/>
    </row>
    <row r="588" spans="2:11" s="13" customFormat="1" x14ac:dyDescent="0.2">
      <c r="B588" s="3"/>
      <c r="C588" s="3"/>
      <c r="D588" s="3"/>
      <c r="E588" s="3"/>
      <c r="F588" s="89"/>
      <c r="G588" s="3"/>
      <c r="H588" s="89"/>
      <c r="I588" s="90"/>
      <c r="K588" s="31"/>
    </row>
    <row r="589" spans="2:11" s="13" customFormat="1" x14ac:dyDescent="0.2">
      <c r="B589" s="3"/>
      <c r="C589" s="3"/>
      <c r="D589" s="3"/>
      <c r="E589" s="3"/>
      <c r="F589" s="89"/>
      <c r="G589" s="3"/>
      <c r="H589" s="89"/>
      <c r="I589" s="90"/>
      <c r="K589" s="31"/>
    </row>
    <row r="590" spans="2:11" s="13" customFormat="1" x14ac:dyDescent="0.2">
      <c r="B590" s="3"/>
      <c r="C590" s="3"/>
      <c r="D590" s="3"/>
      <c r="E590" s="3"/>
      <c r="F590" s="89"/>
      <c r="G590" s="3"/>
      <c r="H590" s="89"/>
      <c r="I590" s="90"/>
      <c r="K590" s="31"/>
    </row>
    <row r="591" spans="2:11" s="13" customFormat="1" x14ac:dyDescent="0.2">
      <c r="B591" s="3"/>
      <c r="C591" s="3"/>
      <c r="D591" s="3"/>
      <c r="E591" s="3"/>
      <c r="F591" s="89"/>
      <c r="G591" s="3"/>
      <c r="H591" s="89"/>
      <c r="I591" s="90"/>
      <c r="K591" s="31"/>
    </row>
    <row r="592" spans="2:11" s="13" customFormat="1" x14ac:dyDescent="0.2">
      <c r="B592" s="3"/>
      <c r="C592" s="3"/>
      <c r="D592" s="3"/>
      <c r="E592" s="3"/>
      <c r="F592" s="89"/>
      <c r="G592" s="3"/>
      <c r="H592" s="89"/>
      <c r="I592" s="90"/>
      <c r="K592" s="31"/>
    </row>
    <row r="593" spans="2:11" s="13" customFormat="1" x14ac:dyDescent="0.2">
      <c r="B593" s="3"/>
      <c r="C593" s="3"/>
      <c r="D593" s="3"/>
      <c r="E593" s="3"/>
      <c r="F593" s="89"/>
      <c r="G593" s="3"/>
      <c r="H593" s="89"/>
      <c r="I593" s="90"/>
      <c r="K593" s="31"/>
    </row>
    <row r="594" spans="2:11" s="13" customFormat="1" x14ac:dyDescent="0.2">
      <c r="B594" s="3"/>
      <c r="C594" s="3"/>
      <c r="D594" s="3"/>
      <c r="E594" s="3"/>
      <c r="F594" s="89"/>
      <c r="G594" s="3"/>
      <c r="H594" s="89"/>
      <c r="I594" s="90"/>
      <c r="K594" s="31"/>
    </row>
    <row r="595" spans="2:11" s="13" customFormat="1" x14ac:dyDescent="0.2">
      <c r="B595" s="3"/>
      <c r="C595" s="3"/>
      <c r="D595" s="3"/>
      <c r="E595" s="3"/>
      <c r="F595" s="89"/>
      <c r="G595" s="3"/>
      <c r="H595" s="89"/>
      <c r="I595" s="90"/>
      <c r="K595" s="31"/>
    </row>
    <row r="596" spans="2:11" s="13" customFormat="1" x14ac:dyDescent="0.2">
      <c r="B596" s="3"/>
      <c r="C596" s="3"/>
      <c r="D596" s="3"/>
      <c r="E596" s="3"/>
      <c r="F596" s="89"/>
      <c r="G596" s="3"/>
      <c r="H596" s="89"/>
      <c r="I596" s="90"/>
      <c r="K596" s="31"/>
    </row>
    <row r="597" spans="2:11" s="13" customFormat="1" x14ac:dyDescent="0.2">
      <c r="B597" s="3"/>
      <c r="C597" s="3"/>
      <c r="D597" s="3"/>
      <c r="E597" s="3"/>
      <c r="F597" s="89"/>
      <c r="G597" s="3"/>
      <c r="H597" s="89"/>
      <c r="I597" s="90"/>
      <c r="K597" s="31"/>
    </row>
    <row r="598" spans="2:11" s="13" customFormat="1" x14ac:dyDescent="0.2">
      <c r="B598" s="3"/>
      <c r="C598" s="3"/>
      <c r="D598" s="3"/>
      <c r="E598" s="3"/>
      <c r="F598" s="89"/>
      <c r="G598" s="3"/>
      <c r="H598" s="89"/>
      <c r="I598" s="90"/>
      <c r="K598" s="31"/>
    </row>
    <row r="599" spans="2:11" s="13" customFormat="1" x14ac:dyDescent="0.2">
      <c r="B599" s="3"/>
      <c r="C599" s="3"/>
      <c r="D599" s="3"/>
      <c r="E599" s="3"/>
      <c r="F599" s="89"/>
      <c r="G599" s="3"/>
      <c r="H599" s="89"/>
      <c r="I599" s="90"/>
      <c r="K599" s="31"/>
    </row>
    <row r="600" spans="2:11" s="13" customFormat="1" x14ac:dyDescent="0.2">
      <c r="B600" s="3"/>
      <c r="C600" s="3"/>
      <c r="D600" s="3"/>
      <c r="E600" s="3"/>
      <c r="F600" s="89"/>
      <c r="G600" s="3"/>
      <c r="H600" s="89"/>
      <c r="I600" s="90"/>
      <c r="K600" s="31"/>
    </row>
    <row r="601" spans="2:11" s="13" customFormat="1" x14ac:dyDescent="0.2">
      <c r="B601" s="3"/>
      <c r="C601" s="3"/>
      <c r="D601" s="3"/>
      <c r="E601" s="3"/>
      <c r="F601" s="89"/>
      <c r="G601" s="3"/>
      <c r="H601" s="89"/>
      <c r="I601" s="90"/>
      <c r="K601" s="31"/>
    </row>
    <row r="602" spans="2:11" s="13" customFormat="1" x14ac:dyDescent="0.2">
      <c r="B602" s="3"/>
      <c r="C602" s="3"/>
      <c r="D602" s="3"/>
      <c r="E602" s="3"/>
      <c r="F602" s="89"/>
      <c r="G602" s="3"/>
      <c r="H602" s="89"/>
      <c r="I602" s="90"/>
      <c r="K602" s="31"/>
    </row>
    <row r="603" spans="2:11" s="13" customFormat="1" x14ac:dyDescent="0.2">
      <c r="B603" s="3"/>
      <c r="C603" s="3"/>
      <c r="D603" s="3"/>
      <c r="E603" s="3"/>
      <c r="F603" s="89"/>
      <c r="G603" s="3"/>
      <c r="H603" s="89"/>
      <c r="I603" s="90"/>
      <c r="K603" s="31"/>
    </row>
    <row r="604" spans="2:11" s="13" customFormat="1" x14ac:dyDescent="0.2">
      <c r="B604" s="3"/>
      <c r="C604" s="3"/>
      <c r="D604" s="3"/>
      <c r="E604" s="3"/>
      <c r="F604" s="89"/>
      <c r="G604" s="3"/>
      <c r="H604" s="89"/>
      <c r="I604" s="90"/>
      <c r="K604" s="31"/>
    </row>
    <row r="605" spans="2:11" s="13" customFormat="1" x14ac:dyDescent="0.2">
      <c r="B605" s="3"/>
      <c r="C605" s="3"/>
      <c r="D605" s="3"/>
      <c r="E605" s="3"/>
      <c r="F605" s="89"/>
      <c r="G605" s="3"/>
      <c r="H605" s="89"/>
      <c r="I605" s="90"/>
      <c r="K605" s="31"/>
    </row>
    <row r="606" spans="2:11" s="13" customFormat="1" x14ac:dyDescent="0.2">
      <c r="B606" s="3"/>
      <c r="C606" s="3"/>
      <c r="D606" s="3"/>
      <c r="E606" s="3"/>
      <c r="F606" s="89"/>
      <c r="G606" s="3"/>
      <c r="H606" s="89"/>
      <c r="I606" s="90"/>
      <c r="K606" s="31"/>
    </row>
    <row r="607" spans="2:11" s="13" customFormat="1" x14ac:dyDescent="0.2">
      <c r="B607" s="3"/>
      <c r="C607" s="3"/>
      <c r="D607" s="3"/>
      <c r="E607" s="3"/>
      <c r="F607" s="89"/>
      <c r="G607" s="3"/>
      <c r="H607" s="89"/>
      <c r="I607" s="90"/>
      <c r="K607" s="31"/>
    </row>
    <row r="608" spans="2:11" s="13" customFormat="1" x14ac:dyDescent="0.2">
      <c r="B608" s="3"/>
      <c r="C608" s="3"/>
      <c r="D608" s="3"/>
      <c r="E608" s="3"/>
      <c r="F608" s="89"/>
      <c r="G608" s="3"/>
      <c r="H608" s="89"/>
      <c r="I608" s="90"/>
      <c r="K608" s="31"/>
    </row>
    <row r="609" spans="2:11" s="13" customFormat="1" x14ac:dyDescent="0.2">
      <c r="B609" s="3"/>
      <c r="C609" s="3"/>
      <c r="D609" s="3"/>
      <c r="E609" s="3"/>
      <c r="F609" s="89"/>
      <c r="G609" s="3"/>
      <c r="H609" s="89"/>
      <c r="I609" s="90"/>
      <c r="K609" s="31"/>
    </row>
    <row r="610" spans="2:11" s="13" customFormat="1" x14ac:dyDescent="0.2">
      <c r="B610" s="3"/>
      <c r="C610" s="3"/>
      <c r="D610" s="3"/>
      <c r="E610" s="3"/>
      <c r="F610" s="89"/>
      <c r="G610" s="3"/>
      <c r="H610" s="89"/>
      <c r="I610" s="90"/>
      <c r="K610" s="31"/>
    </row>
    <row r="611" spans="2:11" s="13" customFormat="1" x14ac:dyDescent="0.2">
      <c r="B611" s="3"/>
      <c r="C611" s="3"/>
      <c r="D611" s="3"/>
      <c r="E611" s="3"/>
      <c r="F611" s="89"/>
      <c r="G611" s="3"/>
      <c r="H611" s="89"/>
      <c r="I611" s="90"/>
      <c r="K611" s="31"/>
    </row>
    <row r="612" spans="2:11" s="13" customFormat="1" x14ac:dyDescent="0.2">
      <c r="B612" s="3"/>
      <c r="C612" s="3"/>
      <c r="D612" s="3"/>
      <c r="E612" s="3"/>
      <c r="F612" s="89"/>
      <c r="G612" s="3"/>
      <c r="H612" s="89"/>
      <c r="I612" s="90"/>
      <c r="K612" s="31"/>
    </row>
    <row r="613" spans="2:11" s="13" customFormat="1" x14ac:dyDescent="0.2">
      <c r="B613" s="3"/>
      <c r="C613" s="3"/>
      <c r="D613" s="3"/>
      <c r="E613" s="3"/>
      <c r="F613" s="89"/>
      <c r="G613" s="3"/>
      <c r="H613" s="89"/>
      <c r="I613" s="90"/>
      <c r="K613" s="31"/>
    </row>
    <row r="614" spans="2:11" s="13" customFormat="1" x14ac:dyDescent="0.2">
      <c r="B614" s="3"/>
      <c r="C614" s="3"/>
      <c r="D614" s="3"/>
      <c r="E614" s="3"/>
      <c r="F614" s="89"/>
      <c r="G614" s="3"/>
      <c r="H614" s="89"/>
      <c r="I614" s="90"/>
      <c r="K614" s="31"/>
    </row>
    <row r="615" spans="2:11" s="13" customFormat="1" x14ac:dyDescent="0.2">
      <c r="B615" s="3"/>
      <c r="C615" s="3"/>
      <c r="D615" s="3"/>
      <c r="E615" s="3"/>
      <c r="F615" s="89"/>
      <c r="G615" s="3"/>
      <c r="H615" s="89"/>
      <c r="I615" s="90"/>
      <c r="K615" s="31"/>
    </row>
    <row r="616" spans="2:11" s="13" customFormat="1" x14ac:dyDescent="0.2">
      <c r="B616" s="3"/>
      <c r="C616" s="3"/>
      <c r="D616" s="3"/>
      <c r="E616" s="3"/>
      <c r="F616" s="89"/>
      <c r="G616" s="3"/>
      <c r="H616" s="89"/>
      <c r="I616" s="90"/>
      <c r="K616" s="31"/>
    </row>
    <row r="617" spans="2:11" s="13" customFormat="1" x14ac:dyDescent="0.2">
      <c r="B617" s="3"/>
      <c r="C617" s="3"/>
      <c r="D617" s="3"/>
      <c r="E617" s="3"/>
      <c r="F617" s="89"/>
      <c r="G617" s="3"/>
      <c r="H617" s="89"/>
      <c r="I617" s="90"/>
      <c r="K617" s="31"/>
    </row>
    <row r="618" spans="2:11" s="13" customFormat="1" x14ac:dyDescent="0.2">
      <c r="B618" s="3"/>
      <c r="C618" s="3"/>
      <c r="D618" s="3"/>
      <c r="E618" s="3"/>
      <c r="F618" s="89"/>
      <c r="G618" s="3"/>
      <c r="H618" s="89"/>
      <c r="I618" s="90"/>
      <c r="K618" s="31"/>
    </row>
    <row r="619" spans="2:11" s="13" customFormat="1" x14ac:dyDescent="0.2">
      <c r="B619" s="3"/>
      <c r="C619" s="3"/>
      <c r="D619" s="3"/>
      <c r="E619" s="3"/>
      <c r="F619" s="89"/>
      <c r="G619" s="3"/>
      <c r="H619" s="89"/>
      <c r="I619" s="90"/>
      <c r="K619" s="31"/>
    </row>
    <row r="620" spans="2:11" s="13" customFormat="1" x14ac:dyDescent="0.2">
      <c r="B620" s="3"/>
      <c r="C620" s="3"/>
      <c r="D620" s="3"/>
      <c r="E620" s="3"/>
      <c r="F620" s="89"/>
      <c r="G620" s="3"/>
      <c r="H620" s="89"/>
      <c r="I620" s="90"/>
      <c r="K620" s="31"/>
    </row>
    <row r="621" spans="2:11" s="13" customFormat="1" x14ac:dyDescent="0.2">
      <c r="B621" s="3"/>
      <c r="C621" s="3"/>
      <c r="D621" s="3"/>
      <c r="E621" s="3"/>
      <c r="F621" s="89"/>
      <c r="G621" s="3"/>
      <c r="H621" s="89"/>
      <c r="I621" s="90"/>
      <c r="K621" s="31"/>
    </row>
    <row r="622" spans="2:11" s="13" customFormat="1" x14ac:dyDescent="0.2">
      <c r="B622" s="3"/>
      <c r="C622" s="3"/>
      <c r="D622" s="3"/>
      <c r="E622" s="3"/>
      <c r="F622" s="89"/>
      <c r="G622" s="3"/>
      <c r="H622" s="89"/>
      <c r="I622" s="90"/>
      <c r="K622" s="31"/>
    </row>
    <row r="623" spans="2:11" s="13" customFormat="1" x14ac:dyDescent="0.2">
      <c r="B623" s="3"/>
      <c r="C623" s="3"/>
      <c r="D623" s="3"/>
      <c r="E623" s="3"/>
      <c r="F623" s="89"/>
      <c r="G623" s="3"/>
      <c r="H623" s="89"/>
      <c r="I623" s="90"/>
      <c r="K623" s="31"/>
    </row>
    <row r="624" spans="2:11" s="13" customFormat="1" x14ac:dyDescent="0.2">
      <c r="B624" s="3"/>
      <c r="C624" s="3"/>
      <c r="D624" s="3"/>
      <c r="E624" s="3"/>
      <c r="F624" s="89"/>
      <c r="G624" s="3"/>
      <c r="H624" s="89"/>
      <c r="I624" s="90"/>
      <c r="K624" s="31"/>
    </row>
    <row r="625" spans="2:11" s="13" customFormat="1" x14ac:dyDescent="0.2">
      <c r="B625" s="3"/>
      <c r="C625" s="3"/>
      <c r="D625" s="3"/>
      <c r="E625" s="3"/>
      <c r="F625" s="89"/>
      <c r="G625" s="3"/>
      <c r="H625" s="89"/>
      <c r="I625" s="90"/>
      <c r="K625" s="31"/>
    </row>
    <row r="626" spans="2:11" s="13" customFormat="1" x14ac:dyDescent="0.2">
      <c r="B626" s="3"/>
      <c r="C626" s="3"/>
      <c r="D626" s="3"/>
      <c r="E626" s="3"/>
      <c r="F626" s="89"/>
      <c r="G626" s="3"/>
      <c r="H626" s="89"/>
      <c r="I626" s="90"/>
      <c r="K626" s="31"/>
    </row>
    <row r="627" spans="2:11" s="13" customFormat="1" x14ac:dyDescent="0.2">
      <c r="B627" s="3"/>
      <c r="C627" s="3"/>
      <c r="D627" s="3"/>
      <c r="E627" s="3"/>
      <c r="F627" s="89"/>
      <c r="G627" s="3"/>
      <c r="H627" s="89"/>
      <c r="I627" s="90"/>
      <c r="K627" s="31"/>
    </row>
    <row r="628" spans="2:11" s="13" customFormat="1" x14ac:dyDescent="0.2">
      <c r="B628" s="3"/>
      <c r="C628" s="3"/>
      <c r="D628" s="3"/>
      <c r="E628" s="3"/>
      <c r="F628" s="89"/>
      <c r="G628" s="3"/>
      <c r="H628" s="89"/>
      <c r="I628" s="90"/>
      <c r="K628" s="31"/>
    </row>
    <row r="629" spans="2:11" s="13" customFormat="1" x14ac:dyDescent="0.2">
      <c r="B629" s="3"/>
      <c r="C629" s="3"/>
      <c r="D629" s="3"/>
      <c r="E629" s="3"/>
      <c r="F629" s="89"/>
      <c r="G629" s="3"/>
      <c r="H629" s="89"/>
      <c r="I629" s="90"/>
      <c r="K629" s="31"/>
    </row>
    <row r="630" spans="2:11" s="13" customFormat="1" x14ac:dyDescent="0.2">
      <c r="B630" s="3"/>
      <c r="C630" s="3"/>
      <c r="D630" s="3"/>
      <c r="E630" s="3"/>
      <c r="F630" s="89"/>
      <c r="G630" s="3"/>
      <c r="H630" s="89"/>
      <c r="I630" s="90"/>
      <c r="K630" s="31"/>
    </row>
    <row r="631" spans="2:11" s="13" customFormat="1" x14ac:dyDescent="0.2">
      <c r="B631" s="3"/>
      <c r="C631" s="3"/>
      <c r="D631" s="3"/>
      <c r="E631" s="3"/>
      <c r="F631" s="89"/>
      <c r="G631" s="3"/>
      <c r="H631" s="89"/>
      <c r="I631" s="90"/>
      <c r="K631" s="31"/>
    </row>
    <row r="632" spans="2:11" s="13" customFormat="1" x14ac:dyDescent="0.2">
      <c r="B632" s="3"/>
      <c r="C632" s="3"/>
      <c r="D632" s="3"/>
      <c r="E632" s="3"/>
      <c r="F632" s="89"/>
      <c r="G632" s="3"/>
      <c r="H632" s="89"/>
      <c r="I632" s="90"/>
      <c r="K632" s="31"/>
    </row>
    <row r="633" spans="2:11" s="13" customFormat="1" x14ac:dyDescent="0.2">
      <c r="B633" s="3"/>
      <c r="C633" s="3"/>
      <c r="D633" s="3"/>
      <c r="E633" s="3"/>
      <c r="F633" s="89"/>
      <c r="G633" s="3"/>
      <c r="H633" s="89"/>
      <c r="I633" s="90"/>
      <c r="K633" s="31"/>
    </row>
    <row r="634" spans="2:11" s="13" customFormat="1" x14ac:dyDescent="0.2">
      <c r="B634" s="3"/>
      <c r="C634" s="3"/>
      <c r="D634" s="3"/>
      <c r="E634" s="3"/>
      <c r="F634" s="89"/>
      <c r="G634" s="3"/>
      <c r="H634" s="89"/>
      <c r="I634" s="90"/>
      <c r="K634" s="31"/>
    </row>
    <row r="635" spans="2:11" s="13" customFormat="1" x14ac:dyDescent="0.2">
      <c r="B635" s="3"/>
      <c r="C635" s="3"/>
      <c r="D635" s="3"/>
      <c r="E635" s="3"/>
      <c r="F635" s="89"/>
      <c r="G635" s="3"/>
      <c r="H635" s="89"/>
      <c r="I635" s="90"/>
      <c r="K635" s="31"/>
    </row>
    <row r="636" spans="2:11" s="13" customFormat="1" x14ac:dyDescent="0.2">
      <c r="B636" s="3"/>
      <c r="C636" s="3"/>
      <c r="D636" s="3"/>
      <c r="E636" s="3"/>
      <c r="F636" s="89"/>
      <c r="G636" s="3"/>
      <c r="H636" s="89"/>
      <c r="I636" s="90"/>
      <c r="K636" s="31"/>
    </row>
    <row r="637" spans="2:11" s="13" customFormat="1" x14ac:dyDescent="0.2">
      <c r="B637" s="3"/>
      <c r="C637" s="3"/>
      <c r="D637" s="3"/>
      <c r="E637" s="3"/>
      <c r="F637" s="89"/>
      <c r="G637" s="3"/>
      <c r="H637" s="89"/>
      <c r="I637" s="90"/>
      <c r="K637" s="31"/>
    </row>
    <row r="638" spans="2:11" s="13" customFormat="1" x14ac:dyDescent="0.2">
      <c r="B638" s="3"/>
      <c r="C638" s="3"/>
      <c r="D638" s="3"/>
      <c r="E638" s="3"/>
      <c r="F638" s="89"/>
      <c r="G638" s="3"/>
      <c r="H638" s="89"/>
      <c r="I638" s="90"/>
      <c r="K638" s="31"/>
    </row>
    <row r="639" spans="2:11" s="13" customFormat="1" x14ac:dyDescent="0.2">
      <c r="B639" s="3"/>
      <c r="C639" s="3"/>
      <c r="D639" s="3"/>
      <c r="E639" s="3"/>
      <c r="F639" s="89"/>
      <c r="G639" s="3"/>
      <c r="H639" s="89"/>
      <c r="I639" s="90"/>
      <c r="K639" s="31"/>
    </row>
    <row r="640" spans="2:11" s="13" customFormat="1" x14ac:dyDescent="0.2">
      <c r="B640" s="3"/>
      <c r="C640" s="3"/>
      <c r="D640" s="3"/>
      <c r="E640" s="3"/>
      <c r="F640" s="89"/>
      <c r="G640" s="3"/>
      <c r="H640" s="89"/>
      <c r="I640" s="90"/>
      <c r="K640" s="31"/>
    </row>
    <row r="641" spans="2:11" s="13" customFormat="1" x14ac:dyDescent="0.2">
      <c r="B641" s="3"/>
      <c r="C641" s="3"/>
      <c r="D641" s="3"/>
      <c r="E641" s="3"/>
      <c r="F641" s="89"/>
      <c r="G641" s="3"/>
      <c r="H641" s="89"/>
      <c r="I641" s="90"/>
      <c r="K641" s="31"/>
    </row>
    <row r="642" spans="2:11" s="13" customFormat="1" x14ac:dyDescent="0.2">
      <c r="B642" s="3"/>
      <c r="C642" s="3"/>
      <c r="D642" s="3"/>
      <c r="E642" s="3"/>
      <c r="F642" s="89"/>
      <c r="G642" s="3"/>
      <c r="H642" s="89"/>
      <c r="I642" s="90"/>
      <c r="K642" s="31"/>
    </row>
    <row r="643" spans="2:11" s="13" customFormat="1" x14ac:dyDescent="0.2">
      <c r="B643" s="3"/>
      <c r="C643" s="3"/>
      <c r="D643" s="3"/>
      <c r="E643" s="3"/>
      <c r="F643" s="89"/>
      <c r="G643" s="3"/>
      <c r="H643" s="89"/>
      <c r="I643" s="90"/>
      <c r="K643" s="31"/>
    </row>
    <row r="644" spans="2:11" s="13" customFormat="1" x14ac:dyDescent="0.2">
      <c r="B644" s="3"/>
      <c r="C644" s="3"/>
      <c r="D644" s="3"/>
      <c r="E644" s="3"/>
      <c r="F644" s="89"/>
      <c r="G644" s="3"/>
      <c r="H644" s="89"/>
      <c r="I644" s="90"/>
      <c r="K644" s="31"/>
    </row>
    <row r="645" spans="2:11" s="13" customFormat="1" x14ac:dyDescent="0.2">
      <c r="B645" s="3"/>
      <c r="C645" s="3"/>
      <c r="D645" s="3"/>
      <c r="E645" s="3"/>
      <c r="F645" s="89"/>
      <c r="G645" s="3"/>
      <c r="H645" s="89"/>
      <c r="I645" s="90"/>
      <c r="K645" s="31"/>
    </row>
    <row r="646" spans="2:11" s="13" customFormat="1" x14ac:dyDescent="0.2">
      <c r="B646" s="3"/>
      <c r="C646" s="3"/>
      <c r="D646" s="3"/>
      <c r="E646" s="3"/>
      <c r="F646" s="89"/>
      <c r="G646" s="3"/>
      <c r="H646" s="89"/>
      <c r="I646" s="90"/>
      <c r="K646" s="31"/>
    </row>
    <row r="647" spans="2:11" s="13" customFormat="1" x14ac:dyDescent="0.2">
      <c r="B647" s="3"/>
      <c r="C647" s="3"/>
      <c r="D647" s="3"/>
      <c r="E647" s="3"/>
      <c r="F647" s="89"/>
      <c r="G647" s="3"/>
      <c r="H647" s="89"/>
      <c r="I647" s="90"/>
      <c r="K647" s="31"/>
    </row>
    <row r="648" spans="2:11" s="13" customFormat="1" x14ac:dyDescent="0.2">
      <c r="B648" s="3"/>
      <c r="C648" s="3"/>
      <c r="D648" s="3"/>
      <c r="E648" s="3"/>
      <c r="F648" s="89"/>
      <c r="G648" s="3"/>
      <c r="H648" s="89"/>
      <c r="I648" s="90"/>
      <c r="K648" s="31"/>
    </row>
    <row r="649" spans="2:11" s="13" customFormat="1" x14ac:dyDescent="0.2">
      <c r="B649" s="3"/>
      <c r="C649" s="3"/>
      <c r="D649" s="3"/>
      <c r="E649" s="3"/>
      <c r="F649" s="89"/>
      <c r="G649" s="3"/>
      <c r="H649" s="89"/>
      <c r="I649" s="90"/>
      <c r="K649" s="31"/>
    </row>
    <row r="650" spans="2:11" s="13" customFormat="1" x14ac:dyDescent="0.2">
      <c r="B650" s="3"/>
      <c r="C650" s="3"/>
      <c r="D650" s="3"/>
      <c r="E650" s="3"/>
      <c r="F650" s="89"/>
      <c r="G650" s="3"/>
      <c r="H650" s="89"/>
      <c r="I650" s="90"/>
      <c r="K650" s="31"/>
    </row>
    <row r="651" spans="2:11" s="13" customFormat="1" x14ac:dyDescent="0.2">
      <c r="B651" s="3"/>
      <c r="C651" s="3"/>
      <c r="D651" s="3"/>
      <c r="E651" s="3"/>
      <c r="F651" s="89"/>
      <c r="G651" s="3"/>
      <c r="H651" s="89"/>
      <c r="I651" s="90"/>
      <c r="K651" s="31"/>
    </row>
    <row r="652" spans="2:11" s="13" customFormat="1" x14ac:dyDescent="0.2">
      <c r="B652" s="3"/>
      <c r="C652" s="3"/>
      <c r="D652" s="3"/>
      <c r="E652" s="3"/>
      <c r="F652" s="89"/>
      <c r="G652" s="3"/>
      <c r="H652" s="89"/>
      <c r="I652" s="90"/>
      <c r="K652" s="31"/>
    </row>
    <row r="653" spans="2:11" s="13" customFormat="1" x14ac:dyDescent="0.2">
      <c r="B653" s="3"/>
      <c r="C653" s="3"/>
      <c r="D653" s="3"/>
      <c r="E653" s="3"/>
      <c r="F653" s="89"/>
      <c r="G653" s="3"/>
      <c r="H653" s="89"/>
      <c r="I653" s="90"/>
      <c r="K653" s="31"/>
    </row>
    <row r="654" spans="2:11" s="13" customFormat="1" x14ac:dyDescent="0.2">
      <c r="B654" s="3"/>
      <c r="C654" s="3"/>
      <c r="D654" s="3"/>
      <c r="E654" s="3"/>
      <c r="F654" s="89"/>
      <c r="G654" s="3"/>
      <c r="H654" s="89"/>
      <c r="I654" s="90"/>
      <c r="K654" s="31"/>
    </row>
    <row r="655" spans="2:11" s="13" customFormat="1" x14ac:dyDescent="0.2">
      <c r="B655" s="3"/>
      <c r="C655" s="3"/>
      <c r="D655" s="3"/>
      <c r="E655" s="3"/>
      <c r="F655" s="89"/>
      <c r="G655" s="3"/>
      <c r="H655" s="89"/>
      <c r="I655" s="90"/>
      <c r="K655" s="31"/>
    </row>
    <row r="656" spans="2:11" s="13" customFormat="1" x14ac:dyDescent="0.2">
      <c r="B656" s="3"/>
      <c r="C656" s="3"/>
      <c r="D656" s="3"/>
      <c r="E656" s="3"/>
      <c r="F656" s="89"/>
      <c r="G656" s="3"/>
      <c r="H656" s="89"/>
      <c r="I656" s="90"/>
      <c r="K656" s="31"/>
    </row>
    <row r="657" spans="2:11" s="13" customFormat="1" x14ac:dyDescent="0.2">
      <c r="B657" s="3"/>
      <c r="C657" s="3"/>
      <c r="D657" s="3"/>
      <c r="E657" s="3"/>
      <c r="F657" s="89"/>
      <c r="G657" s="3"/>
      <c r="H657" s="89"/>
      <c r="I657" s="90"/>
      <c r="K657" s="31"/>
    </row>
    <row r="658" spans="2:11" s="13" customFormat="1" x14ac:dyDescent="0.2">
      <c r="B658" s="3"/>
      <c r="C658" s="3"/>
      <c r="D658" s="3"/>
      <c r="E658" s="3"/>
      <c r="F658" s="89"/>
      <c r="G658" s="3"/>
      <c r="H658" s="89"/>
      <c r="I658" s="90"/>
      <c r="K658" s="31"/>
    </row>
    <row r="659" spans="2:11" s="13" customFormat="1" x14ac:dyDescent="0.2">
      <c r="B659" s="3"/>
      <c r="C659" s="3"/>
      <c r="D659" s="3"/>
      <c r="E659" s="3"/>
      <c r="F659" s="89"/>
      <c r="G659" s="3"/>
      <c r="H659" s="89"/>
      <c r="I659" s="90"/>
      <c r="K659" s="31"/>
    </row>
    <row r="660" spans="2:11" s="13" customFormat="1" x14ac:dyDescent="0.2">
      <c r="B660" s="3"/>
      <c r="C660" s="3"/>
      <c r="D660" s="3"/>
      <c r="E660" s="3"/>
      <c r="F660" s="89"/>
      <c r="G660" s="3"/>
      <c r="H660" s="89"/>
      <c r="I660" s="90"/>
      <c r="K660" s="31"/>
    </row>
    <row r="661" spans="2:11" s="13" customFormat="1" x14ac:dyDescent="0.2">
      <c r="B661" s="3"/>
      <c r="C661" s="3"/>
      <c r="D661" s="3"/>
      <c r="E661" s="3"/>
      <c r="F661" s="89"/>
      <c r="G661" s="3"/>
      <c r="H661" s="89"/>
      <c r="I661" s="90"/>
      <c r="K661" s="31"/>
    </row>
    <row r="662" spans="2:11" s="13" customFormat="1" x14ac:dyDescent="0.2">
      <c r="B662" s="3"/>
      <c r="C662" s="3"/>
      <c r="D662" s="3"/>
      <c r="E662" s="3"/>
      <c r="F662" s="89"/>
      <c r="G662" s="3"/>
      <c r="H662" s="89"/>
      <c r="I662" s="90"/>
      <c r="K662" s="31"/>
    </row>
    <row r="663" spans="2:11" s="13" customFormat="1" x14ac:dyDescent="0.2">
      <c r="B663" s="3"/>
      <c r="C663" s="3"/>
      <c r="D663" s="3"/>
      <c r="E663" s="3"/>
      <c r="F663" s="89"/>
      <c r="G663" s="3"/>
      <c r="H663" s="89"/>
      <c r="I663" s="90"/>
      <c r="K663" s="31"/>
    </row>
    <row r="664" spans="2:11" s="13" customFormat="1" x14ac:dyDescent="0.2">
      <c r="B664" s="3"/>
      <c r="C664" s="3"/>
      <c r="D664" s="3"/>
      <c r="E664" s="3"/>
      <c r="F664" s="89"/>
      <c r="G664" s="3"/>
      <c r="H664" s="89"/>
      <c r="I664" s="90"/>
      <c r="K664" s="31"/>
    </row>
    <row r="665" spans="2:11" s="13" customFormat="1" x14ac:dyDescent="0.2">
      <c r="B665" s="3"/>
      <c r="C665" s="3"/>
      <c r="D665" s="3"/>
      <c r="E665" s="3"/>
      <c r="F665" s="89"/>
      <c r="G665" s="3"/>
      <c r="H665" s="89"/>
      <c r="I665" s="90"/>
      <c r="K665" s="31"/>
    </row>
    <row r="666" spans="2:11" s="13" customFormat="1" x14ac:dyDescent="0.2">
      <c r="B666" s="3"/>
      <c r="C666" s="3"/>
      <c r="D666" s="3"/>
      <c r="E666" s="3"/>
      <c r="F666" s="89"/>
      <c r="G666" s="3"/>
      <c r="H666" s="89"/>
      <c r="I666" s="90"/>
      <c r="K666" s="31"/>
    </row>
    <row r="667" spans="2:11" s="13" customFormat="1" x14ac:dyDescent="0.2">
      <c r="B667" s="3"/>
      <c r="C667" s="3"/>
      <c r="D667" s="3"/>
      <c r="E667" s="3"/>
      <c r="F667" s="89"/>
      <c r="G667" s="3"/>
      <c r="H667" s="89"/>
      <c r="I667" s="90"/>
      <c r="K667" s="31"/>
    </row>
    <row r="668" spans="2:11" s="13" customFormat="1" x14ac:dyDescent="0.2">
      <c r="B668" s="3"/>
      <c r="C668" s="3"/>
      <c r="D668" s="3"/>
      <c r="E668" s="3"/>
      <c r="F668" s="89"/>
      <c r="G668" s="3"/>
      <c r="H668" s="89"/>
      <c r="I668" s="90"/>
      <c r="K668" s="31"/>
    </row>
    <row r="669" spans="2:11" s="13" customFormat="1" x14ac:dyDescent="0.2">
      <c r="B669" s="3"/>
      <c r="C669" s="3"/>
      <c r="D669" s="3"/>
      <c r="E669" s="3"/>
      <c r="F669" s="89"/>
      <c r="G669" s="3"/>
      <c r="H669" s="89"/>
      <c r="I669" s="90"/>
      <c r="K669" s="31"/>
    </row>
    <row r="670" spans="2:11" s="13" customFormat="1" x14ac:dyDescent="0.2">
      <c r="B670" s="3"/>
      <c r="C670" s="3"/>
      <c r="D670" s="3"/>
      <c r="E670" s="3"/>
      <c r="F670" s="89"/>
      <c r="G670" s="3"/>
      <c r="H670" s="89"/>
      <c r="I670" s="90"/>
      <c r="K670" s="31"/>
    </row>
    <row r="671" spans="2:11" s="13" customFormat="1" x14ac:dyDescent="0.2">
      <c r="B671" s="3"/>
      <c r="C671" s="3"/>
      <c r="D671" s="3"/>
      <c r="E671" s="3"/>
      <c r="F671" s="89"/>
      <c r="G671" s="3"/>
      <c r="H671" s="89"/>
      <c r="I671" s="90"/>
      <c r="K671" s="31"/>
    </row>
    <row r="672" spans="2:11" s="13" customFormat="1" x14ac:dyDescent="0.2">
      <c r="B672" s="3"/>
      <c r="C672" s="3"/>
      <c r="D672" s="3"/>
      <c r="E672" s="3"/>
      <c r="F672" s="89"/>
      <c r="G672" s="3"/>
      <c r="H672" s="89"/>
      <c r="I672" s="90"/>
      <c r="K672" s="31"/>
    </row>
    <row r="673" spans="2:11" s="13" customFormat="1" x14ac:dyDescent="0.2">
      <c r="B673" s="3"/>
      <c r="C673" s="3"/>
      <c r="D673" s="3"/>
      <c r="E673" s="3"/>
      <c r="F673" s="89"/>
      <c r="G673" s="3"/>
      <c r="H673" s="89"/>
      <c r="I673" s="90"/>
      <c r="K673" s="31"/>
    </row>
    <row r="674" spans="2:11" s="13" customFormat="1" x14ac:dyDescent="0.2">
      <c r="B674" s="3"/>
      <c r="C674" s="3"/>
      <c r="D674" s="3"/>
      <c r="E674" s="3"/>
      <c r="F674" s="89"/>
      <c r="G674" s="3"/>
      <c r="H674" s="89"/>
      <c r="I674" s="90"/>
      <c r="K674" s="31"/>
    </row>
    <row r="675" spans="2:11" s="13" customFormat="1" x14ac:dyDescent="0.2">
      <c r="B675" s="3"/>
      <c r="C675" s="3"/>
      <c r="D675" s="3"/>
      <c r="E675" s="3"/>
      <c r="F675" s="89"/>
      <c r="G675" s="3"/>
      <c r="H675" s="89"/>
      <c r="I675" s="90"/>
      <c r="K675" s="31"/>
    </row>
    <row r="676" spans="2:11" s="13" customFormat="1" x14ac:dyDescent="0.2">
      <c r="B676" s="3"/>
      <c r="C676" s="3"/>
      <c r="D676" s="3"/>
      <c r="E676" s="3"/>
      <c r="F676" s="89"/>
      <c r="G676" s="3"/>
      <c r="H676" s="89"/>
      <c r="I676" s="90"/>
      <c r="K676" s="31"/>
    </row>
    <row r="677" spans="2:11" s="13" customFormat="1" x14ac:dyDescent="0.2">
      <c r="B677" s="3"/>
      <c r="C677" s="3"/>
      <c r="D677" s="3"/>
      <c r="E677" s="3"/>
      <c r="F677" s="89"/>
      <c r="G677" s="3"/>
      <c r="H677" s="89"/>
      <c r="I677" s="90"/>
      <c r="K677" s="31"/>
    </row>
    <row r="678" spans="2:11" s="13" customFormat="1" x14ac:dyDescent="0.2">
      <c r="B678" s="3"/>
      <c r="C678" s="3"/>
      <c r="D678" s="3"/>
      <c r="E678" s="3"/>
      <c r="F678" s="89"/>
      <c r="G678" s="3"/>
      <c r="H678" s="89"/>
      <c r="I678" s="90"/>
      <c r="K678" s="31"/>
    </row>
    <row r="679" spans="2:11" s="13" customFormat="1" x14ac:dyDescent="0.2">
      <c r="B679" s="3"/>
      <c r="C679" s="3"/>
      <c r="D679" s="3"/>
      <c r="E679" s="3"/>
      <c r="F679" s="89"/>
      <c r="G679" s="3"/>
      <c r="H679" s="89"/>
      <c r="I679" s="90"/>
      <c r="K679" s="31"/>
    </row>
    <row r="680" spans="2:11" s="13" customFormat="1" x14ac:dyDescent="0.2">
      <c r="B680" s="3"/>
      <c r="C680" s="3"/>
      <c r="D680" s="3"/>
      <c r="E680" s="3"/>
      <c r="F680" s="89"/>
      <c r="G680" s="3"/>
      <c r="H680" s="89"/>
      <c r="I680" s="90"/>
      <c r="K680" s="31"/>
    </row>
    <row r="681" spans="2:11" s="13" customFormat="1" x14ac:dyDescent="0.2">
      <c r="B681" s="3"/>
      <c r="C681" s="3"/>
      <c r="D681" s="3"/>
      <c r="E681" s="3"/>
      <c r="F681" s="89"/>
      <c r="G681" s="3"/>
      <c r="H681" s="89"/>
      <c r="I681" s="90"/>
      <c r="K681" s="31"/>
    </row>
    <row r="682" spans="2:11" s="13" customFormat="1" x14ac:dyDescent="0.2">
      <c r="B682" s="3"/>
      <c r="C682" s="3"/>
      <c r="D682" s="3"/>
      <c r="E682" s="3"/>
      <c r="F682" s="89"/>
      <c r="G682" s="3"/>
      <c r="H682" s="89"/>
      <c r="I682" s="90"/>
      <c r="K682" s="31"/>
    </row>
    <row r="683" spans="2:11" s="13" customFormat="1" x14ac:dyDescent="0.2">
      <c r="B683" s="3"/>
      <c r="C683" s="3"/>
      <c r="D683" s="3"/>
      <c r="E683" s="3"/>
      <c r="F683" s="89"/>
      <c r="G683" s="3"/>
      <c r="H683" s="89"/>
      <c r="I683" s="90"/>
      <c r="K683" s="31"/>
    </row>
    <row r="684" spans="2:11" s="13" customFormat="1" x14ac:dyDescent="0.2">
      <c r="B684" s="3"/>
      <c r="C684" s="3"/>
      <c r="D684" s="3"/>
      <c r="E684" s="3"/>
      <c r="F684" s="89"/>
      <c r="G684" s="3"/>
      <c r="H684" s="89"/>
      <c r="I684" s="90"/>
      <c r="K684" s="31"/>
    </row>
    <row r="685" spans="2:11" s="13" customFormat="1" x14ac:dyDescent="0.2">
      <c r="B685" s="3"/>
      <c r="C685" s="3"/>
      <c r="D685" s="3"/>
      <c r="E685" s="3"/>
      <c r="F685" s="89"/>
      <c r="G685" s="3"/>
      <c r="H685" s="89"/>
      <c r="I685" s="90"/>
      <c r="K685" s="31"/>
    </row>
    <row r="686" spans="2:11" s="13" customFormat="1" x14ac:dyDescent="0.2">
      <c r="B686" s="3"/>
      <c r="C686" s="3"/>
      <c r="D686" s="3"/>
      <c r="E686" s="3"/>
      <c r="F686" s="89"/>
      <c r="G686" s="3"/>
      <c r="H686" s="89"/>
      <c r="I686" s="90"/>
      <c r="K686" s="31"/>
    </row>
    <row r="687" spans="2:11" s="13" customFormat="1" x14ac:dyDescent="0.2">
      <c r="B687" s="3"/>
      <c r="C687" s="3"/>
      <c r="D687" s="3"/>
      <c r="E687" s="3"/>
      <c r="F687" s="89"/>
      <c r="G687" s="3"/>
      <c r="H687" s="89"/>
      <c r="I687" s="90"/>
      <c r="K687" s="31"/>
    </row>
    <row r="688" spans="2:11" s="13" customFormat="1" x14ac:dyDescent="0.2">
      <c r="B688" s="3"/>
      <c r="C688" s="3"/>
      <c r="D688" s="3"/>
      <c r="E688" s="3"/>
      <c r="F688" s="89"/>
      <c r="G688" s="3"/>
      <c r="H688" s="89"/>
      <c r="I688" s="90"/>
      <c r="K688" s="31"/>
    </row>
    <row r="689" spans="2:11" s="13" customFormat="1" x14ac:dyDescent="0.2">
      <c r="B689" s="3"/>
      <c r="C689" s="3"/>
      <c r="D689" s="3"/>
      <c r="E689" s="3"/>
      <c r="F689" s="89"/>
      <c r="G689" s="3"/>
      <c r="H689" s="89"/>
      <c r="I689" s="90"/>
      <c r="K689" s="31"/>
    </row>
    <row r="690" spans="2:11" s="13" customFormat="1" x14ac:dyDescent="0.2">
      <c r="B690" s="3"/>
      <c r="C690" s="3"/>
      <c r="D690" s="3"/>
      <c r="E690" s="3"/>
      <c r="F690" s="89"/>
      <c r="G690" s="3"/>
      <c r="H690" s="89"/>
      <c r="I690" s="90"/>
      <c r="K690" s="31"/>
    </row>
  </sheetData>
  <mergeCells count="82">
    <mergeCell ref="G71:H71"/>
    <mergeCell ref="G50:H50"/>
    <mergeCell ref="G63:H63"/>
    <mergeCell ref="G64:H64"/>
    <mergeCell ref="G65:H65"/>
    <mergeCell ref="G51:H51"/>
    <mergeCell ref="G52:H52"/>
    <mergeCell ref="G53:H53"/>
    <mergeCell ref="G66:H66"/>
    <mergeCell ref="G67:H67"/>
    <mergeCell ref="G68:H68"/>
    <mergeCell ref="G57:H57"/>
    <mergeCell ref="G58:H58"/>
    <mergeCell ref="G59:H59"/>
    <mergeCell ref="G54:H54"/>
    <mergeCell ref="G55:H55"/>
    <mergeCell ref="G56:H56"/>
    <mergeCell ref="G69:H69"/>
    <mergeCell ref="G70:H70"/>
    <mergeCell ref="B66:B68"/>
    <mergeCell ref="C66:C68"/>
    <mergeCell ref="D66:D68"/>
    <mergeCell ref="G60:H60"/>
    <mergeCell ref="G61:H61"/>
    <mergeCell ref="G62:H62"/>
    <mergeCell ref="E50:F50"/>
    <mergeCell ref="E51:F53"/>
    <mergeCell ref="E57:F59"/>
    <mergeCell ref="E63:F65"/>
    <mergeCell ref="B51:B53"/>
    <mergeCell ref="C51:C53"/>
    <mergeCell ref="D51:D53"/>
    <mergeCell ref="B63:B65"/>
    <mergeCell ref="C63:C65"/>
    <mergeCell ref="D63:D65"/>
    <mergeCell ref="E69:F71"/>
    <mergeCell ref="E54:F56"/>
    <mergeCell ref="E60:F62"/>
    <mergeCell ref="B60:B62"/>
    <mergeCell ref="C60:C62"/>
    <mergeCell ref="D60:D62"/>
    <mergeCell ref="B54:B56"/>
    <mergeCell ref="C54:C56"/>
    <mergeCell ref="D54:D56"/>
    <mergeCell ref="B57:B59"/>
    <mergeCell ref="C57:C59"/>
    <mergeCell ref="D57:D59"/>
    <mergeCell ref="E66:F68"/>
    <mergeCell ref="B69:B71"/>
    <mergeCell ref="C69:C71"/>
    <mergeCell ref="D69:D71"/>
    <mergeCell ref="B37:B42"/>
    <mergeCell ref="C37:C42"/>
    <mergeCell ref="D37:D42"/>
    <mergeCell ref="E37:E42"/>
    <mergeCell ref="B43:B48"/>
    <mergeCell ref="C43:C48"/>
    <mergeCell ref="D43:D48"/>
    <mergeCell ref="E43:E48"/>
    <mergeCell ref="B25:B30"/>
    <mergeCell ref="C25:C30"/>
    <mergeCell ref="D25:D30"/>
    <mergeCell ref="E25:E30"/>
    <mergeCell ref="B31:B36"/>
    <mergeCell ref="C31:C36"/>
    <mergeCell ref="D31:D36"/>
    <mergeCell ref="E31:E36"/>
    <mergeCell ref="B19:B24"/>
    <mergeCell ref="C19:C24"/>
    <mergeCell ref="D19:D24"/>
    <mergeCell ref="E19:E24"/>
    <mergeCell ref="B2:J2"/>
    <mergeCell ref="B4:J4"/>
    <mergeCell ref="B6:H8"/>
    <mergeCell ref="I6:J6"/>
    <mergeCell ref="I7:J8"/>
    <mergeCell ref="C10:J10"/>
    <mergeCell ref="C11:J11"/>
    <mergeCell ref="B14:B18"/>
    <mergeCell ref="C14:C18"/>
    <mergeCell ref="D14:D18"/>
    <mergeCell ref="E14:E18"/>
  </mergeCells>
  <conditionalFormatting sqref="I1 I72:I1048576">
    <cfRule type="cellIs" dxfId="333" priority="14" operator="equal">
      <formula>1</formula>
    </cfRule>
  </conditionalFormatting>
  <conditionalFormatting sqref="I7">
    <cfRule type="cellIs" dxfId="332" priority="13" operator="equal">
      <formula>1</formula>
    </cfRule>
  </conditionalFormatting>
  <conditionalFormatting sqref="I51:I71">
    <cfRule type="expression" dxfId="171" priority="5" stopIfTrue="1">
      <formula>TRIM(UPPER(I51))="N/A"</formula>
    </cfRule>
    <cfRule type="expression" dxfId="170" priority="6">
      <formula>I51&gt;=0.9</formula>
    </cfRule>
    <cfRule type="expression" dxfId="169" priority="7">
      <formula>AND(I51&gt;=0.8, I51&lt;0.9)</formula>
    </cfRule>
    <cfRule type="expression" dxfId="168" priority="8">
      <formula>I51&lt;0.8</formula>
    </cfRule>
  </conditionalFormatting>
  <conditionalFormatting sqref="I14:I48">
    <cfRule type="expression" dxfId="167" priority="1" stopIfTrue="1">
      <formula>TRIM(UPPER(I14))="N/A"</formula>
    </cfRule>
    <cfRule type="expression" dxfId="166" priority="2">
      <formula>I14&gt;=0.9</formula>
    </cfRule>
    <cfRule type="expression" dxfId="165" priority="3">
      <formula>AND(I14&gt;=0.8, I14&lt;0.9)</formula>
    </cfRule>
    <cfRule type="expression" dxfId="164" priority="4">
      <formula>I14&lt;0.8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66EFCA3-CC64-1D42-976E-E78E92C6AB8C}">
          <x14:formula1>
            <xm:f>'Listas desplegables'!$C$4:$C$15</xm:f>
          </x14:formula1>
          <xm:sqref>I51:I71 I14:I48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ADEC1-735C-4B61-AA0F-1EE8E1DABD91}">
  <sheetPr>
    <tabColor rgb="FF0098AA"/>
  </sheetPr>
  <dimension ref="A1:AR317"/>
  <sheetViews>
    <sheetView zoomScale="80" zoomScaleNormal="80" workbookViewId="0">
      <selection activeCell="I14" sqref="I14"/>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3" customWidth="1"/>
    <col min="14" max="24" width="10.6640625" style="13"/>
    <col min="25" max="16384" width="10.6640625" style="1"/>
  </cols>
  <sheetData>
    <row r="1" spans="2:24" ht="5.25" customHeight="1" x14ac:dyDescent="0.2"/>
    <row r="2" spans="2:24" ht="60" customHeight="1" x14ac:dyDescent="0.2">
      <c r="B2" s="155" t="s">
        <v>28</v>
      </c>
      <c r="C2" s="155"/>
      <c r="D2" s="155"/>
      <c r="E2" s="155"/>
      <c r="F2" s="155"/>
      <c r="G2" s="155"/>
      <c r="H2" s="155"/>
      <c r="I2" s="155"/>
      <c r="J2" s="156"/>
      <c r="K2" s="31"/>
      <c r="L2" s="13"/>
    </row>
    <row r="3" spans="2:24" s="13" customFormat="1" ht="4.5" customHeight="1" x14ac:dyDescent="0.2">
      <c r="B3" s="14"/>
      <c r="C3" s="14"/>
      <c r="D3" s="14"/>
      <c r="E3" s="14"/>
      <c r="F3" s="14"/>
      <c r="G3" s="45"/>
      <c r="H3" s="14"/>
      <c r="I3" s="14"/>
      <c r="K3" s="31"/>
    </row>
    <row r="4" spans="2:24" s="2" customFormat="1" ht="45" customHeight="1" x14ac:dyDescent="0.2">
      <c r="B4" s="157" t="s">
        <v>830</v>
      </c>
      <c r="C4" s="158"/>
      <c r="D4" s="158"/>
      <c r="E4" s="158"/>
      <c r="F4" s="158"/>
      <c r="G4" s="158"/>
      <c r="H4" s="158"/>
      <c r="I4" s="158"/>
      <c r="J4" s="159"/>
      <c r="K4" s="99"/>
      <c r="L4" s="3"/>
      <c r="M4" s="3"/>
      <c r="N4" s="3"/>
      <c r="O4" s="3"/>
      <c r="P4" s="3"/>
      <c r="Q4" s="3"/>
      <c r="R4" s="3"/>
      <c r="S4" s="3"/>
      <c r="T4" s="3"/>
      <c r="U4" s="3"/>
      <c r="V4" s="3"/>
      <c r="W4" s="3"/>
      <c r="X4" s="3"/>
    </row>
    <row r="5" spans="2:24" ht="4.5" customHeight="1" x14ac:dyDescent="0.2">
      <c r="B5" s="7"/>
      <c r="C5" s="7"/>
      <c r="D5" s="7"/>
      <c r="E5" s="7"/>
      <c r="F5" s="8"/>
      <c r="G5" s="46"/>
      <c r="H5" s="8"/>
      <c r="I5" s="8"/>
      <c r="J5" s="8"/>
      <c r="K5" s="31"/>
      <c r="L5" s="13"/>
    </row>
    <row r="6" spans="2:24" ht="23" customHeight="1" x14ac:dyDescent="0.2">
      <c r="B6" s="160" t="s">
        <v>12</v>
      </c>
      <c r="C6" s="160"/>
      <c r="D6" s="160"/>
      <c r="E6" s="160"/>
      <c r="F6" s="160"/>
      <c r="G6" s="160"/>
      <c r="H6" s="160"/>
      <c r="I6" s="162" t="s">
        <v>11</v>
      </c>
      <c r="J6" s="108"/>
      <c r="K6" s="100"/>
      <c r="L6" s="31"/>
    </row>
    <row r="7" spans="2:24" ht="15.75" customHeight="1" x14ac:dyDescent="0.2">
      <c r="B7" s="160"/>
      <c r="C7" s="160"/>
      <c r="D7" s="160"/>
      <c r="E7" s="160"/>
      <c r="F7" s="160"/>
      <c r="G7" s="160"/>
      <c r="H7" s="160"/>
      <c r="I7" s="163" t="e">
        <f>AVERAGEIF(I14:I42,"&lt;&gt;N/A")</f>
        <v>#DIV/0!</v>
      </c>
      <c r="J7" s="164"/>
      <c r="K7" s="100"/>
      <c r="L7" s="31"/>
    </row>
    <row r="8" spans="2:24" ht="15.75" customHeight="1" x14ac:dyDescent="0.2">
      <c r="B8" s="161"/>
      <c r="C8" s="161"/>
      <c r="D8" s="161"/>
      <c r="E8" s="161"/>
      <c r="F8" s="161"/>
      <c r="G8" s="161"/>
      <c r="H8" s="161"/>
      <c r="I8" s="163"/>
      <c r="J8" s="164"/>
      <c r="K8" s="100"/>
      <c r="L8" s="31"/>
    </row>
    <row r="9" spans="2:24" ht="5.25" customHeight="1" x14ac:dyDescent="0.2">
      <c r="F9" s="5"/>
      <c r="G9" s="47"/>
      <c r="K9" s="31"/>
      <c r="L9" s="13"/>
    </row>
    <row r="10" spans="2:24" ht="65.5" customHeight="1" x14ac:dyDescent="0.2">
      <c r="B10" s="40" t="s">
        <v>13</v>
      </c>
      <c r="C10" s="147" t="s">
        <v>831</v>
      </c>
      <c r="D10" s="148"/>
      <c r="E10" s="148"/>
      <c r="F10" s="148"/>
      <c r="G10" s="148"/>
      <c r="H10" s="148"/>
      <c r="I10" s="148"/>
      <c r="J10" s="149"/>
      <c r="K10" s="31"/>
      <c r="L10" s="13"/>
    </row>
    <row r="11" spans="2:24" ht="58.5" customHeight="1" x14ac:dyDescent="0.2">
      <c r="B11" s="39" t="s">
        <v>14</v>
      </c>
      <c r="C11" s="150" t="s">
        <v>832</v>
      </c>
      <c r="D11" s="150"/>
      <c r="E11" s="150"/>
      <c r="F11" s="150"/>
      <c r="G11" s="150"/>
      <c r="H11" s="150"/>
      <c r="I11" s="150"/>
      <c r="J11" s="150"/>
      <c r="K11" s="31"/>
      <c r="L11" s="13"/>
    </row>
    <row r="12" spans="2:24" ht="5.25" customHeight="1" x14ac:dyDescent="0.2"/>
    <row r="13" spans="2:24" s="73" customFormat="1" ht="32" x14ac:dyDescent="0.2">
      <c r="B13" s="69" t="s">
        <v>34</v>
      </c>
      <c r="C13" s="69" t="s">
        <v>15</v>
      </c>
      <c r="D13" s="69" t="s">
        <v>108</v>
      </c>
      <c r="E13" s="69" t="s">
        <v>109</v>
      </c>
      <c r="F13" s="70" t="s">
        <v>32</v>
      </c>
      <c r="G13" s="69" t="s">
        <v>40</v>
      </c>
      <c r="H13" s="70" t="s">
        <v>16</v>
      </c>
      <c r="I13" s="71" t="s">
        <v>8</v>
      </c>
      <c r="J13" s="69" t="s">
        <v>17</v>
      </c>
      <c r="K13" s="72" t="s">
        <v>44</v>
      </c>
      <c r="L13" s="69" t="s">
        <v>45</v>
      </c>
      <c r="M13" s="98"/>
      <c r="N13" s="98"/>
      <c r="O13" s="98"/>
      <c r="P13" s="98"/>
      <c r="Q13" s="98"/>
      <c r="R13" s="98"/>
      <c r="S13" s="98"/>
      <c r="T13" s="98"/>
      <c r="U13" s="98"/>
      <c r="V13" s="98"/>
      <c r="W13" s="98"/>
      <c r="X13" s="98"/>
    </row>
    <row r="14" spans="2:24" ht="64.25" customHeight="1" x14ac:dyDescent="0.2">
      <c r="B14" s="151" t="s">
        <v>85</v>
      </c>
      <c r="C14" s="151" t="s">
        <v>19</v>
      </c>
      <c r="D14" s="153" t="s">
        <v>833</v>
      </c>
      <c r="E14" s="177" t="s">
        <v>834</v>
      </c>
      <c r="F14" s="78" t="s">
        <v>835</v>
      </c>
      <c r="G14" s="12" t="s">
        <v>36</v>
      </c>
      <c r="H14" s="34" t="s">
        <v>836</v>
      </c>
      <c r="I14" s="28" t="s">
        <v>10</v>
      </c>
      <c r="J14" s="11"/>
      <c r="K14" s="33"/>
      <c r="L14" s="29"/>
    </row>
    <row r="15" spans="2:24" ht="64.25" customHeight="1" x14ac:dyDescent="0.2">
      <c r="B15" s="152"/>
      <c r="C15" s="152"/>
      <c r="D15" s="154"/>
      <c r="E15" s="178"/>
      <c r="F15" s="78" t="s">
        <v>837</v>
      </c>
      <c r="G15" s="12" t="s">
        <v>36</v>
      </c>
      <c r="H15" s="34" t="s">
        <v>838</v>
      </c>
      <c r="I15" s="28" t="s">
        <v>10</v>
      </c>
      <c r="J15" s="11"/>
      <c r="K15" s="33"/>
      <c r="L15" s="29"/>
    </row>
    <row r="16" spans="2:24" ht="64.25" customHeight="1" x14ac:dyDescent="0.2">
      <c r="B16" s="152"/>
      <c r="C16" s="152"/>
      <c r="D16" s="154"/>
      <c r="E16" s="178"/>
      <c r="F16" s="78" t="s">
        <v>839</v>
      </c>
      <c r="G16" s="12" t="s">
        <v>37</v>
      </c>
      <c r="H16" s="34" t="s">
        <v>840</v>
      </c>
      <c r="I16" s="28" t="s">
        <v>10</v>
      </c>
      <c r="J16" s="11"/>
      <c r="K16" s="33"/>
      <c r="L16" s="29"/>
    </row>
    <row r="17" spans="2:12" ht="64.25" customHeight="1" x14ac:dyDescent="0.2">
      <c r="B17" s="152"/>
      <c r="C17" s="152"/>
      <c r="D17" s="154"/>
      <c r="E17" s="178"/>
      <c r="F17" s="78" t="s">
        <v>841</v>
      </c>
      <c r="G17" s="12" t="s">
        <v>631</v>
      </c>
      <c r="H17" s="34" t="s">
        <v>842</v>
      </c>
      <c r="I17" s="28" t="s">
        <v>10</v>
      </c>
      <c r="J17" s="11"/>
      <c r="K17" s="33"/>
      <c r="L17" s="29"/>
    </row>
    <row r="18" spans="2:12" ht="64.25" customHeight="1" x14ac:dyDescent="0.2">
      <c r="B18" s="152"/>
      <c r="C18" s="152"/>
      <c r="D18" s="154"/>
      <c r="E18" s="178"/>
      <c r="F18" s="78" t="s">
        <v>843</v>
      </c>
      <c r="G18" s="12" t="s">
        <v>844</v>
      </c>
      <c r="H18" s="34" t="s">
        <v>845</v>
      </c>
      <c r="I18" s="28" t="s">
        <v>10</v>
      </c>
      <c r="J18" s="11"/>
      <c r="K18" s="33"/>
      <c r="L18" s="29"/>
    </row>
    <row r="19" spans="2:12" ht="64.25" customHeight="1" x14ac:dyDescent="0.2">
      <c r="B19" s="152"/>
      <c r="C19" s="152"/>
      <c r="D19" s="154"/>
      <c r="E19" s="178"/>
      <c r="F19" s="78" t="s">
        <v>846</v>
      </c>
      <c r="G19" s="12" t="s">
        <v>38</v>
      </c>
      <c r="H19" s="34" t="s">
        <v>847</v>
      </c>
      <c r="I19" s="28" t="s">
        <v>10</v>
      </c>
      <c r="J19" s="11"/>
      <c r="K19" s="33"/>
      <c r="L19" s="29"/>
    </row>
    <row r="20" spans="2:12" ht="64.25" customHeight="1" x14ac:dyDescent="0.2">
      <c r="B20" s="152"/>
      <c r="C20" s="152"/>
      <c r="D20" s="154"/>
      <c r="E20" s="178"/>
      <c r="F20" s="78" t="s">
        <v>848</v>
      </c>
      <c r="G20" s="12" t="s">
        <v>41</v>
      </c>
      <c r="H20" s="34" t="s">
        <v>849</v>
      </c>
      <c r="I20" s="28" t="s">
        <v>10</v>
      </c>
      <c r="J20" s="11"/>
      <c r="K20" s="33"/>
      <c r="L20" s="29"/>
    </row>
    <row r="21" spans="2:12" ht="58.75" customHeight="1" x14ac:dyDescent="0.2">
      <c r="B21" s="143" t="s">
        <v>85</v>
      </c>
      <c r="C21" s="143" t="s">
        <v>20</v>
      </c>
      <c r="D21" s="145" t="s">
        <v>850</v>
      </c>
      <c r="E21" s="181" t="s">
        <v>851</v>
      </c>
      <c r="F21" s="23" t="s">
        <v>852</v>
      </c>
      <c r="G21" s="41" t="s">
        <v>36</v>
      </c>
      <c r="H21" s="35" t="s">
        <v>853</v>
      </c>
      <c r="I21" s="28" t="s">
        <v>10</v>
      </c>
      <c r="J21" s="36"/>
      <c r="K21" s="37"/>
      <c r="L21" s="38"/>
    </row>
    <row r="22" spans="2:12" ht="58.75" customHeight="1" x14ac:dyDescent="0.2">
      <c r="B22" s="144"/>
      <c r="C22" s="144"/>
      <c r="D22" s="146"/>
      <c r="E22" s="182"/>
      <c r="F22" s="23" t="s">
        <v>854</v>
      </c>
      <c r="G22" s="41" t="s">
        <v>36</v>
      </c>
      <c r="H22" s="35" t="s">
        <v>855</v>
      </c>
      <c r="I22" s="28" t="s">
        <v>10</v>
      </c>
      <c r="J22" s="36"/>
      <c r="K22" s="37"/>
      <c r="L22" s="38"/>
    </row>
    <row r="23" spans="2:12" ht="58.75" customHeight="1" x14ac:dyDescent="0.2">
      <c r="B23" s="144"/>
      <c r="C23" s="144"/>
      <c r="D23" s="146"/>
      <c r="E23" s="182"/>
      <c r="F23" s="23" t="s">
        <v>856</v>
      </c>
      <c r="G23" s="41" t="s">
        <v>41</v>
      </c>
      <c r="H23" s="35" t="s">
        <v>857</v>
      </c>
      <c r="I23" s="28" t="s">
        <v>10</v>
      </c>
      <c r="J23" s="36"/>
      <c r="K23" s="37"/>
      <c r="L23" s="38"/>
    </row>
    <row r="24" spans="2:12" ht="58.75" customHeight="1" x14ac:dyDescent="0.2">
      <c r="B24" s="144"/>
      <c r="C24" s="144"/>
      <c r="D24" s="146"/>
      <c r="E24" s="182"/>
      <c r="F24" s="23" t="s">
        <v>858</v>
      </c>
      <c r="G24" s="41" t="s">
        <v>41</v>
      </c>
      <c r="H24" s="35" t="s">
        <v>859</v>
      </c>
      <c r="I24" s="28" t="s">
        <v>10</v>
      </c>
      <c r="J24" s="36"/>
      <c r="K24" s="37"/>
      <c r="L24" s="38"/>
    </row>
    <row r="25" spans="2:12" ht="58.75" customHeight="1" x14ac:dyDescent="0.2">
      <c r="B25" s="144"/>
      <c r="C25" s="144"/>
      <c r="D25" s="146"/>
      <c r="E25" s="182"/>
      <c r="F25" s="23" t="s">
        <v>860</v>
      </c>
      <c r="G25" s="41" t="s">
        <v>41</v>
      </c>
      <c r="H25" s="35" t="s">
        <v>861</v>
      </c>
      <c r="I25" s="28" t="s">
        <v>10</v>
      </c>
      <c r="J25" s="36"/>
      <c r="K25" s="37"/>
      <c r="L25" s="38"/>
    </row>
    <row r="26" spans="2:12" ht="58.75" customHeight="1" x14ac:dyDescent="0.2">
      <c r="B26" s="144"/>
      <c r="C26" s="144"/>
      <c r="D26" s="146"/>
      <c r="E26" s="182"/>
      <c r="F26" s="23" t="s">
        <v>862</v>
      </c>
      <c r="G26" s="41" t="s">
        <v>36</v>
      </c>
      <c r="H26" s="35" t="s">
        <v>863</v>
      </c>
      <c r="I26" s="28" t="s">
        <v>10</v>
      </c>
      <c r="J26" s="36"/>
      <c r="K26" s="37"/>
      <c r="L26" s="38"/>
    </row>
    <row r="27" spans="2:12" ht="88.75" customHeight="1" x14ac:dyDescent="0.2">
      <c r="B27" s="151" t="s">
        <v>85</v>
      </c>
      <c r="C27" s="151" t="s">
        <v>864</v>
      </c>
      <c r="D27" s="177" t="s">
        <v>865</v>
      </c>
      <c r="E27" s="177" t="s">
        <v>866</v>
      </c>
      <c r="F27" s="22" t="s">
        <v>867</v>
      </c>
      <c r="G27" s="12" t="s">
        <v>36</v>
      </c>
      <c r="H27" s="34" t="s">
        <v>868</v>
      </c>
      <c r="I27" s="28" t="s">
        <v>10</v>
      </c>
      <c r="J27" s="11"/>
      <c r="K27" s="33"/>
      <c r="L27" s="29"/>
    </row>
    <row r="28" spans="2:12" ht="88.75" customHeight="1" x14ac:dyDescent="0.2">
      <c r="B28" s="152"/>
      <c r="C28" s="152"/>
      <c r="D28" s="178"/>
      <c r="E28" s="178"/>
      <c r="F28" s="22" t="s">
        <v>869</v>
      </c>
      <c r="G28" s="12" t="s">
        <v>35</v>
      </c>
      <c r="H28" s="34" t="s">
        <v>870</v>
      </c>
      <c r="I28" s="28" t="s">
        <v>10</v>
      </c>
      <c r="J28" s="11"/>
      <c r="K28" s="33"/>
      <c r="L28" s="29"/>
    </row>
    <row r="29" spans="2:12" ht="88.75" customHeight="1" x14ac:dyDescent="0.2">
      <c r="B29" s="152"/>
      <c r="C29" s="152"/>
      <c r="D29" s="178"/>
      <c r="E29" s="178"/>
      <c r="F29" s="22" t="s">
        <v>871</v>
      </c>
      <c r="G29" s="12" t="s">
        <v>39</v>
      </c>
      <c r="H29" s="34" t="s">
        <v>872</v>
      </c>
      <c r="I29" s="28" t="s">
        <v>10</v>
      </c>
      <c r="J29" s="11"/>
      <c r="K29" s="33"/>
      <c r="L29" s="29"/>
    </row>
    <row r="30" spans="2:12" ht="88.75" customHeight="1" x14ac:dyDescent="0.2">
      <c r="B30" s="152"/>
      <c r="C30" s="152"/>
      <c r="D30" s="178"/>
      <c r="E30" s="178"/>
      <c r="F30" s="22" t="s">
        <v>873</v>
      </c>
      <c r="G30" s="12" t="s">
        <v>36</v>
      </c>
      <c r="H30" s="34" t="s">
        <v>874</v>
      </c>
      <c r="I30" s="28" t="s">
        <v>10</v>
      </c>
      <c r="J30" s="11"/>
      <c r="K30" s="33"/>
      <c r="L30" s="29"/>
    </row>
    <row r="31" spans="2:12" ht="88.75" customHeight="1" x14ac:dyDescent="0.2">
      <c r="B31" s="152"/>
      <c r="C31" s="152"/>
      <c r="D31" s="178"/>
      <c r="E31" s="178"/>
      <c r="F31" s="22" t="s">
        <v>875</v>
      </c>
      <c r="G31" s="12" t="s">
        <v>844</v>
      </c>
      <c r="H31" s="34" t="s">
        <v>876</v>
      </c>
      <c r="I31" s="28" t="s">
        <v>10</v>
      </c>
      <c r="J31" s="11"/>
      <c r="K31" s="33"/>
      <c r="L31" s="29"/>
    </row>
    <row r="32" spans="2:12" ht="54" customHeight="1" x14ac:dyDescent="0.2">
      <c r="B32" s="143" t="s">
        <v>85</v>
      </c>
      <c r="C32" s="143" t="s">
        <v>877</v>
      </c>
      <c r="D32" s="181" t="s">
        <v>635</v>
      </c>
      <c r="E32" s="181" t="s">
        <v>878</v>
      </c>
      <c r="F32" s="23" t="s">
        <v>879</v>
      </c>
      <c r="G32" s="41" t="s">
        <v>36</v>
      </c>
      <c r="H32" s="35" t="s">
        <v>880</v>
      </c>
      <c r="I32" s="28" t="s">
        <v>10</v>
      </c>
      <c r="J32" s="36"/>
      <c r="K32" s="37"/>
      <c r="L32" s="38"/>
    </row>
    <row r="33" spans="2:44" ht="54" customHeight="1" x14ac:dyDescent="0.2">
      <c r="B33" s="144"/>
      <c r="C33" s="144"/>
      <c r="D33" s="182"/>
      <c r="E33" s="182"/>
      <c r="F33" s="23" t="s">
        <v>881</v>
      </c>
      <c r="G33" s="41" t="s">
        <v>844</v>
      </c>
      <c r="H33" s="35" t="s">
        <v>882</v>
      </c>
      <c r="I33" s="28" t="s">
        <v>10</v>
      </c>
      <c r="J33" s="36"/>
      <c r="K33" s="37"/>
      <c r="L33" s="38"/>
    </row>
    <row r="34" spans="2:44" ht="54" customHeight="1" x14ac:dyDescent="0.2">
      <c r="B34" s="144"/>
      <c r="C34" s="144"/>
      <c r="D34" s="182"/>
      <c r="E34" s="182"/>
      <c r="F34" s="23" t="s">
        <v>883</v>
      </c>
      <c r="G34" s="41" t="s">
        <v>39</v>
      </c>
      <c r="H34" s="35" t="s">
        <v>884</v>
      </c>
      <c r="I34" s="28" t="s">
        <v>10</v>
      </c>
      <c r="J34" s="36"/>
      <c r="K34" s="37"/>
      <c r="L34" s="38"/>
    </row>
    <row r="35" spans="2:44" ht="54" customHeight="1" x14ac:dyDescent="0.2">
      <c r="B35" s="144"/>
      <c r="C35" s="144"/>
      <c r="D35" s="182"/>
      <c r="E35" s="182"/>
      <c r="F35" s="23" t="s">
        <v>885</v>
      </c>
      <c r="G35" s="41" t="s">
        <v>35</v>
      </c>
      <c r="H35" s="35" t="s">
        <v>644</v>
      </c>
      <c r="I35" s="28" t="s">
        <v>10</v>
      </c>
      <c r="J35" s="36"/>
      <c r="K35" s="37"/>
      <c r="L35" s="38"/>
    </row>
    <row r="36" spans="2:44" ht="54" customHeight="1" x14ac:dyDescent="0.2">
      <c r="B36" s="144"/>
      <c r="C36" s="144"/>
      <c r="D36" s="182"/>
      <c r="E36" s="182"/>
      <c r="F36" s="23" t="s">
        <v>886</v>
      </c>
      <c r="G36" s="41" t="s">
        <v>36</v>
      </c>
      <c r="H36" s="35" t="s">
        <v>887</v>
      </c>
      <c r="I36" s="28" t="s">
        <v>10</v>
      </c>
      <c r="J36" s="36"/>
      <c r="K36" s="37"/>
      <c r="L36" s="38"/>
    </row>
    <row r="37" spans="2:44" ht="54" customHeight="1" x14ac:dyDescent="0.2">
      <c r="B37" s="144"/>
      <c r="C37" s="144"/>
      <c r="D37" s="182"/>
      <c r="E37" s="182"/>
      <c r="F37" s="23" t="s">
        <v>888</v>
      </c>
      <c r="G37" s="41" t="s">
        <v>36</v>
      </c>
      <c r="H37" s="35" t="s">
        <v>889</v>
      </c>
      <c r="I37" s="28" t="s">
        <v>10</v>
      </c>
      <c r="J37" s="36"/>
      <c r="K37" s="37"/>
      <c r="L37" s="38"/>
      <c r="Y37" s="13"/>
      <c r="Z37" s="13"/>
      <c r="AA37" s="13"/>
      <c r="AB37" s="13"/>
      <c r="AC37" s="13"/>
      <c r="AD37" s="13"/>
      <c r="AE37" s="13"/>
      <c r="AF37" s="13"/>
      <c r="AG37" s="13"/>
      <c r="AH37" s="13"/>
      <c r="AI37" s="13"/>
      <c r="AJ37" s="13"/>
      <c r="AK37" s="13"/>
      <c r="AL37" s="13"/>
      <c r="AM37" s="13"/>
      <c r="AN37" s="13"/>
      <c r="AO37" s="13"/>
      <c r="AP37" s="13"/>
      <c r="AQ37" s="13"/>
      <c r="AR37" s="13"/>
    </row>
    <row r="38" spans="2:44" ht="5.25" customHeight="1" x14ac:dyDescent="0.2">
      <c r="Y38" s="13"/>
      <c r="Z38" s="13"/>
      <c r="AA38" s="13"/>
      <c r="AB38" s="13"/>
      <c r="AC38" s="13"/>
      <c r="AD38" s="13"/>
      <c r="AE38" s="13"/>
      <c r="AF38" s="13"/>
      <c r="AG38" s="13"/>
      <c r="AH38" s="13"/>
      <c r="AI38" s="13"/>
      <c r="AJ38" s="13"/>
      <c r="AK38" s="13"/>
      <c r="AL38" s="13"/>
      <c r="AM38" s="13"/>
      <c r="AN38" s="13"/>
      <c r="AO38" s="13"/>
      <c r="AP38" s="13"/>
      <c r="AQ38" s="13"/>
      <c r="AR38" s="13"/>
    </row>
    <row r="39" spans="2:44" ht="31" customHeight="1" x14ac:dyDescent="0.2">
      <c r="B39" s="69" t="s">
        <v>34</v>
      </c>
      <c r="C39" s="69" t="s">
        <v>258</v>
      </c>
      <c r="D39" s="69" t="s">
        <v>259</v>
      </c>
      <c r="E39" s="169" t="s">
        <v>32</v>
      </c>
      <c r="F39" s="170"/>
      <c r="G39" s="169" t="s">
        <v>16</v>
      </c>
      <c r="H39" s="170"/>
      <c r="I39" s="71" t="s">
        <v>8</v>
      </c>
      <c r="J39" s="69" t="s">
        <v>17</v>
      </c>
      <c r="K39" s="72" t="s">
        <v>44</v>
      </c>
      <c r="L39" s="69" t="s">
        <v>45</v>
      </c>
      <c r="Y39" s="13"/>
      <c r="Z39" s="13"/>
      <c r="AA39" s="13"/>
      <c r="AB39" s="13"/>
      <c r="AC39" s="13"/>
      <c r="AD39" s="13"/>
      <c r="AE39" s="13"/>
      <c r="AF39" s="13"/>
      <c r="AG39" s="13"/>
      <c r="AH39" s="13"/>
      <c r="AI39" s="13"/>
      <c r="AJ39" s="13"/>
      <c r="AK39" s="13"/>
      <c r="AL39" s="13"/>
      <c r="AM39" s="13"/>
      <c r="AN39" s="13"/>
      <c r="AO39" s="13"/>
      <c r="AP39" s="13"/>
      <c r="AQ39" s="13"/>
      <c r="AR39" s="13"/>
    </row>
    <row r="40" spans="2:44" ht="81.5" customHeight="1" x14ac:dyDescent="0.2">
      <c r="B40" s="151" t="s">
        <v>85</v>
      </c>
      <c r="C40" s="151" t="s">
        <v>260</v>
      </c>
      <c r="D40" s="185" t="s">
        <v>890</v>
      </c>
      <c r="E40" s="129" t="s">
        <v>891</v>
      </c>
      <c r="F40" s="130"/>
      <c r="G40" s="127" t="s">
        <v>2260</v>
      </c>
      <c r="H40" s="128"/>
      <c r="I40" s="28" t="s">
        <v>10</v>
      </c>
      <c r="J40" s="11"/>
      <c r="K40" s="33"/>
      <c r="L40" s="29"/>
      <c r="Y40" s="13"/>
      <c r="Z40" s="13"/>
      <c r="AA40" s="13"/>
      <c r="AB40" s="13"/>
      <c r="AC40" s="13"/>
      <c r="AD40" s="13"/>
      <c r="AE40" s="13"/>
      <c r="AF40" s="13"/>
      <c r="AG40" s="13"/>
      <c r="AH40" s="13"/>
      <c r="AI40" s="13"/>
      <c r="AJ40" s="13"/>
      <c r="AK40" s="13"/>
      <c r="AL40" s="13"/>
      <c r="AM40" s="13"/>
      <c r="AN40" s="13"/>
      <c r="AO40" s="13"/>
      <c r="AP40" s="13"/>
      <c r="AQ40" s="13"/>
      <c r="AR40" s="13"/>
    </row>
    <row r="41" spans="2:44" ht="81.5" customHeight="1" x14ac:dyDescent="0.2">
      <c r="B41" s="152"/>
      <c r="C41" s="152"/>
      <c r="D41" s="186"/>
      <c r="E41" s="131"/>
      <c r="F41" s="132"/>
      <c r="G41" s="127" t="s">
        <v>892</v>
      </c>
      <c r="H41" s="128"/>
      <c r="I41" s="28" t="s">
        <v>10</v>
      </c>
      <c r="J41" s="11"/>
      <c r="K41" s="33"/>
      <c r="L41" s="29"/>
    </row>
    <row r="42" spans="2:44" ht="81.5" customHeight="1" x14ac:dyDescent="0.2">
      <c r="B42" s="152"/>
      <c r="C42" s="152"/>
      <c r="D42" s="186"/>
      <c r="E42" s="133"/>
      <c r="F42" s="134"/>
      <c r="G42" s="127" t="s">
        <v>893</v>
      </c>
      <c r="H42" s="128"/>
      <c r="I42" s="28" t="s">
        <v>10</v>
      </c>
      <c r="J42" s="11"/>
      <c r="K42" s="33"/>
      <c r="L42" s="29"/>
    </row>
    <row r="43" spans="2:44" ht="107.5" customHeight="1" x14ac:dyDescent="0.2">
      <c r="B43" s="143" t="s">
        <v>85</v>
      </c>
      <c r="C43" s="143" t="s">
        <v>261</v>
      </c>
      <c r="D43" s="181" t="s">
        <v>894</v>
      </c>
      <c r="E43" s="135" t="s">
        <v>895</v>
      </c>
      <c r="F43" s="136"/>
      <c r="G43" s="141" t="s">
        <v>896</v>
      </c>
      <c r="H43" s="142"/>
      <c r="I43" s="28" t="s">
        <v>10</v>
      </c>
      <c r="J43" s="36"/>
      <c r="K43" s="37"/>
      <c r="L43" s="38"/>
    </row>
    <row r="44" spans="2:44" ht="107.5" customHeight="1" x14ac:dyDescent="0.2">
      <c r="B44" s="144"/>
      <c r="C44" s="144"/>
      <c r="D44" s="182"/>
      <c r="E44" s="137"/>
      <c r="F44" s="138"/>
      <c r="G44" s="141" t="s">
        <v>2261</v>
      </c>
      <c r="H44" s="142"/>
      <c r="I44" s="28" t="s">
        <v>10</v>
      </c>
      <c r="J44" s="36"/>
      <c r="K44" s="37"/>
      <c r="L44" s="38"/>
    </row>
    <row r="45" spans="2:44" ht="107.5" customHeight="1" x14ac:dyDescent="0.2">
      <c r="B45" s="144"/>
      <c r="C45" s="144"/>
      <c r="D45" s="182"/>
      <c r="E45" s="139"/>
      <c r="F45" s="140"/>
      <c r="G45" s="141" t="s">
        <v>897</v>
      </c>
      <c r="H45" s="142"/>
      <c r="I45" s="28" t="s">
        <v>10</v>
      </c>
      <c r="J45" s="36"/>
      <c r="K45" s="37"/>
      <c r="L45" s="38"/>
    </row>
    <row r="46" spans="2:44" ht="82.25" customHeight="1" x14ac:dyDescent="0.2">
      <c r="B46" s="151" t="s">
        <v>85</v>
      </c>
      <c r="C46" s="151" t="s">
        <v>262</v>
      </c>
      <c r="D46" s="177" t="s">
        <v>898</v>
      </c>
      <c r="E46" s="129" t="s">
        <v>899</v>
      </c>
      <c r="F46" s="130"/>
      <c r="G46" s="127" t="s">
        <v>2262</v>
      </c>
      <c r="H46" s="128"/>
      <c r="I46" s="28" t="s">
        <v>10</v>
      </c>
      <c r="J46" s="11"/>
      <c r="K46" s="33"/>
      <c r="L46" s="29"/>
    </row>
    <row r="47" spans="2:44" ht="82.25" customHeight="1" x14ac:dyDescent="0.2">
      <c r="B47" s="152"/>
      <c r="C47" s="152"/>
      <c r="D47" s="178"/>
      <c r="E47" s="131"/>
      <c r="F47" s="132"/>
      <c r="G47" s="127" t="s">
        <v>2263</v>
      </c>
      <c r="H47" s="128"/>
      <c r="I47" s="28" t="s">
        <v>10</v>
      </c>
      <c r="J47" s="11"/>
      <c r="K47" s="33"/>
      <c r="L47" s="29"/>
    </row>
    <row r="48" spans="2:44" ht="82.25" customHeight="1" x14ac:dyDescent="0.2">
      <c r="B48" s="173"/>
      <c r="C48" s="173"/>
      <c r="D48" s="179"/>
      <c r="E48" s="133"/>
      <c r="F48" s="134"/>
      <c r="G48" s="127" t="s">
        <v>2264</v>
      </c>
      <c r="H48" s="128"/>
      <c r="I48" s="28" t="s">
        <v>10</v>
      </c>
      <c r="J48" s="11"/>
      <c r="K48" s="33"/>
      <c r="L48" s="29"/>
    </row>
    <row r="49" spans="2:11" s="13" customFormat="1" x14ac:dyDescent="0.2">
      <c r="B49" s="3"/>
      <c r="C49" s="3"/>
      <c r="D49" s="3"/>
      <c r="E49" s="3"/>
      <c r="F49" s="89"/>
      <c r="G49" s="3"/>
      <c r="H49" s="89"/>
      <c r="I49" s="90"/>
      <c r="K49" s="31"/>
    </row>
    <row r="50" spans="2:11" s="13" customFormat="1" x14ac:dyDescent="0.2">
      <c r="B50" s="3"/>
      <c r="C50" s="3"/>
      <c r="D50" s="3"/>
      <c r="E50" s="3"/>
      <c r="F50" s="89"/>
      <c r="G50" s="3"/>
      <c r="H50" s="89"/>
      <c r="I50" s="90"/>
      <c r="K50" s="31"/>
    </row>
    <row r="51" spans="2:11" s="13" customFormat="1" x14ac:dyDescent="0.2">
      <c r="B51" s="3"/>
      <c r="C51" s="3"/>
      <c r="D51" s="3"/>
      <c r="E51" s="3"/>
      <c r="F51" s="89"/>
      <c r="G51" s="3"/>
      <c r="H51" s="89"/>
      <c r="I51" s="90"/>
      <c r="K51" s="31"/>
    </row>
    <row r="52" spans="2:11" s="13" customFormat="1" x14ac:dyDescent="0.2">
      <c r="B52" s="3"/>
      <c r="C52" s="3"/>
      <c r="D52" s="3"/>
      <c r="E52" s="3"/>
      <c r="F52" s="89"/>
      <c r="G52" s="3"/>
      <c r="H52" s="89"/>
      <c r="I52" s="90"/>
      <c r="K52" s="31"/>
    </row>
    <row r="53" spans="2:11" s="13" customFormat="1" x14ac:dyDescent="0.2">
      <c r="B53" s="3"/>
      <c r="C53" s="3"/>
      <c r="D53" s="3"/>
      <c r="E53" s="3"/>
      <c r="F53" s="89"/>
      <c r="G53" s="3"/>
      <c r="H53" s="89"/>
      <c r="I53" s="90"/>
      <c r="K53" s="31"/>
    </row>
    <row r="54" spans="2:11" s="13" customFormat="1" x14ac:dyDescent="0.2">
      <c r="B54" s="3"/>
      <c r="C54" s="3"/>
      <c r="D54" s="3"/>
      <c r="E54" s="3"/>
      <c r="F54" s="89"/>
      <c r="G54" s="3"/>
      <c r="H54" s="89"/>
      <c r="I54" s="90"/>
      <c r="K54" s="31"/>
    </row>
    <row r="55" spans="2:11" s="13" customFormat="1" x14ac:dyDescent="0.2">
      <c r="B55" s="3"/>
      <c r="C55" s="3"/>
      <c r="D55" s="3"/>
      <c r="E55" s="3"/>
      <c r="F55" s="89"/>
      <c r="G55" s="3"/>
      <c r="H55" s="89"/>
      <c r="I55" s="90"/>
      <c r="K55" s="31"/>
    </row>
    <row r="56" spans="2:11" s="13" customFormat="1" x14ac:dyDescent="0.2">
      <c r="B56" s="3"/>
      <c r="C56" s="3"/>
      <c r="D56" s="3"/>
      <c r="E56" s="3"/>
      <c r="F56" s="89"/>
      <c r="G56" s="3"/>
      <c r="H56" s="89"/>
      <c r="I56" s="90"/>
      <c r="K56" s="31"/>
    </row>
    <row r="57" spans="2:11" s="13" customFormat="1" x14ac:dyDescent="0.2">
      <c r="B57" s="3"/>
      <c r="C57" s="3"/>
      <c r="D57" s="3"/>
      <c r="E57" s="3"/>
      <c r="F57" s="89"/>
      <c r="G57" s="3"/>
      <c r="H57" s="89"/>
      <c r="I57" s="90"/>
      <c r="K57" s="31"/>
    </row>
    <row r="58" spans="2:11" s="13" customFormat="1" x14ac:dyDescent="0.2">
      <c r="B58" s="3"/>
      <c r="C58" s="3"/>
      <c r="D58" s="3"/>
      <c r="E58" s="3"/>
      <c r="F58" s="89"/>
      <c r="G58" s="3"/>
      <c r="H58" s="89"/>
      <c r="I58" s="90"/>
      <c r="K58" s="31"/>
    </row>
    <row r="59" spans="2:11" s="13" customFormat="1" x14ac:dyDescent="0.2">
      <c r="B59" s="3"/>
      <c r="C59" s="3"/>
      <c r="D59" s="3"/>
      <c r="E59" s="3"/>
      <c r="F59" s="89"/>
      <c r="G59" s="3"/>
      <c r="H59" s="89"/>
      <c r="I59" s="90"/>
      <c r="K59" s="31"/>
    </row>
    <row r="60" spans="2:11" s="13" customFormat="1" x14ac:dyDescent="0.2">
      <c r="B60" s="3"/>
      <c r="C60" s="3"/>
      <c r="D60" s="3"/>
      <c r="E60" s="3"/>
      <c r="F60" s="89"/>
      <c r="G60" s="3"/>
      <c r="H60" s="89"/>
      <c r="I60" s="90"/>
      <c r="K60" s="31"/>
    </row>
    <row r="61" spans="2:11" s="13" customFormat="1" x14ac:dyDescent="0.2">
      <c r="B61" s="3"/>
      <c r="C61" s="3"/>
      <c r="D61" s="3"/>
      <c r="E61" s="3"/>
      <c r="F61" s="89"/>
      <c r="G61" s="3"/>
      <c r="H61" s="89"/>
      <c r="I61" s="90"/>
      <c r="K61" s="31"/>
    </row>
    <row r="62" spans="2:11" s="13" customFormat="1" x14ac:dyDescent="0.2">
      <c r="B62" s="3"/>
      <c r="C62" s="3"/>
      <c r="D62" s="3"/>
      <c r="E62" s="3"/>
      <c r="F62" s="89"/>
      <c r="G62" s="3"/>
      <c r="H62" s="89"/>
      <c r="I62" s="90"/>
      <c r="K62" s="31"/>
    </row>
    <row r="63" spans="2:11" s="13" customFormat="1" x14ac:dyDescent="0.2">
      <c r="B63" s="3"/>
      <c r="C63" s="3"/>
      <c r="D63" s="3"/>
      <c r="E63" s="3"/>
      <c r="F63" s="89"/>
      <c r="G63" s="3"/>
      <c r="H63" s="89"/>
      <c r="I63" s="90"/>
      <c r="K63" s="31"/>
    </row>
    <row r="64" spans="2:11" s="13" customFormat="1" x14ac:dyDescent="0.2">
      <c r="B64" s="3"/>
      <c r="C64" s="3"/>
      <c r="D64" s="3"/>
      <c r="E64" s="3"/>
      <c r="F64" s="89"/>
      <c r="G64" s="3"/>
      <c r="H64" s="89"/>
      <c r="I64" s="90"/>
      <c r="K64" s="31"/>
    </row>
    <row r="65" spans="2:11" s="13" customFormat="1" x14ac:dyDescent="0.2">
      <c r="B65" s="3"/>
      <c r="C65" s="3"/>
      <c r="D65" s="3"/>
      <c r="E65" s="3"/>
      <c r="F65" s="89"/>
      <c r="G65" s="3"/>
      <c r="H65" s="89"/>
      <c r="I65" s="90"/>
      <c r="K65" s="31"/>
    </row>
    <row r="66" spans="2:11" s="13" customFormat="1" x14ac:dyDescent="0.2">
      <c r="B66" s="3"/>
      <c r="C66" s="3"/>
      <c r="D66" s="3"/>
      <c r="E66" s="3"/>
      <c r="F66" s="89"/>
      <c r="G66" s="3"/>
      <c r="H66" s="89"/>
      <c r="I66" s="90"/>
      <c r="K66" s="31"/>
    </row>
    <row r="67" spans="2:11" s="13" customFormat="1" x14ac:dyDescent="0.2">
      <c r="B67" s="3"/>
      <c r="C67" s="3"/>
      <c r="D67" s="3"/>
      <c r="E67" s="3"/>
      <c r="F67" s="89"/>
      <c r="G67" s="3"/>
      <c r="H67" s="89"/>
      <c r="I67" s="90"/>
      <c r="K67" s="31"/>
    </row>
    <row r="68" spans="2:11" s="13" customFormat="1" x14ac:dyDescent="0.2">
      <c r="B68" s="3"/>
      <c r="C68" s="3"/>
      <c r="D68" s="3"/>
      <c r="E68" s="3"/>
      <c r="F68" s="89"/>
      <c r="G68" s="3"/>
      <c r="H68" s="89"/>
      <c r="I68" s="90"/>
      <c r="K68" s="31"/>
    </row>
    <row r="69" spans="2:11" s="13" customFormat="1" x14ac:dyDescent="0.2">
      <c r="B69" s="3"/>
      <c r="C69" s="3"/>
      <c r="D69" s="3"/>
      <c r="E69" s="3"/>
      <c r="F69" s="89"/>
      <c r="G69" s="3"/>
      <c r="H69" s="89"/>
      <c r="I69" s="90"/>
      <c r="K69" s="31"/>
    </row>
    <row r="70" spans="2:11" s="13" customFormat="1" x14ac:dyDescent="0.2">
      <c r="B70" s="3"/>
      <c r="C70" s="3"/>
      <c r="D70" s="3"/>
      <c r="E70" s="3"/>
      <c r="F70" s="89"/>
      <c r="G70" s="3"/>
      <c r="H70" s="89"/>
      <c r="I70" s="90"/>
      <c r="K70" s="31"/>
    </row>
    <row r="71" spans="2:11" s="13" customFormat="1" x14ac:dyDescent="0.2">
      <c r="B71" s="3"/>
      <c r="C71" s="3"/>
      <c r="D71" s="3"/>
      <c r="E71" s="3"/>
      <c r="F71" s="89"/>
      <c r="G71" s="3"/>
      <c r="H71" s="89"/>
      <c r="I71" s="90"/>
      <c r="K71" s="31"/>
    </row>
    <row r="72" spans="2:11" s="13" customFormat="1" x14ac:dyDescent="0.2">
      <c r="B72" s="3"/>
      <c r="C72" s="3"/>
      <c r="D72" s="3"/>
      <c r="E72" s="3"/>
      <c r="F72" s="89"/>
      <c r="G72" s="3"/>
      <c r="H72" s="89"/>
      <c r="I72" s="90"/>
      <c r="K72" s="31"/>
    </row>
    <row r="73" spans="2:11" s="13" customFormat="1" x14ac:dyDescent="0.2">
      <c r="B73" s="3"/>
      <c r="C73" s="3"/>
      <c r="D73" s="3"/>
      <c r="E73" s="3"/>
      <c r="F73" s="89"/>
      <c r="G73" s="3"/>
      <c r="H73" s="89"/>
      <c r="I73" s="90"/>
      <c r="K73" s="31"/>
    </row>
    <row r="74" spans="2:11" s="13" customFormat="1" x14ac:dyDescent="0.2">
      <c r="B74" s="3"/>
      <c r="C74" s="3"/>
      <c r="D74" s="3"/>
      <c r="E74" s="3"/>
      <c r="F74" s="89"/>
      <c r="G74" s="3"/>
      <c r="H74" s="89"/>
      <c r="I74" s="90"/>
      <c r="K74" s="31"/>
    </row>
    <row r="75" spans="2:11" s="13" customFormat="1" x14ac:dyDescent="0.2">
      <c r="B75" s="3"/>
      <c r="C75" s="3"/>
      <c r="D75" s="3"/>
      <c r="E75" s="3"/>
      <c r="F75" s="89"/>
      <c r="G75" s="3"/>
      <c r="H75" s="89"/>
      <c r="I75" s="90"/>
      <c r="K75" s="31"/>
    </row>
    <row r="76" spans="2:11" s="13" customFormat="1" x14ac:dyDescent="0.2">
      <c r="B76" s="3"/>
      <c r="C76" s="3"/>
      <c r="D76" s="3"/>
      <c r="E76" s="3"/>
      <c r="F76" s="89"/>
      <c r="G76" s="3"/>
      <c r="H76" s="89"/>
      <c r="I76" s="90"/>
      <c r="K76" s="31"/>
    </row>
    <row r="77" spans="2:11" s="13" customFormat="1" x14ac:dyDescent="0.2">
      <c r="B77" s="3"/>
      <c r="C77" s="3"/>
      <c r="D77" s="3"/>
      <c r="E77" s="3"/>
      <c r="F77" s="89"/>
      <c r="G77" s="3"/>
      <c r="H77" s="89"/>
      <c r="I77" s="90"/>
      <c r="K77" s="31"/>
    </row>
    <row r="78" spans="2:11" s="13" customFormat="1" x14ac:dyDescent="0.2">
      <c r="B78" s="3"/>
      <c r="C78" s="3"/>
      <c r="D78" s="3"/>
      <c r="E78" s="3"/>
      <c r="F78" s="89"/>
      <c r="G78" s="3"/>
      <c r="H78" s="89"/>
      <c r="I78" s="90"/>
      <c r="K78" s="31"/>
    </row>
    <row r="79" spans="2:11" s="13" customFormat="1" x14ac:dyDescent="0.2">
      <c r="B79" s="3"/>
      <c r="C79" s="3"/>
      <c r="D79" s="3"/>
      <c r="E79" s="3"/>
      <c r="F79" s="89"/>
      <c r="G79" s="3"/>
      <c r="H79" s="89"/>
      <c r="I79" s="90"/>
      <c r="K79" s="31"/>
    </row>
    <row r="80" spans="2:11" s="13" customFormat="1" x14ac:dyDescent="0.2">
      <c r="B80" s="3"/>
      <c r="C80" s="3"/>
      <c r="D80" s="3"/>
      <c r="E80" s="3"/>
      <c r="F80" s="89"/>
      <c r="G80" s="3"/>
      <c r="H80" s="89"/>
      <c r="I80" s="90"/>
      <c r="K80" s="31"/>
    </row>
    <row r="81" spans="2:11" s="13" customFormat="1" x14ac:dyDescent="0.2">
      <c r="B81" s="3"/>
      <c r="C81" s="3"/>
      <c r="D81" s="3"/>
      <c r="E81" s="3"/>
      <c r="F81" s="89"/>
      <c r="G81" s="3"/>
      <c r="H81" s="89"/>
      <c r="I81" s="90"/>
      <c r="K81" s="31"/>
    </row>
    <row r="82" spans="2:11" s="13" customFormat="1" x14ac:dyDescent="0.2">
      <c r="B82" s="3"/>
      <c r="C82" s="3"/>
      <c r="D82" s="3"/>
      <c r="E82" s="3"/>
      <c r="F82" s="89"/>
      <c r="G82" s="3"/>
      <c r="H82" s="89"/>
      <c r="I82" s="90"/>
      <c r="K82" s="31"/>
    </row>
    <row r="83" spans="2:11" s="13" customFormat="1" x14ac:dyDescent="0.2">
      <c r="B83" s="3"/>
      <c r="C83" s="3"/>
      <c r="D83" s="3"/>
      <c r="E83" s="3"/>
      <c r="F83" s="89"/>
      <c r="G83" s="3"/>
      <c r="H83" s="89"/>
      <c r="I83" s="90"/>
      <c r="K83" s="31"/>
    </row>
    <row r="84" spans="2:11" s="13" customFormat="1" x14ac:dyDescent="0.2">
      <c r="B84" s="3"/>
      <c r="C84" s="3"/>
      <c r="D84" s="3"/>
      <c r="E84" s="3"/>
      <c r="F84" s="89"/>
      <c r="G84" s="3"/>
      <c r="H84" s="89"/>
      <c r="I84" s="90"/>
      <c r="K84" s="31"/>
    </row>
    <row r="85" spans="2:11" s="13" customFormat="1" x14ac:dyDescent="0.2">
      <c r="B85" s="3"/>
      <c r="C85" s="3"/>
      <c r="D85" s="3"/>
      <c r="E85" s="3"/>
      <c r="F85" s="89"/>
      <c r="G85" s="3"/>
      <c r="H85" s="89"/>
      <c r="I85" s="90"/>
      <c r="K85" s="31"/>
    </row>
    <row r="86" spans="2:11" s="13" customFormat="1" x14ac:dyDescent="0.2">
      <c r="B86" s="3"/>
      <c r="C86" s="3"/>
      <c r="D86" s="3"/>
      <c r="E86" s="3"/>
      <c r="F86" s="89"/>
      <c r="G86" s="3"/>
      <c r="H86" s="89"/>
      <c r="I86" s="90"/>
      <c r="K86" s="31"/>
    </row>
    <row r="87" spans="2:11" s="13" customFormat="1" x14ac:dyDescent="0.2">
      <c r="B87" s="3"/>
      <c r="C87" s="3"/>
      <c r="D87" s="3"/>
      <c r="E87" s="3"/>
      <c r="F87" s="89"/>
      <c r="G87" s="3"/>
      <c r="H87" s="89"/>
      <c r="I87" s="90"/>
      <c r="K87" s="31"/>
    </row>
    <row r="88" spans="2:11" s="13" customFormat="1" x14ac:dyDescent="0.2">
      <c r="B88" s="3"/>
      <c r="C88" s="3"/>
      <c r="D88" s="3"/>
      <c r="E88" s="3"/>
      <c r="F88" s="89"/>
      <c r="G88" s="3"/>
      <c r="H88" s="89"/>
      <c r="I88" s="90"/>
      <c r="K88" s="31"/>
    </row>
    <row r="89" spans="2:11" s="13" customFormat="1" x14ac:dyDescent="0.2">
      <c r="B89" s="3"/>
      <c r="C89" s="3"/>
      <c r="D89" s="3"/>
      <c r="E89" s="3"/>
      <c r="F89" s="89"/>
      <c r="G89" s="3"/>
      <c r="H89" s="89"/>
      <c r="I89" s="90"/>
      <c r="K89" s="31"/>
    </row>
    <row r="90" spans="2:11" s="13" customFormat="1" x14ac:dyDescent="0.2">
      <c r="B90" s="3"/>
      <c r="C90" s="3"/>
      <c r="D90" s="3"/>
      <c r="E90" s="3"/>
      <c r="F90" s="89"/>
      <c r="G90" s="3"/>
      <c r="H90" s="89"/>
      <c r="I90" s="90"/>
      <c r="K90" s="31"/>
    </row>
    <row r="91" spans="2:11" s="13" customFormat="1" x14ac:dyDescent="0.2">
      <c r="B91" s="3"/>
      <c r="C91" s="3"/>
      <c r="D91" s="3"/>
      <c r="E91" s="3"/>
      <c r="F91" s="89"/>
      <c r="G91" s="3"/>
      <c r="H91" s="89"/>
      <c r="I91" s="90"/>
      <c r="K91" s="31"/>
    </row>
    <row r="92" spans="2:11" s="13" customFormat="1" x14ac:dyDescent="0.2">
      <c r="B92" s="3"/>
      <c r="C92" s="3"/>
      <c r="D92" s="3"/>
      <c r="E92" s="3"/>
      <c r="F92" s="89"/>
      <c r="G92" s="3"/>
      <c r="H92" s="89"/>
      <c r="I92" s="90"/>
      <c r="K92" s="31"/>
    </row>
    <row r="93" spans="2:11" s="13" customFormat="1" x14ac:dyDescent="0.2">
      <c r="B93" s="3"/>
      <c r="C93" s="3"/>
      <c r="D93" s="3"/>
      <c r="E93" s="3"/>
      <c r="F93" s="89"/>
      <c r="G93" s="3"/>
      <c r="H93" s="89"/>
      <c r="I93" s="90"/>
      <c r="K93" s="31"/>
    </row>
    <row r="94" spans="2:11" s="13" customFormat="1" x14ac:dyDescent="0.2">
      <c r="B94" s="3"/>
      <c r="C94" s="3"/>
      <c r="D94" s="3"/>
      <c r="E94" s="3"/>
      <c r="F94" s="89"/>
      <c r="G94" s="3"/>
      <c r="H94" s="89"/>
      <c r="I94" s="90"/>
      <c r="K94" s="31"/>
    </row>
    <row r="95" spans="2:11" s="13" customFormat="1" x14ac:dyDescent="0.2">
      <c r="B95" s="3"/>
      <c r="C95" s="3"/>
      <c r="D95" s="3"/>
      <c r="E95" s="3"/>
      <c r="F95" s="89"/>
      <c r="G95" s="3"/>
      <c r="H95" s="89"/>
      <c r="I95" s="90"/>
      <c r="K95" s="31"/>
    </row>
    <row r="96" spans="2:11" s="13" customFormat="1" x14ac:dyDescent="0.2">
      <c r="B96" s="3"/>
      <c r="C96" s="3"/>
      <c r="D96" s="3"/>
      <c r="E96" s="3"/>
      <c r="F96" s="89"/>
      <c r="G96" s="3"/>
      <c r="H96" s="89"/>
      <c r="I96" s="90"/>
      <c r="K96" s="31"/>
    </row>
    <row r="97" spans="2:11" s="13" customFormat="1" x14ac:dyDescent="0.2">
      <c r="B97" s="3"/>
      <c r="C97" s="3"/>
      <c r="D97" s="3"/>
      <c r="E97" s="3"/>
      <c r="F97" s="89"/>
      <c r="G97" s="3"/>
      <c r="H97" s="89"/>
      <c r="I97" s="90"/>
      <c r="K97" s="31"/>
    </row>
    <row r="98" spans="2:11" s="13" customFormat="1" x14ac:dyDescent="0.2">
      <c r="B98" s="3"/>
      <c r="C98" s="3"/>
      <c r="D98" s="3"/>
      <c r="E98" s="3"/>
      <c r="F98" s="89"/>
      <c r="G98" s="3"/>
      <c r="H98" s="89"/>
      <c r="I98" s="90"/>
      <c r="K98" s="31"/>
    </row>
    <row r="99" spans="2:11" s="13" customFormat="1" x14ac:dyDescent="0.2">
      <c r="B99" s="3"/>
      <c r="C99" s="3"/>
      <c r="D99" s="3"/>
      <c r="E99" s="3"/>
      <c r="F99" s="89"/>
      <c r="G99" s="3"/>
      <c r="H99" s="89"/>
      <c r="I99" s="90"/>
      <c r="K99" s="31"/>
    </row>
    <row r="100" spans="2:11" s="13" customFormat="1" x14ac:dyDescent="0.2">
      <c r="B100" s="3"/>
      <c r="C100" s="3"/>
      <c r="D100" s="3"/>
      <c r="E100" s="3"/>
      <c r="F100" s="89"/>
      <c r="G100" s="3"/>
      <c r="H100" s="89"/>
      <c r="I100" s="90"/>
      <c r="K100" s="31"/>
    </row>
    <row r="101" spans="2:11" s="13" customFormat="1" x14ac:dyDescent="0.2">
      <c r="B101" s="3"/>
      <c r="C101" s="3"/>
      <c r="D101" s="3"/>
      <c r="E101" s="3"/>
      <c r="F101" s="89"/>
      <c r="G101" s="3"/>
      <c r="H101" s="89"/>
      <c r="I101" s="90"/>
      <c r="K101" s="31"/>
    </row>
    <row r="102" spans="2:11" s="13" customFormat="1" x14ac:dyDescent="0.2">
      <c r="B102" s="3"/>
      <c r="C102" s="3"/>
      <c r="D102" s="3"/>
      <c r="E102" s="3"/>
      <c r="F102" s="89"/>
      <c r="G102" s="3"/>
      <c r="H102" s="89"/>
      <c r="I102" s="90"/>
      <c r="K102" s="31"/>
    </row>
    <row r="103" spans="2:11" s="13" customFormat="1" x14ac:dyDescent="0.2">
      <c r="B103" s="3"/>
      <c r="C103" s="3"/>
      <c r="D103" s="3"/>
      <c r="E103" s="3"/>
      <c r="F103" s="89"/>
      <c r="G103" s="3"/>
      <c r="H103" s="89"/>
      <c r="I103" s="90"/>
      <c r="K103" s="31"/>
    </row>
    <row r="104" spans="2:11" s="13" customFormat="1" x14ac:dyDescent="0.2">
      <c r="B104" s="3"/>
      <c r="C104" s="3"/>
      <c r="D104" s="3"/>
      <c r="E104" s="3"/>
      <c r="F104" s="89"/>
      <c r="G104" s="3"/>
      <c r="H104" s="89"/>
      <c r="I104" s="90"/>
      <c r="K104" s="31"/>
    </row>
    <row r="105" spans="2:11" s="13" customFormat="1" x14ac:dyDescent="0.2">
      <c r="B105" s="3"/>
      <c r="C105" s="3"/>
      <c r="D105" s="3"/>
      <c r="E105" s="3"/>
      <c r="F105" s="89"/>
      <c r="G105" s="3"/>
      <c r="H105" s="89"/>
      <c r="I105" s="90"/>
      <c r="K105" s="31"/>
    </row>
    <row r="106" spans="2:11" s="13" customFormat="1" x14ac:dyDescent="0.2">
      <c r="B106" s="3"/>
      <c r="C106" s="3"/>
      <c r="D106" s="3"/>
      <c r="E106" s="3"/>
      <c r="F106" s="89"/>
      <c r="G106" s="3"/>
      <c r="H106" s="89"/>
      <c r="I106" s="90"/>
      <c r="K106" s="31"/>
    </row>
    <row r="107" spans="2:11" s="13" customFormat="1" x14ac:dyDescent="0.2">
      <c r="B107" s="3"/>
      <c r="C107" s="3"/>
      <c r="D107" s="3"/>
      <c r="E107" s="3"/>
      <c r="F107" s="89"/>
      <c r="G107" s="3"/>
      <c r="H107" s="89"/>
      <c r="I107" s="90"/>
      <c r="K107" s="31"/>
    </row>
    <row r="108" spans="2:11" s="13" customFormat="1" x14ac:dyDescent="0.2">
      <c r="B108" s="3"/>
      <c r="C108" s="3"/>
      <c r="D108" s="3"/>
      <c r="E108" s="3"/>
      <c r="F108" s="89"/>
      <c r="G108" s="3"/>
      <c r="H108" s="89"/>
      <c r="I108" s="90"/>
      <c r="K108" s="31"/>
    </row>
    <row r="109" spans="2:11" s="13" customFormat="1" x14ac:dyDescent="0.2">
      <c r="B109" s="3"/>
      <c r="C109" s="3"/>
      <c r="D109" s="3"/>
      <c r="E109" s="3"/>
      <c r="F109" s="89"/>
      <c r="G109" s="3"/>
      <c r="H109" s="89"/>
      <c r="I109" s="90"/>
      <c r="K109" s="31"/>
    </row>
    <row r="110" spans="2:11" s="13" customFormat="1" x14ac:dyDescent="0.2">
      <c r="B110" s="3"/>
      <c r="C110" s="3"/>
      <c r="D110" s="3"/>
      <c r="E110" s="3"/>
      <c r="F110" s="89"/>
      <c r="G110" s="3"/>
      <c r="H110" s="89"/>
      <c r="I110" s="90"/>
      <c r="K110" s="31"/>
    </row>
    <row r="111" spans="2:11" s="13" customFormat="1" x14ac:dyDescent="0.2">
      <c r="B111" s="3"/>
      <c r="C111" s="3"/>
      <c r="D111" s="3"/>
      <c r="E111" s="3"/>
      <c r="F111" s="89"/>
      <c r="G111" s="3"/>
      <c r="H111" s="89"/>
      <c r="I111" s="90"/>
      <c r="K111" s="31"/>
    </row>
    <row r="112" spans="2:11" s="13" customFormat="1" x14ac:dyDescent="0.2">
      <c r="B112" s="3"/>
      <c r="C112" s="3"/>
      <c r="D112" s="3"/>
      <c r="E112" s="3"/>
      <c r="F112" s="89"/>
      <c r="G112" s="3"/>
      <c r="H112" s="89"/>
      <c r="I112" s="90"/>
      <c r="K112" s="31"/>
    </row>
    <row r="113" spans="2:11" s="13" customFormat="1" x14ac:dyDescent="0.2">
      <c r="B113" s="3"/>
      <c r="C113" s="3"/>
      <c r="D113" s="3"/>
      <c r="E113" s="3"/>
      <c r="F113" s="89"/>
      <c r="G113" s="3"/>
      <c r="H113" s="89"/>
      <c r="I113" s="90"/>
      <c r="K113" s="31"/>
    </row>
    <row r="114" spans="2:11" s="13" customFormat="1" x14ac:dyDescent="0.2">
      <c r="B114" s="3"/>
      <c r="C114" s="3"/>
      <c r="D114" s="3"/>
      <c r="E114" s="3"/>
      <c r="F114" s="89"/>
      <c r="G114" s="3"/>
      <c r="H114" s="89"/>
      <c r="I114" s="90"/>
      <c r="K114" s="31"/>
    </row>
    <row r="115" spans="2:11" s="13" customFormat="1" x14ac:dyDescent="0.2">
      <c r="B115" s="3"/>
      <c r="C115" s="3"/>
      <c r="D115" s="3"/>
      <c r="E115" s="3"/>
      <c r="F115" s="89"/>
      <c r="G115" s="3"/>
      <c r="H115" s="89"/>
      <c r="I115" s="90"/>
      <c r="K115" s="31"/>
    </row>
    <row r="116" spans="2:11" s="13" customFormat="1" x14ac:dyDescent="0.2">
      <c r="B116" s="3"/>
      <c r="C116" s="3"/>
      <c r="D116" s="3"/>
      <c r="E116" s="3"/>
      <c r="F116" s="89"/>
      <c r="G116" s="3"/>
      <c r="H116" s="89"/>
      <c r="I116" s="90"/>
      <c r="K116" s="31"/>
    </row>
    <row r="117" spans="2:11" s="13" customFormat="1" x14ac:dyDescent="0.2">
      <c r="B117" s="3"/>
      <c r="C117" s="3"/>
      <c r="D117" s="3"/>
      <c r="E117" s="3"/>
      <c r="F117" s="89"/>
      <c r="G117" s="3"/>
      <c r="H117" s="89"/>
      <c r="I117" s="90"/>
      <c r="K117" s="31"/>
    </row>
    <row r="118" spans="2:11" s="13" customFormat="1" x14ac:dyDescent="0.2">
      <c r="B118" s="3"/>
      <c r="C118" s="3"/>
      <c r="D118" s="3"/>
      <c r="E118" s="3"/>
      <c r="F118" s="89"/>
      <c r="G118" s="3"/>
      <c r="H118" s="89"/>
      <c r="I118" s="90"/>
      <c r="K118" s="31"/>
    </row>
    <row r="119" spans="2:11" s="13" customFormat="1" x14ac:dyDescent="0.2">
      <c r="B119" s="3"/>
      <c r="C119" s="3"/>
      <c r="D119" s="3"/>
      <c r="E119" s="3"/>
      <c r="F119" s="89"/>
      <c r="G119" s="3"/>
      <c r="H119" s="89"/>
      <c r="I119" s="90"/>
      <c r="K119" s="31"/>
    </row>
    <row r="120" spans="2:11" s="13" customFormat="1" x14ac:dyDescent="0.2">
      <c r="B120" s="3"/>
      <c r="C120" s="3"/>
      <c r="D120" s="3"/>
      <c r="E120" s="3"/>
      <c r="F120" s="89"/>
      <c r="G120" s="3"/>
      <c r="H120" s="89"/>
      <c r="I120" s="90"/>
      <c r="K120" s="31"/>
    </row>
    <row r="121" spans="2:11" s="13" customFormat="1" x14ac:dyDescent="0.2">
      <c r="B121" s="3"/>
      <c r="C121" s="3"/>
      <c r="D121" s="3"/>
      <c r="E121" s="3"/>
      <c r="F121" s="89"/>
      <c r="G121" s="3"/>
      <c r="H121" s="89"/>
      <c r="I121" s="90"/>
      <c r="K121" s="31"/>
    </row>
    <row r="122" spans="2:11" s="13" customFormat="1" x14ac:dyDescent="0.2">
      <c r="B122" s="3"/>
      <c r="C122" s="3"/>
      <c r="D122" s="3"/>
      <c r="E122" s="3"/>
      <c r="F122" s="89"/>
      <c r="G122" s="3"/>
      <c r="H122" s="89"/>
      <c r="I122" s="90"/>
      <c r="K122" s="31"/>
    </row>
    <row r="123" spans="2:11" s="13" customFormat="1" x14ac:dyDescent="0.2">
      <c r="B123" s="3"/>
      <c r="C123" s="3"/>
      <c r="D123" s="3"/>
      <c r="E123" s="3"/>
      <c r="F123" s="89"/>
      <c r="G123" s="3"/>
      <c r="H123" s="89"/>
      <c r="I123" s="90"/>
      <c r="K123" s="31"/>
    </row>
    <row r="124" spans="2:11" s="13" customFormat="1" x14ac:dyDescent="0.2">
      <c r="B124" s="3"/>
      <c r="C124" s="3"/>
      <c r="D124" s="3"/>
      <c r="E124" s="3"/>
      <c r="F124" s="89"/>
      <c r="G124" s="3"/>
      <c r="H124" s="89"/>
      <c r="I124" s="90"/>
      <c r="K124" s="31"/>
    </row>
    <row r="125" spans="2:11" s="13" customFormat="1" x14ac:dyDescent="0.2">
      <c r="B125" s="3"/>
      <c r="C125" s="3"/>
      <c r="D125" s="3"/>
      <c r="E125" s="3"/>
      <c r="F125" s="89"/>
      <c r="G125" s="3"/>
      <c r="H125" s="89"/>
      <c r="I125" s="90"/>
      <c r="K125" s="31"/>
    </row>
    <row r="126" spans="2:11" s="13" customFormat="1" x14ac:dyDescent="0.2">
      <c r="B126" s="3"/>
      <c r="C126" s="3"/>
      <c r="D126" s="3"/>
      <c r="E126" s="3"/>
      <c r="F126" s="89"/>
      <c r="G126" s="3"/>
      <c r="H126" s="89"/>
      <c r="I126" s="90"/>
      <c r="K126" s="31"/>
    </row>
    <row r="127" spans="2:11" s="13" customFormat="1" x14ac:dyDescent="0.2">
      <c r="B127" s="3"/>
      <c r="C127" s="3"/>
      <c r="D127" s="3"/>
      <c r="E127" s="3"/>
      <c r="F127" s="89"/>
      <c r="G127" s="3"/>
      <c r="H127" s="89"/>
      <c r="I127" s="90"/>
      <c r="K127" s="31"/>
    </row>
    <row r="128" spans="2:11" s="13" customFormat="1" x14ac:dyDescent="0.2">
      <c r="B128" s="3"/>
      <c r="C128" s="3"/>
      <c r="D128" s="3"/>
      <c r="E128" s="3"/>
      <c r="F128" s="89"/>
      <c r="G128" s="3"/>
      <c r="H128" s="89"/>
      <c r="I128" s="90"/>
      <c r="K128" s="31"/>
    </row>
    <row r="129" spans="2:11" s="13" customFormat="1" x14ac:dyDescent="0.2">
      <c r="B129" s="3"/>
      <c r="C129" s="3"/>
      <c r="D129" s="3"/>
      <c r="E129" s="3"/>
      <c r="F129" s="89"/>
      <c r="G129" s="3"/>
      <c r="H129" s="89"/>
      <c r="I129" s="90"/>
      <c r="K129" s="31"/>
    </row>
    <row r="130" spans="2:11" s="13" customFormat="1" x14ac:dyDescent="0.2">
      <c r="B130" s="3"/>
      <c r="C130" s="3"/>
      <c r="D130" s="3"/>
      <c r="E130" s="3"/>
      <c r="F130" s="89"/>
      <c r="G130" s="3"/>
      <c r="H130" s="89"/>
      <c r="I130" s="90"/>
      <c r="K130" s="31"/>
    </row>
    <row r="131" spans="2:11" s="13" customFormat="1" x14ac:dyDescent="0.2">
      <c r="B131" s="3"/>
      <c r="C131" s="3"/>
      <c r="D131" s="3"/>
      <c r="E131" s="3"/>
      <c r="F131" s="89"/>
      <c r="G131" s="3"/>
      <c r="H131" s="89"/>
      <c r="I131" s="90"/>
      <c r="K131" s="31"/>
    </row>
    <row r="132" spans="2:11" s="13" customFormat="1" x14ac:dyDescent="0.2">
      <c r="B132" s="3"/>
      <c r="C132" s="3"/>
      <c r="D132" s="3"/>
      <c r="E132" s="3"/>
      <c r="F132" s="89"/>
      <c r="G132" s="3"/>
      <c r="H132" s="89"/>
      <c r="I132" s="90"/>
      <c r="K132" s="31"/>
    </row>
    <row r="133" spans="2:11" s="13" customFormat="1" x14ac:dyDescent="0.2">
      <c r="B133" s="3"/>
      <c r="C133" s="3"/>
      <c r="D133" s="3"/>
      <c r="E133" s="3"/>
      <c r="F133" s="89"/>
      <c r="G133" s="3"/>
      <c r="H133" s="89"/>
      <c r="I133" s="90"/>
      <c r="K133" s="31"/>
    </row>
    <row r="134" spans="2:11" s="13" customFormat="1" x14ac:dyDescent="0.2">
      <c r="B134" s="3"/>
      <c r="C134" s="3"/>
      <c r="D134" s="3"/>
      <c r="E134" s="3"/>
      <c r="F134" s="89"/>
      <c r="G134" s="3"/>
      <c r="H134" s="89"/>
      <c r="I134" s="90"/>
      <c r="K134" s="31"/>
    </row>
    <row r="135" spans="2:11" s="13" customFormat="1" x14ac:dyDescent="0.2">
      <c r="B135" s="3"/>
      <c r="C135" s="3"/>
      <c r="D135" s="3"/>
      <c r="E135" s="3"/>
      <c r="F135" s="89"/>
      <c r="G135" s="3"/>
      <c r="H135" s="89"/>
      <c r="I135" s="90"/>
      <c r="K135" s="31"/>
    </row>
    <row r="136" spans="2:11" s="13" customFormat="1" x14ac:dyDescent="0.2">
      <c r="B136" s="3"/>
      <c r="C136" s="3"/>
      <c r="D136" s="3"/>
      <c r="E136" s="3"/>
      <c r="F136" s="89"/>
      <c r="G136" s="3"/>
      <c r="H136" s="89"/>
      <c r="I136" s="90"/>
      <c r="K136" s="31"/>
    </row>
    <row r="137" spans="2:11" s="13" customFormat="1" x14ac:dyDescent="0.2">
      <c r="B137" s="3"/>
      <c r="C137" s="3"/>
      <c r="D137" s="3"/>
      <c r="E137" s="3"/>
      <c r="F137" s="89"/>
      <c r="G137" s="3"/>
      <c r="H137" s="89"/>
      <c r="I137" s="90"/>
      <c r="K137" s="31"/>
    </row>
    <row r="138" spans="2:11" s="13" customFormat="1" x14ac:dyDescent="0.2">
      <c r="B138" s="3"/>
      <c r="C138" s="3"/>
      <c r="D138" s="3"/>
      <c r="E138" s="3"/>
      <c r="F138" s="89"/>
      <c r="G138" s="3"/>
      <c r="H138" s="89"/>
      <c r="I138" s="90"/>
      <c r="K138" s="31"/>
    </row>
    <row r="139" spans="2:11" s="13" customFormat="1" x14ac:dyDescent="0.2">
      <c r="B139" s="3"/>
      <c r="C139" s="3"/>
      <c r="D139" s="3"/>
      <c r="E139" s="3"/>
      <c r="F139" s="89"/>
      <c r="G139" s="3"/>
      <c r="H139" s="89"/>
      <c r="I139" s="90"/>
      <c r="K139" s="31"/>
    </row>
    <row r="140" spans="2:11" s="13" customFormat="1" x14ac:dyDescent="0.2">
      <c r="B140" s="3"/>
      <c r="C140" s="3"/>
      <c r="D140" s="3"/>
      <c r="E140" s="3"/>
      <c r="F140" s="89"/>
      <c r="G140" s="3"/>
      <c r="H140" s="89"/>
      <c r="I140" s="90"/>
      <c r="K140" s="31"/>
    </row>
    <row r="141" spans="2:11" s="13" customFormat="1" x14ac:dyDescent="0.2">
      <c r="B141" s="3"/>
      <c r="C141" s="3"/>
      <c r="D141" s="3"/>
      <c r="E141" s="3"/>
      <c r="F141" s="89"/>
      <c r="G141" s="3"/>
      <c r="H141" s="89"/>
      <c r="I141" s="90"/>
      <c r="K141" s="31"/>
    </row>
    <row r="142" spans="2:11" s="13" customFormat="1" x14ac:dyDescent="0.2">
      <c r="B142" s="3"/>
      <c r="C142" s="3"/>
      <c r="D142" s="3"/>
      <c r="E142" s="3"/>
      <c r="F142" s="89"/>
      <c r="G142" s="3"/>
      <c r="H142" s="89"/>
      <c r="I142" s="90"/>
      <c r="K142" s="31"/>
    </row>
    <row r="143" spans="2:11" s="13" customFormat="1" x14ac:dyDescent="0.2">
      <c r="B143" s="3"/>
      <c r="C143" s="3"/>
      <c r="D143" s="3"/>
      <c r="E143" s="3"/>
      <c r="F143" s="89"/>
      <c r="G143" s="3"/>
      <c r="H143" s="89"/>
      <c r="I143" s="90"/>
      <c r="K143" s="31"/>
    </row>
    <row r="144" spans="2:11" s="13" customFormat="1" x14ac:dyDescent="0.2">
      <c r="B144" s="3"/>
      <c r="C144" s="3"/>
      <c r="D144" s="3"/>
      <c r="E144" s="3"/>
      <c r="F144" s="89"/>
      <c r="G144" s="3"/>
      <c r="H144" s="89"/>
      <c r="I144" s="90"/>
      <c r="K144" s="31"/>
    </row>
    <row r="145" spans="2:11" s="13" customFormat="1" x14ac:dyDescent="0.2">
      <c r="B145" s="3"/>
      <c r="C145" s="3"/>
      <c r="D145" s="3"/>
      <c r="E145" s="3"/>
      <c r="F145" s="89"/>
      <c r="G145" s="3"/>
      <c r="H145" s="89"/>
      <c r="I145" s="90"/>
      <c r="K145" s="31"/>
    </row>
    <row r="146" spans="2:11" s="13" customFormat="1" x14ac:dyDescent="0.2">
      <c r="B146" s="3"/>
      <c r="C146" s="3"/>
      <c r="D146" s="3"/>
      <c r="E146" s="3"/>
      <c r="F146" s="89"/>
      <c r="G146" s="3"/>
      <c r="H146" s="89"/>
      <c r="I146" s="90"/>
      <c r="K146" s="31"/>
    </row>
    <row r="147" spans="2:11" s="13" customFormat="1" x14ac:dyDescent="0.2">
      <c r="B147" s="3"/>
      <c r="C147" s="3"/>
      <c r="D147" s="3"/>
      <c r="E147" s="3"/>
      <c r="F147" s="89"/>
      <c r="G147" s="3"/>
      <c r="H147" s="89"/>
      <c r="I147" s="90"/>
      <c r="K147" s="31"/>
    </row>
    <row r="148" spans="2:11" s="13" customFormat="1" x14ac:dyDescent="0.2">
      <c r="B148" s="3"/>
      <c r="C148" s="3"/>
      <c r="D148" s="3"/>
      <c r="E148" s="3"/>
      <c r="F148" s="89"/>
      <c r="G148" s="3"/>
      <c r="H148" s="89"/>
      <c r="I148" s="90"/>
      <c r="K148" s="31"/>
    </row>
    <row r="149" spans="2:11" s="13" customFormat="1" x14ac:dyDescent="0.2">
      <c r="B149" s="3"/>
      <c r="C149" s="3"/>
      <c r="D149" s="3"/>
      <c r="E149" s="3"/>
      <c r="F149" s="89"/>
      <c r="G149" s="3"/>
      <c r="H149" s="89"/>
      <c r="I149" s="90"/>
      <c r="K149" s="31"/>
    </row>
    <row r="150" spans="2:11" s="13" customFormat="1" x14ac:dyDescent="0.2">
      <c r="B150" s="3"/>
      <c r="C150" s="3"/>
      <c r="D150" s="3"/>
      <c r="E150" s="3"/>
      <c r="F150" s="89"/>
      <c r="G150" s="3"/>
      <c r="H150" s="89"/>
      <c r="I150" s="90"/>
      <c r="K150" s="31"/>
    </row>
    <row r="151" spans="2:11" s="13" customFormat="1" x14ac:dyDescent="0.2">
      <c r="B151" s="3"/>
      <c r="C151" s="3"/>
      <c r="D151" s="3"/>
      <c r="E151" s="3"/>
      <c r="F151" s="89"/>
      <c r="G151" s="3"/>
      <c r="H151" s="89"/>
      <c r="I151" s="90"/>
      <c r="K151" s="31"/>
    </row>
    <row r="152" spans="2:11" s="13" customFormat="1" x14ac:dyDescent="0.2">
      <c r="B152" s="3"/>
      <c r="C152" s="3"/>
      <c r="D152" s="3"/>
      <c r="E152" s="3"/>
      <c r="F152" s="89"/>
      <c r="G152" s="3"/>
      <c r="H152" s="89"/>
      <c r="I152" s="90"/>
      <c r="K152" s="31"/>
    </row>
    <row r="153" spans="2:11" s="13" customFormat="1" x14ac:dyDescent="0.2">
      <c r="B153" s="3"/>
      <c r="C153" s="3"/>
      <c r="D153" s="3"/>
      <c r="E153" s="3"/>
      <c r="F153" s="89"/>
      <c r="G153" s="3"/>
      <c r="H153" s="89"/>
      <c r="I153" s="90"/>
      <c r="K153" s="31"/>
    </row>
    <row r="154" spans="2:11" s="13" customFormat="1" x14ac:dyDescent="0.2">
      <c r="B154" s="3"/>
      <c r="C154" s="3"/>
      <c r="D154" s="3"/>
      <c r="E154" s="3"/>
      <c r="F154" s="89"/>
      <c r="G154" s="3"/>
      <c r="H154" s="89"/>
      <c r="I154" s="90"/>
      <c r="K154" s="31"/>
    </row>
    <row r="155" spans="2:11" s="13" customFormat="1" x14ac:dyDescent="0.2">
      <c r="B155" s="3"/>
      <c r="C155" s="3"/>
      <c r="D155" s="3"/>
      <c r="E155" s="3"/>
      <c r="F155" s="89"/>
      <c r="G155" s="3"/>
      <c r="H155" s="89"/>
      <c r="I155" s="90"/>
      <c r="K155" s="31"/>
    </row>
    <row r="156" spans="2:11" s="13" customFormat="1" x14ac:dyDescent="0.2">
      <c r="B156" s="3"/>
      <c r="C156" s="3"/>
      <c r="D156" s="3"/>
      <c r="E156" s="3"/>
      <c r="F156" s="89"/>
      <c r="G156" s="3"/>
      <c r="H156" s="89"/>
      <c r="I156" s="90"/>
      <c r="K156" s="31"/>
    </row>
    <row r="157" spans="2:11" s="13" customFormat="1" x14ac:dyDescent="0.2">
      <c r="B157" s="3"/>
      <c r="C157" s="3"/>
      <c r="D157" s="3"/>
      <c r="E157" s="3"/>
      <c r="F157" s="89"/>
      <c r="G157" s="3"/>
      <c r="H157" s="89"/>
      <c r="I157" s="90"/>
      <c r="K157" s="31"/>
    </row>
    <row r="158" spans="2:11" s="13" customFormat="1" x14ac:dyDescent="0.2">
      <c r="B158" s="3"/>
      <c r="C158" s="3"/>
      <c r="D158" s="3"/>
      <c r="E158" s="3"/>
      <c r="F158" s="89"/>
      <c r="G158" s="3"/>
      <c r="H158" s="89"/>
      <c r="I158" s="90"/>
      <c r="K158" s="31"/>
    </row>
    <row r="159" spans="2:11" s="13" customFormat="1" x14ac:dyDescent="0.2">
      <c r="B159" s="3"/>
      <c r="C159" s="3"/>
      <c r="D159" s="3"/>
      <c r="E159" s="3"/>
      <c r="F159" s="89"/>
      <c r="G159" s="3"/>
      <c r="H159" s="89"/>
      <c r="I159" s="90"/>
      <c r="K159" s="31"/>
    </row>
    <row r="160" spans="2:11" s="13" customFormat="1" x14ac:dyDescent="0.2">
      <c r="B160" s="3"/>
      <c r="C160" s="3"/>
      <c r="D160" s="3"/>
      <c r="E160" s="3"/>
      <c r="F160" s="89"/>
      <c r="G160" s="3"/>
      <c r="H160" s="89"/>
      <c r="I160" s="90"/>
      <c r="K160" s="31"/>
    </row>
    <row r="161" spans="2:11" s="13" customFormat="1" x14ac:dyDescent="0.2">
      <c r="B161" s="3"/>
      <c r="C161" s="3"/>
      <c r="D161" s="3"/>
      <c r="E161" s="3"/>
      <c r="F161" s="89"/>
      <c r="G161" s="3"/>
      <c r="H161" s="89"/>
      <c r="I161" s="90"/>
      <c r="K161" s="31"/>
    </row>
    <row r="162" spans="2:11" s="13" customFormat="1" x14ac:dyDescent="0.2">
      <c r="B162" s="3"/>
      <c r="C162" s="3"/>
      <c r="D162" s="3"/>
      <c r="E162" s="3"/>
      <c r="F162" s="89"/>
      <c r="G162" s="3"/>
      <c r="H162" s="89"/>
      <c r="I162" s="90"/>
      <c r="K162" s="31"/>
    </row>
    <row r="163" spans="2:11" s="13" customFormat="1" x14ac:dyDescent="0.2">
      <c r="B163" s="3"/>
      <c r="C163" s="3"/>
      <c r="D163" s="3"/>
      <c r="E163" s="3"/>
      <c r="F163" s="89"/>
      <c r="G163" s="3"/>
      <c r="H163" s="89"/>
      <c r="I163" s="90"/>
      <c r="K163" s="31"/>
    </row>
    <row r="164" spans="2:11" s="13" customFormat="1" x14ac:dyDescent="0.2">
      <c r="B164" s="3"/>
      <c r="C164" s="3"/>
      <c r="D164" s="3"/>
      <c r="E164" s="3"/>
      <c r="F164" s="89"/>
      <c r="G164" s="3"/>
      <c r="H164" s="89"/>
      <c r="I164" s="90"/>
      <c r="K164" s="31"/>
    </row>
    <row r="165" spans="2:11" s="13" customFormat="1" x14ac:dyDescent="0.2">
      <c r="B165" s="3"/>
      <c r="C165" s="3"/>
      <c r="D165" s="3"/>
      <c r="E165" s="3"/>
      <c r="F165" s="89"/>
      <c r="G165" s="3"/>
      <c r="H165" s="89"/>
      <c r="I165" s="90"/>
      <c r="K165" s="31"/>
    </row>
    <row r="166" spans="2:11" s="13" customFormat="1" x14ac:dyDescent="0.2">
      <c r="B166" s="3"/>
      <c r="C166" s="3"/>
      <c r="D166" s="3"/>
      <c r="E166" s="3"/>
      <c r="F166" s="89"/>
      <c r="G166" s="3"/>
      <c r="H166" s="89"/>
      <c r="I166" s="90"/>
      <c r="K166" s="31"/>
    </row>
    <row r="167" spans="2:11" s="13" customFormat="1" x14ac:dyDescent="0.2">
      <c r="B167" s="3"/>
      <c r="C167" s="3"/>
      <c r="D167" s="3"/>
      <c r="E167" s="3"/>
      <c r="F167" s="89"/>
      <c r="G167" s="3"/>
      <c r="H167" s="89"/>
      <c r="I167" s="90"/>
      <c r="K167" s="31"/>
    </row>
    <row r="168" spans="2:11" s="13" customFormat="1" x14ac:dyDescent="0.2">
      <c r="B168" s="3"/>
      <c r="C168" s="3"/>
      <c r="D168" s="3"/>
      <c r="E168" s="3"/>
      <c r="F168" s="89"/>
      <c r="G168" s="3"/>
      <c r="H168" s="89"/>
      <c r="I168" s="90"/>
      <c r="K168" s="31"/>
    </row>
    <row r="169" spans="2:11" s="13" customFormat="1" x14ac:dyDescent="0.2">
      <c r="B169" s="3"/>
      <c r="C169" s="3"/>
      <c r="D169" s="3"/>
      <c r="E169" s="3"/>
      <c r="F169" s="89"/>
      <c r="G169" s="3"/>
      <c r="H169" s="89"/>
      <c r="I169" s="90"/>
      <c r="K169" s="31"/>
    </row>
    <row r="170" spans="2:11" s="13" customFormat="1" x14ac:dyDescent="0.2">
      <c r="B170" s="3"/>
      <c r="C170" s="3"/>
      <c r="D170" s="3"/>
      <c r="E170" s="3"/>
      <c r="F170" s="89"/>
      <c r="G170" s="3"/>
      <c r="H170" s="89"/>
      <c r="I170" s="90"/>
      <c r="K170" s="31"/>
    </row>
    <row r="171" spans="2:11" s="13" customFormat="1" x14ac:dyDescent="0.2">
      <c r="B171" s="3"/>
      <c r="C171" s="3"/>
      <c r="D171" s="3"/>
      <c r="E171" s="3"/>
      <c r="F171" s="89"/>
      <c r="G171" s="3"/>
      <c r="H171" s="89"/>
      <c r="I171" s="90"/>
      <c r="K171" s="31"/>
    </row>
    <row r="172" spans="2:11" s="13" customFormat="1" x14ac:dyDescent="0.2">
      <c r="B172" s="3"/>
      <c r="C172" s="3"/>
      <c r="D172" s="3"/>
      <c r="E172" s="3"/>
      <c r="F172" s="89"/>
      <c r="G172" s="3"/>
      <c r="H172" s="89"/>
      <c r="I172" s="90"/>
      <c r="K172" s="31"/>
    </row>
    <row r="173" spans="2:11" s="13" customFormat="1" x14ac:dyDescent="0.2">
      <c r="B173" s="3"/>
      <c r="C173" s="3"/>
      <c r="D173" s="3"/>
      <c r="E173" s="3"/>
      <c r="F173" s="89"/>
      <c r="G173" s="3"/>
      <c r="H173" s="89"/>
      <c r="I173" s="90"/>
      <c r="K173" s="31"/>
    </row>
    <row r="174" spans="2:11" s="13" customFormat="1" x14ac:dyDescent="0.2">
      <c r="B174" s="3"/>
      <c r="C174" s="3"/>
      <c r="D174" s="3"/>
      <c r="E174" s="3"/>
      <c r="F174" s="89"/>
      <c r="G174" s="3"/>
      <c r="H174" s="89"/>
      <c r="I174" s="90"/>
      <c r="K174" s="31"/>
    </row>
    <row r="175" spans="2:11" s="13" customFormat="1" x14ac:dyDescent="0.2">
      <c r="B175" s="3"/>
      <c r="C175" s="3"/>
      <c r="D175" s="3"/>
      <c r="E175" s="3"/>
      <c r="F175" s="89"/>
      <c r="G175" s="3"/>
      <c r="H175" s="89"/>
      <c r="I175" s="90"/>
      <c r="K175" s="31"/>
    </row>
    <row r="176" spans="2:11" s="13" customFormat="1" x14ac:dyDescent="0.2">
      <c r="B176" s="3"/>
      <c r="C176" s="3"/>
      <c r="D176" s="3"/>
      <c r="E176" s="3"/>
      <c r="F176" s="89"/>
      <c r="G176" s="3"/>
      <c r="H176" s="89"/>
      <c r="I176" s="90"/>
      <c r="K176" s="31"/>
    </row>
    <row r="177" spans="2:11" s="13" customFormat="1" x14ac:dyDescent="0.2">
      <c r="B177" s="3"/>
      <c r="C177" s="3"/>
      <c r="D177" s="3"/>
      <c r="E177" s="3"/>
      <c r="F177" s="89"/>
      <c r="G177" s="3"/>
      <c r="H177" s="89"/>
      <c r="I177" s="90"/>
      <c r="K177" s="31"/>
    </row>
    <row r="178" spans="2:11" s="13" customFormat="1" x14ac:dyDescent="0.2">
      <c r="B178" s="3"/>
      <c r="C178" s="3"/>
      <c r="D178" s="3"/>
      <c r="E178" s="3"/>
      <c r="F178" s="89"/>
      <c r="G178" s="3"/>
      <c r="H178" s="89"/>
      <c r="I178" s="90"/>
      <c r="K178" s="31"/>
    </row>
    <row r="179" spans="2:11" s="13" customFormat="1" x14ac:dyDescent="0.2">
      <c r="B179" s="3"/>
      <c r="C179" s="3"/>
      <c r="D179" s="3"/>
      <c r="E179" s="3"/>
      <c r="F179" s="89"/>
      <c r="G179" s="3"/>
      <c r="H179" s="89"/>
      <c r="I179" s="90"/>
      <c r="K179" s="31"/>
    </row>
    <row r="180" spans="2:11" s="13" customFormat="1" x14ac:dyDescent="0.2">
      <c r="B180" s="3"/>
      <c r="C180" s="3"/>
      <c r="D180" s="3"/>
      <c r="E180" s="3"/>
      <c r="F180" s="89"/>
      <c r="G180" s="3"/>
      <c r="H180" s="89"/>
      <c r="I180" s="90"/>
      <c r="K180" s="31"/>
    </row>
    <row r="181" spans="2:11" s="13" customFormat="1" x14ac:dyDescent="0.2">
      <c r="B181" s="3"/>
      <c r="C181" s="3"/>
      <c r="D181" s="3"/>
      <c r="E181" s="3"/>
      <c r="F181" s="89"/>
      <c r="G181" s="3"/>
      <c r="H181" s="89"/>
      <c r="I181" s="90"/>
      <c r="K181" s="31"/>
    </row>
    <row r="182" spans="2:11" s="13" customFormat="1" x14ac:dyDescent="0.2">
      <c r="B182" s="3"/>
      <c r="C182" s="3"/>
      <c r="D182" s="3"/>
      <c r="E182" s="3"/>
      <c r="F182" s="89"/>
      <c r="G182" s="3"/>
      <c r="H182" s="89"/>
      <c r="I182" s="90"/>
      <c r="K182" s="31"/>
    </row>
    <row r="183" spans="2:11" s="13" customFormat="1" x14ac:dyDescent="0.2">
      <c r="B183" s="3"/>
      <c r="C183" s="3"/>
      <c r="D183" s="3"/>
      <c r="E183" s="3"/>
      <c r="F183" s="89"/>
      <c r="G183" s="3"/>
      <c r="H183" s="89"/>
      <c r="I183" s="90"/>
      <c r="K183" s="31"/>
    </row>
    <row r="184" spans="2:11" s="13" customFormat="1" x14ac:dyDescent="0.2">
      <c r="B184" s="3"/>
      <c r="C184" s="3"/>
      <c r="D184" s="3"/>
      <c r="E184" s="3"/>
      <c r="F184" s="89"/>
      <c r="G184" s="3"/>
      <c r="H184" s="89"/>
      <c r="I184" s="90"/>
      <c r="K184" s="31"/>
    </row>
    <row r="185" spans="2:11" s="13" customFormat="1" x14ac:dyDescent="0.2">
      <c r="B185" s="3"/>
      <c r="C185" s="3"/>
      <c r="D185" s="3"/>
      <c r="E185" s="3"/>
      <c r="F185" s="89"/>
      <c r="G185" s="3"/>
      <c r="H185" s="89"/>
      <c r="I185" s="90"/>
      <c r="K185" s="31"/>
    </row>
    <row r="186" spans="2:11" s="13" customFormat="1" x14ac:dyDescent="0.2">
      <c r="B186" s="3"/>
      <c r="C186" s="3"/>
      <c r="D186" s="3"/>
      <c r="E186" s="3"/>
      <c r="F186" s="89"/>
      <c r="G186" s="3"/>
      <c r="H186" s="89"/>
      <c r="I186" s="90"/>
      <c r="K186" s="31"/>
    </row>
    <row r="187" spans="2:11" s="13" customFormat="1" x14ac:dyDescent="0.2">
      <c r="B187" s="3"/>
      <c r="C187" s="3"/>
      <c r="D187" s="3"/>
      <c r="E187" s="3"/>
      <c r="F187" s="89"/>
      <c r="G187" s="3"/>
      <c r="H187" s="89"/>
      <c r="I187" s="90"/>
      <c r="K187" s="31"/>
    </row>
    <row r="188" spans="2:11" s="13" customFormat="1" x14ac:dyDescent="0.2">
      <c r="B188" s="3"/>
      <c r="C188" s="3"/>
      <c r="D188" s="3"/>
      <c r="E188" s="3"/>
      <c r="F188" s="89"/>
      <c r="G188" s="3"/>
      <c r="H188" s="89"/>
      <c r="I188" s="90"/>
      <c r="K188" s="31"/>
    </row>
    <row r="189" spans="2:11" s="13" customFormat="1" x14ac:dyDescent="0.2">
      <c r="B189" s="3"/>
      <c r="C189" s="3"/>
      <c r="D189" s="3"/>
      <c r="E189" s="3"/>
      <c r="F189" s="89"/>
      <c r="G189" s="3"/>
      <c r="H189" s="89"/>
      <c r="I189" s="90"/>
      <c r="K189" s="31"/>
    </row>
    <row r="190" spans="2:11" s="13" customFormat="1" x14ac:dyDescent="0.2">
      <c r="B190" s="3"/>
      <c r="C190" s="3"/>
      <c r="D190" s="3"/>
      <c r="E190" s="3"/>
      <c r="F190" s="89"/>
      <c r="G190" s="3"/>
      <c r="H190" s="89"/>
      <c r="I190" s="90"/>
      <c r="K190" s="31"/>
    </row>
    <row r="191" spans="2:11" s="13" customFormat="1" x14ac:dyDescent="0.2">
      <c r="B191" s="3"/>
      <c r="C191" s="3"/>
      <c r="D191" s="3"/>
      <c r="E191" s="3"/>
      <c r="F191" s="89"/>
      <c r="G191" s="3"/>
      <c r="H191" s="89"/>
      <c r="I191" s="90"/>
      <c r="K191" s="31"/>
    </row>
    <row r="192" spans="2:11" s="13" customFormat="1" x14ac:dyDescent="0.2">
      <c r="B192" s="3"/>
      <c r="C192" s="3"/>
      <c r="D192" s="3"/>
      <c r="E192" s="3"/>
      <c r="F192" s="89"/>
      <c r="G192" s="3"/>
      <c r="H192" s="89"/>
      <c r="I192" s="90"/>
      <c r="K192" s="31"/>
    </row>
    <row r="193" spans="2:11" s="13" customFormat="1" x14ac:dyDescent="0.2">
      <c r="B193" s="3"/>
      <c r="C193" s="3"/>
      <c r="D193" s="3"/>
      <c r="E193" s="3"/>
      <c r="F193" s="89"/>
      <c r="G193" s="3"/>
      <c r="H193" s="89"/>
      <c r="I193" s="90"/>
      <c r="K193" s="31"/>
    </row>
    <row r="194" spans="2:11" s="13" customFormat="1" x14ac:dyDescent="0.2">
      <c r="B194" s="3"/>
      <c r="C194" s="3"/>
      <c r="D194" s="3"/>
      <c r="E194" s="3"/>
      <c r="F194" s="89"/>
      <c r="G194" s="3"/>
      <c r="H194" s="89"/>
      <c r="I194" s="90"/>
      <c r="K194" s="31"/>
    </row>
    <row r="195" spans="2:11" s="13" customFormat="1" x14ac:dyDescent="0.2">
      <c r="B195" s="3"/>
      <c r="C195" s="3"/>
      <c r="D195" s="3"/>
      <c r="E195" s="3"/>
      <c r="F195" s="89"/>
      <c r="G195" s="3"/>
      <c r="H195" s="89"/>
      <c r="I195" s="90"/>
      <c r="K195" s="31"/>
    </row>
    <row r="196" spans="2:11" s="13" customFormat="1" x14ac:dyDescent="0.2">
      <c r="B196" s="3"/>
      <c r="C196" s="3"/>
      <c r="D196" s="3"/>
      <c r="E196" s="3"/>
      <c r="F196" s="89"/>
      <c r="G196" s="3"/>
      <c r="H196" s="89"/>
      <c r="I196" s="90"/>
      <c r="K196" s="31"/>
    </row>
    <row r="197" spans="2:11" s="13" customFormat="1" x14ac:dyDescent="0.2">
      <c r="B197" s="3"/>
      <c r="C197" s="3"/>
      <c r="D197" s="3"/>
      <c r="E197" s="3"/>
      <c r="F197" s="89"/>
      <c r="G197" s="3"/>
      <c r="H197" s="89"/>
      <c r="I197" s="90"/>
      <c r="K197" s="31"/>
    </row>
    <row r="198" spans="2:11" s="13" customFormat="1" x14ac:dyDescent="0.2">
      <c r="B198" s="3"/>
      <c r="C198" s="3"/>
      <c r="D198" s="3"/>
      <c r="E198" s="3"/>
      <c r="F198" s="89"/>
      <c r="G198" s="3"/>
      <c r="H198" s="89"/>
      <c r="I198" s="90"/>
      <c r="K198" s="31"/>
    </row>
    <row r="199" spans="2:11" s="13" customFormat="1" x14ac:dyDescent="0.2">
      <c r="B199" s="3"/>
      <c r="C199" s="3"/>
      <c r="D199" s="3"/>
      <c r="E199" s="3"/>
      <c r="F199" s="89"/>
      <c r="G199" s="3"/>
      <c r="H199" s="89"/>
      <c r="I199" s="90"/>
      <c r="K199" s="31"/>
    </row>
    <row r="200" spans="2:11" s="13" customFormat="1" x14ac:dyDescent="0.2">
      <c r="B200" s="3"/>
      <c r="C200" s="3"/>
      <c r="D200" s="3"/>
      <c r="E200" s="3"/>
      <c r="F200" s="89"/>
      <c r="G200" s="3"/>
      <c r="H200" s="89"/>
      <c r="I200" s="90"/>
      <c r="K200" s="31"/>
    </row>
    <row r="201" spans="2:11" s="13" customFormat="1" x14ac:dyDescent="0.2">
      <c r="B201" s="3"/>
      <c r="C201" s="3"/>
      <c r="D201" s="3"/>
      <c r="E201" s="3"/>
      <c r="F201" s="89"/>
      <c r="G201" s="3"/>
      <c r="H201" s="89"/>
      <c r="I201" s="90"/>
      <c r="K201" s="31"/>
    </row>
    <row r="202" spans="2:11" s="13" customFormat="1" x14ac:dyDescent="0.2">
      <c r="B202" s="3"/>
      <c r="C202" s="3"/>
      <c r="D202" s="3"/>
      <c r="E202" s="3"/>
      <c r="F202" s="89"/>
      <c r="G202" s="3"/>
      <c r="H202" s="89"/>
      <c r="I202" s="90"/>
      <c r="K202" s="31"/>
    </row>
    <row r="203" spans="2:11" s="13" customFormat="1" x14ac:dyDescent="0.2">
      <c r="B203" s="3"/>
      <c r="C203" s="3"/>
      <c r="D203" s="3"/>
      <c r="E203" s="3"/>
      <c r="F203" s="89"/>
      <c r="G203" s="3"/>
      <c r="H203" s="89"/>
      <c r="I203" s="90"/>
      <c r="K203" s="31"/>
    </row>
    <row r="204" spans="2:11" s="13" customFormat="1" x14ac:dyDescent="0.2">
      <c r="B204" s="3"/>
      <c r="C204" s="3"/>
      <c r="D204" s="3"/>
      <c r="E204" s="3"/>
      <c r="F204" s="89"/>
      <c r="G204" s="3"/>
      <c r="H204" s="89"/>
      <c r="I204" s="90"/>
      <c r="K204" s="31"/>
    </row>
    <row r="205" spans="2:11" s="13" customFormat="1" x14ac:dyDescent="0.2">
      <c r="B205" s="3"/>
      <c r="C205" s="3"/>
      <c r="D205" s="3"/>
      <c r="E205" s="3"/>
      <c r="F205" s="89"/>
      <c r="G205" s="3"/>
      <c r="H205" s="89"/>
      <c r="I205" s="90"/>
      <c r="K205" s="31"/>
    </row>
    <row r="206" spans="2:11" s="13" customFormat="1" x14ac:dyDescent="0.2">
      <c r="B206" s="3"/>
      <c r="C206" s="3"/>
      <c r="D206" s="3"/>
      <c r="E206" s="3"/>
      <c r="F206" s="89"/>
      <c r="G206" s="3"/>
      <c r="H206" s="89"/>
      <c r="I206" s="90"/>
      <c r="K206" s="31"/>
    </row>
    <row r="207" spans="2:11" s="13" customFormat="1" x14ac:dyDescent="0.2">
      <c r="B207" s="3"/>
      <c r="C207" s="3"/>
      <c r="D207" s="3"/>
      <c r="E207" s="3"/>
      <c r="F207" s="89"/>
      <c r="G207" s="3"/>
      <c r="H207" s="89"/>
      <c r="I207" s="90"/>
      <c r="K207" s="31"/>
    </row>
    <row r="208" spans="2:11" s="13" customFormat="1" x14ac:dyDescent="0.2">
      <c r="B208" s="3"/>
      <c r="C208" s="3"/>
      <c r="D208" s="3"/>
      <c r="E208" s="3"/>
      <c r="F208" s="89"/>
      <c r="G208" s="3"/>
      <c r="H208" s="89"/>
      <c r="I208" s="90"/>
      <c r="K208" s="31"/>
    </row>
    <row r="209" spans="2:11" s="13" customFormat="1" x14ac:dyDescent="0.2">
      <c r="B209" s="3"/>
      <c r="C209" s="3"/>
      <c r="D209" s="3"/>
      <c r="E209" s="3"/>
      <c r="F209" s="89"/>
      <c r="G209" s="3"/>
      <c r="H209" s="89"/>
      <c r="I209" s="90"/>
      <c r="K209" s="31"/>
    </row>
    <row r="210" spans="2:11" s="13" customFormat="1" x14ac:dyDescent="0.2">
      <c r="B210" s="3"/>
      <c r="C210" s="3"/>
      <c r="D210" s="3"/>
      <c r="E210" s="3"/>
      <c r="F210" s="89"/>
      <c r="G210" s="3"/>
      <c r="H210" s="89"/>
      <c r="I210" s="90"/>
      <c r="K210" s="31"/>
    </row>
    <row r="211" spans="2:11" s="13" customFormat="1" x14ac:dyDescent="0.2">
      <c r="B211" s="3"/>
      <c r="C211" s="3"/>
      <c r="D211" s="3"/>
      <c r="E211" s="3"/>
      <c r="F211" s="89"/>
      <c r="G211" s="3"/>
      <c r="H211" s="89"/>
      <c r="I211" s="90"/>
      <c r="K211" s="31"/>
    </row>
    <row r="212" spans="2:11" s="13" customFormat="1" x14ac:dyDescent="0.2">
      <c r="B212" s="3"/>
      <c r="C212" s="3"/>
      <c r="D212" s="3"/>
      <c r="E212" s="3"/>
      <c r="F212" s="89"/>
      <c r="G212" s="3"/>
      <c r="H212" s="89"/>
      <c r="I212" s="90"/>
      <c r="K212" s="31"/>
    </row>
    <row r="213" spans="2:11" s="13" customFormat="1" x14ac:dyDescent="0.2">
      <c r="B213" s="3"/>
      <c r="C213" s="3"/>
      <c r="D213" s="3"/>
      <c r="E213" s="3"/>
      <c r="F213" s="89"/>
      <c r="G213" s="3"/>
      <c r="H213" s="89"/>
      <c r="I213" s="90"/>
      <c r="K213" s="31"/>
    </row>
    <row r="214" spans="2:11" s="13" customFormat="1" x14ac:dyDescent="0.2">
      <c r="B214" s="3"/>
      <c r="C214" s="3"/>
      <c r="D214" s="3"/>
      <c r="E214" s="3"/>
      <c r="F214" s="89"/>
      <c r="G214" s="3"/>
      <c r="H214" s="89"/>
      <c r="I214" s="90"/>
      <c r="K214" s="31"/>
    </row>
    <row r="215" spans="2:11" s="13" customFormat="1" x14ac:dyDescent="0.2">
      <c r="B215" s="3"/>
      <c r="C215" s="3"/>
      <c r="D215" s="3"/>
      <c r="E215" s="3"/>
      <c r="F215" s="89"/>
      <c r="G215" s="3"/>
      <c r="H215" s="89"/>
      <c r="I215" s="90"/>
      <c r="K215" s="31"/>
    </row>
    <row r="216" spans="2:11" s="13" customFormat="1" x14ac:dyDescent="0.2">
      <c r="B216" s="3"/>
      <c r="C216" s="3"/>
      <c r="D216" s="3"/>
      <c r="E216" s="3"/>
      <c r="F216" s="89"/>
      <c r="G216" s="3"/>
      <c r="H216" s="89"/>
      <c r="I216" s="90"/>
      <c r="K216" s="31"/>
    </row>
    <row r="217" spans="2:11" s="13" customFormat="1" x14ac:dyDescent="0.2">
      <c r="B217" s="3"/>
      <c r="C217" s="3"/>
      <c r="D217" s="3"/>
      <c r="E217" s="3"/>
      <c r="F217" s="89"/>
      <c r="G217" s="3"/>
      <c r="H217" s="89"/>
      <c r="I217" s="90"/>
      <c r="K217" s="31"/>
    </row>
    <row r="218" spans="2:11" s="13" customFormat="1" x14ac:dyDescent="0.2">
      <c r="B218" s="3"/>
      <c r="C218" s="3"/>
      <c r="D218" s="3"/>
      <c r="E218" s="3"/>
      <c r="F218" s="89"/>
      <c r="G218" s="3"/>
      <c r="H218" s="89"/>
      <c r="I218" s="90"/>
      <c r="K218" s="31"/>
    </row>
    <row r="219" spans="2:11" s="13" customFormat="1" x14ac:dyDescent="0.2">
      <c r="B219" s="3"/>
      <c r="C219" s="3"/>
      <c r="D219" s="3"/>
      <c r="E219" s="3"/>
      <c r="F219" s="89"/>
      <c r="G219" s="3"/>
      <c r="H219" s="89"/>
      <c r="I219" s="90"/>
      <c r="K219" s="31"/>
    </row>
    <row r="220" spans="2:11" s="13" customFormat="1" x14ac:dyDescent="0.2">
      <c r="B220" s="3"/>
      <c r="C220" s="3"/>
      <c r="D220" s="3"/>
      <c r="E220" s="3"/>
      <c r="F220" s="89"/>
      <c r="G220" s="3"/>
      <c r="H220" s="89"/>
      <c r="I220" s="90"/>
      <c r="K220" s="31"/>
    </row>
    <row r="221" spans="2:11" s="13" customFormat="1" x14ac:dyDescent="0.2">
      <c r="B221" s="3"/>
      <c r="C221" s="3"/>
      <c r="D221" s="3"/>
      <c r="E221" s="3"/>
      <c r="F221" s="89"/>
      <c r="G221" s="3"/>
      <c r="H221" s="89"/>
      <c r="I221" s="90"/>
      <c r="K221" s="31"/>
    </row>
    <row r="222" spans="2:11" s="13" customFormat="1" x14ac:dyDescent="0.2">
      <c r="B222" s="3"/>
      <c r="C222" s="3"/>
      <c r="D222" s="3"/>
      <c r="E222" s="3"/>
      <c r="F222" s="89"/>
      <c r="G222" s="3"/>
      <c r="H222" s="89"/>
      <c r="I222" s="90"/>
      <c r="K222" s="31"/>
    </row>
    <row r="223" spans="2:11" s="13" customFormat="1" x14ac:dyDescent="0.2">
      <c r="B223" s="3"/>
      <c r="C223" s="3"/>
      <c r="D223" s="3"/>
      <c r="E223" s="3"/>
      <c r="F223" s="89"/>
      <c r="G223" s="3"/>
      <c r="H223" s="89"/>
      <c r="I223" s="90"/>
      <c r="K223" s="31"/>
    </row>
    <row r="224" spans="2:11" s="13" customFormat="1" x14ac:dyDescent="0.2">
      <c r="B224" s="3"/>
      <c r="C224" s="3"/>
      <c r="D224" s="3"/>
      <c r="E224" s="3"/>
      <c r="F224" s="89"/>
      <c r="G224" s="3"/>
      <c r="H224" s="89"/>
      <c r="I224" s="90"/>
      <c r="K224" s="31"/>
    </row>
    <row r="225" spans="1:13" s="13" customFormat="1" x14ac:dyDescent="0.2">
      <c r="B225" s="3"/>
      <c r="C225" s="3"/>
      <c r="D225" s="3"/>
      <c r="E225" s="3"/>
      <c r="F225" s="89"/>
      <c r="G225" s="3"/>
      <c r="H225" s="89"/>
      <c r="I225" s="90"/>
      <c r="K225" s="31"/>
    </row>
    <row r="226" spans="1:13" s="13" customFormat="1" x14ac:dyDescent="0.2">
      <c r="B226" s="3"/>
      <c r="C226" s="3"/>
      <c r="D226" s="3"/>
      <c r="E226" s="3"/>
      <c r="F226" s="89"/>
      <c r="G226" s="3"/>
      <c r="H226" s="89"/>
      <c r="I226" s="90"/>
      <c r="K226" s="31"/>
    </row>
    <row r="227" spans="1:13" s="13" customFormat="1" x14ac:dyDescent="0.2">
      <c r="B227" s="3"/>
      <c r="C227" s="3"/>
      <c r="D227" s="3"/>
      <c r="E227" s="3"/>
      <c r="F227" s="89"/>
      <c r="G227" s="3"/>
      <c r="H227" s="89"/>
      <c r="I227" s="90"/>
      <c r="K227" s="31"/>
    </row>
    <row r="228" spans="1:13" s="13" customFormat="1" x14ac:dyDescent="0.2">
      <c r="B228" s="3"/>
      <c r="C228" s="3"/>
      <c r="D228" s="3"/>
      <c r="E228" s="3"/>
      <c r="F228" s="89"/>
      <c r="G228" s="3"/>
      <c r="H228" s="89"/>
      <c r="I228" s="90"/>
      <c r="K228" s="31"/>
    </row>
    <row r="229" spans="1:13" s="13" customFormat="1" x14ac:dyDescent="0.2">
      <c r="B229" s="3"/>
      <c r="C229" s="3"/>
      <c r="D229" s="3"/>
      <c r="E229" s="3"/>
      <c r="F229" s="89"/>
      <c r="G229" s="3"/>
      <c r="H229" s="89"/>
      <c r="I229" s="90"/>
      <c r="K229" s="31"/>
    </row>
    <row r="230" spans="1:13" s="13" customFormat="1" x14ac:dyDescent="0.2">
      <c r="B230" s="3"/>
      <c r="C230" s="3"/>
      <c r="D230" s="3"/>
      <c r="E230" s="3"/>
      <c r="F230" s="89"/>
      <c r="G230" s="3"/>
      <c r="H230" s="89"/>
      <c r="I230" s="90"/>
      <c r="K230" s="31"/>
    </row>
    <row r="231" spans="1:13" s="13" customFormat="1" x14ac:dyDescent="0.2">
      <c r="B231" s="3"/>
      <c r="C231" s="3"/>
      <c r="D231" s="3"/>
      <c r="E231" s="3"/>
      <c r="F231" s="89"/>
      <c r="G231" s="3"/>
      <c r="H231" s="89"/>
      <c r="I231" s="90"/>
      <c r="K231" s="31"/>
    </row>
    <row r="232" spans="1:13" s="13" customFormat="1" x14ac:dyDescent="0.2">
      <c r="B232" s="3"/>
      <c r="C232" s="3"/>
      <c r="D232" s="3"/>
      <c r="E232" s="3"/>
      <c r="F232" s="89"/>
      <c r="G232" s="3"/>
      <c r="H232" s="89"/>
      <c r="I232" s="90"/>
      <c r="K232" s="31"/>
    </row>
    <row r="233" spans="1:13" s="13" customFormat="1" x14ac:dyDescent="0.2">
      <c r="B233" s="3"/>
      <c r="C233" s="3"/>
      <c r="D233" s="3"/>
      <c r="E233" s="3"/>
      <c r="F233" s="89"/>
      <c r="G233" s="3"/>
      <c r="H233" s="89"/>
      <c r="I233" s="90"/>
      <c r="K233" s="31"/>
    </row>
    <row r="234" spans="1:13" s="13" customFormat="1" x14ac:dyDescent="0.2">
      <c r="B234" s="3"/>
      <c r="C234" s="3"/>
      <c r="D234" s="3"/>
      <c r="E234" s="3"/>
      <c r="F234" s="89"/>
      <c r="G234" s="3"/>
      <c r="H234" s="89"/>
      <c r="I234" s="90"/>
      <c r="K234" s="31"/>
    </row>
    <row r="235" spans="1:13" s="89" customFormat="1" x14ac:dyDescent="0.2">
      <c r="A235" s="13"/>
      <c r="B235" s="3"/>
      <c r="C235" s="3"/>
      <c r="D235" s="3"/>
      <c r="E235" s="3"/>
      <c r="G235" s="3"/>
      <c r="I235" s="90"/>
      <c r="J235" s="13"/>
      <c r="K235" s="31"/>
      <c r="L235" s="13"/>
      <c r="M235" s="13"/>
    </row>
    <row r="236" spans="1:13" s="89" customFormat="1" x14ac:dyDescent="0.2">
      <c r="A236" s="13"/>
      <c r="B236" s="3"/>
      <c r="C236" s="3"/>
      <c r="D236" s="3"/>
      <c r="E236" s="3"/>
      <c r="G236" s="91"/>
      <c r="I236" s="90"/>
      <c r="J236" s="13"/>
      <c r="K236" s="31"/>
      <c r="L236" s="13"/>
      <c r="M236" s="13"/>
    </row>
    <row r="237" spans="1:13" s="89" customFormat="1" x14ac:dyDescent="0.2">
      <c r="A237" s="13"/>
      <c r="B237" s="3"/>
      <c r="C237" s="3"/>
      <c r="D237" s="3"/>
      <c r="E237" s="3"/>
      <c r="G237" s="92"/>
      <c r="I237" s="90"/>
      <c r="J237" s="13"/>
      <c r="K237" s="31"/>
      <c r="L237" s="13"/>
      <c r="M237" s="13"/>
    </row>
    <row r="238" spans="1:13" s="89" customFormat="1" x14ac:dyDescent="0.2">
      <c r="A238" s="13"/>
      <c r="B238" s="3"/>
      <c r="C238" s="3"/>
      <c r="D238" s="3"/>
      <c r="E238" s="3"/>
      <c r="G238" s="93"/>
      <c r="I238" s="90"/>
      <c r="J238" s="13"/>
      <c r="K238" s="31"/>
      <c r="L238" s="13"/>
      <c r="M238" s="13"/>
    </row>
    <row r="239" spans="1:13" s="89" customFormat="1" x14ac:dyDescent="0.2">
      <c r="A239" s="13"/>
      <c r="B239" s="3"/>
      <c r="C239" s="3"/>
      <c r="D239" s="3"/>
      <c r="E239" s="3"/>
      <c r="G239" s="94"/>
      <c r="I239" s="90"/>
      <c r="J239" s="13"/>
      <c r="K239" s="31"/>
      <c r="L239" s="13"/>
      <c r="M239" s="13"/>
    </row>
    <row r="240" spans="1:13" s="89" customFormat="1" x14ac:dyDescent="0.2">
      <c r="A240" s="13"/>
      <c r="B240" s="3"/>
      <c r="C240" s="3"/>
      <c r="D240" s="3"/>
      <c r="E240" s="3"/>
      <c r="G240" s="91"/>
      <c r="I240" s="90"/>
      <c r="J240" s="13"/>
      <c r="K240" s="31"/>
      <c r="L240" s="13"/>
      <c r="M240" s="13"/>
    </row>
    <row r="241" spans="1:13" s="13" customFormat="1" x14ac:dyDescent="0.2">
      <c r="B241" s="3"/>
      <c r="C241" s="3"/>
      <c r="D241" s="3"/>
      <c r="E241" s="3"/>
      <c r="F241" s="89"/>
      <c r="G241" s="3"/>
      <c r="H241" s="89"/>
      <c r="I241" s="90"/>
      <c r="K241" s="31"/>
    </row>
    <row r="242" spans="1:13" s="13" customFormat="1" x14ac:dyDescent="0.2">
      <c r="B242" s="3"/>
      <c r="C242" s="3"/>
      <c r="D242" s="3"/>
      <c r="E242" s="3"/>
      <c r="F242" s="89"/>
      <c r="G242" s="3"/>
      <c r="H242" s="89"/>
      <c r="I242" s="90"/>
      <c r="K242" s="31"/>
    </row>
    <row r="243" spans="1:13" s="13" customFormat="1" x14ac:dyDescent="0.2">
      <c r="B243" s="3"/>
      <c r="C243" s="3"/>
      <c r="D243" s="3"/>
      <c r="E243" s="3"/>
      <c r="F243" s="89"/>
      <c r="G243" s="3"/>
      <c r="H243" s="89"/>
      <c r="I243" s="90"/>
      <c r="K243" s="31"/>
    </row>
    <row r="244" spans="1:13" s="89" customFormat="1" x14ac:dyDescent="0.2">
      <c r="A244" s="13"/>
      <c r="B244" s="3"/>
      <c r="C244" s="3"/>
      <c r="D244" s="3"/>
      <c r="E244" s="3"/>
      <c r="G244" s="95"/>
      <c r="I244" s="90"/>
      <c r="J244" s="13"/>
      <c r="K244" s="31"/>
      <c r="L244" s="13"/>
      <c r="M244" s="13"/>
    </row>
    <row r="245" spans="1:13" s="89" customFormat="1" x14ac:dyDescent="0.2">
      <c r="A245" s="13"/>
      <c r="B245" s="3"/>
      <c r="C245" s="3"/>
      <c r="D245" s="3"/>
      <c r="E245" s="3"/>
      <c r="G245" s="96"/>
      <c r="I245" s="90"/>
      <c r="J245" s="13"/>
      <c r="K245" s="31"/>
      <c r="L245" s="13"/>
      <c r="M245" s="13"/>
    </row>
    <row r="246" spans="1:13" s="89" customFormat="1" x14ac:dyDescent="0.2">
      <c r="A246" s="13"/>
      <c r="B246" s="3"/>
      <c r="C246" s="3"/>
      <c r="D246" s="3"/>
      <c r="E246" s="3"/>
      <c r="G246" s="93"/>
      <c r="I246" s="90"/>
      <c r="J246" s="13"/>
      <c r="K246" s="31"/>
      <c r="L246" s="13"/>
      <c r="M246" s="13"/>
    </row>
    <row r="247" spans="1:13" s="89" customFormat="1" x14ac:dyDescent="0.2">
      <c r="A247" s="13"/>
      <c r="B247" s="3"/>
      <c r="C247" s="3"/>
      <c r="D247" s="3"/>
      <c r="E247" s="3"/>
      <c r="G247" s="93"/>
      <c r="I247" s="90"/>
      <c r="J247" s="13"/>
      <c r="K247" s="31"/>
      <c r="L247" s="13"/>
      <c r="M247" s="13"/>
    </row>
    <row r="248" spans="1:13" s="89" customFormat="1" x14ac:dyDescent="0.2">
      <c r="A248" s="13"/>
      <c r="B248" s="3"/>
      <c r="C248" s="3"/>
      <c r="D248" s="3"/>
      <c r="E248" s="3"/>
      <c r="G248" s="91"/>
      <c r="I248" s="90"/>
      <c r="J248" s="13"/>
      <c r="K248" s="31"/>
      <c r="L248" s="13"/>
      <c r="M248" s="13"/>
    </row>
    <row r="249" spans="1:13" s="13" customFormat="1" x14ac:dyDescent="0.2">
      <c r="B249" s="3"/>
      <c r="C249" s="3"/>
      <c r="D249" s="3"/>
      <c r="E249" s="3"/>
      <c r="F249" s="89"/>
      <c r="G249" s="3"/>
      <c r="H249" s="89"/>
      <c r="I249" s="90"/>
      <c r="K249" s="31"/>
    </row>
    <row r="250" spans="1:13" s="13" customFormat="1" x14ac:dyDescent="0.2">
      <c r="B250" s="3"/>
      <c r="C250" s="3"/>
      <c r="D250" s="3"/>
      <c r="E250" s="3"/>
      <c r="F250" s="89"/>
      <c r="G250" s="3"/>
      <c r="H250" s="89"/>
      <c r="I250" s="90"/>
      <c r="K250" s="31"/>
    </row>
    <row r="251" spans="1:13" s="13" customFormat="1" x14ac:dyDescent="0.2">
      <c r="B251" s="3"/>
      <c r="C251" s="3"/>
      <c r="D251" s="3"/>
      <c r="E251" s="3"/>
      <c r="F251" s="89"/>
      <c r="G251" s="3"/>
      <c r="H251" s="89"/>
      <c r="I251" s="90"/>
      <c r="K251" s="31"/>
    </row>
    <row r="252" spans="1:13" s="89" customFormat="1" x14ac:dyDescent="0.2">
      <c r="A252" s="13"/>
      <c r="B252" s="3"/>
      <c r="C252" s="3"/>
      <c r="D252" s="3"/>
      <c r="E252" s="3"/>
      <c r="G252" s="95"/>
      <c r="I252" s="90"/>
      <c r="J252" s="13"/>
      <c r="K252" s="31"/>
      <c r="L252" s="13"/>
      <c r="M252" s="13"/>
    </row>
    <row r="253" spans="1:13" s="89" customFormat="1" x14ac:dyDescent="0.2">
      <c r="A253" s="13"/>
      <c r="B253" s="3"/>
      <c r="C253" s="3"/>
      <c r="D253" s="3"/>
      <c r="E253" s="3"/>
      <c r="G253" s="96"/>
      <c r="I253" s="90"/>
      <c r="J253" s="13"/>
      <c r="K253" s="31"/>
      <c r="L253" s="13"/>
      <c r="M253" s="13"/>
    </row>
    <row r="254" spans="1:13" s="89" customFormat="1" x14ac:dyDescent="0.2">
      <c r="A254" s="13"/>
      <c r="B254" s="3"/>
      <c r="C254" s="3"/>
      <c r="D254" s="3"/>
      <c r="E254" s="3"/>
      <c r="G254" s="93"/>
      <c r="I254" s="90"/>
      <c r="J254" s="13"/>
      <c r="K254" s="31"/>
      <c r="L254" s="13"/>
      <c r="M254" s="13"/>
    </row>
    <row r="255" spans="1:13" s="89" customFormat="1" x14ac:dyDescent="0.2">
      <c r="A255" s="13"/>
      <c r="B255" s="3"/>
      <c r="C255" s="3"/>
      <c r="D255" s="3"/>
      <c r="E255" s="3"/>
      <c r="G255" s="93"/>
      <c r="I255" s="90"/>
      <c r="J255" s="13"/>
      <c r="K255" s="31"/>
      <c r="L255" s="13"/>
      <c r="M255" s="13"/>
    </row>
    <row r="256" spans="1:13" s="89" customFormat="1" x14ac:dyDescent="0.2">
      <c r="A256" s="13"/>
      <c r="B256" s="3"/>
      <c r="C256" s="3"/>
      <c r="D256" s="3"/>
      <c r="E256" s="3"/>
      <c r="G256" s="95"/>
      <c r="I256" s="90"/>
      <c r="J256" s="13"/>
      <c r="K256" s="31"/>
      <c r="L256" s="13"/>
      <c r="M256" s="13"/>
    </row>
    <row r="257" spans="1:13" s="89" customFormat="1" x14ac:dyDescent="0.2">
      <c r="A257" s="13"/>
      <c r="B257" s="3"/>
      <c r="C257" s="3"/>
      <c r="D257" s="3"/>
      <c r="E257" s="3"/>
      <c r="G257" s="97"/>
      <c r="I257" s="90"/>
      <c r="J257" s="13"/>
      <c r="K257" s="31"/>
      <c r="L257" s="13"/>
      <c r="M257" s="13"/>
    </row>
    <row r="258" spans="1:13" s="89" customFormat="1" x14ac:dyDescent="0.2">
      <c r="A258" s="13"/>
      <c r="B258" s="3"/>
      <c r="C258" s="3"/>
      <c r="D258" s="3"/>
      <c r="E258" s="3"/>
      <c r="G258" s="95"/>
      <c r="I258" s="90"/>
      <c r="J258" s="13"/>
      <c r="K258" s="31"/>
      <c r="L258" s="13"/>
      <c r="M258" s="13"/>
    </row>
    <row r="259" spans="1:13" s="13" customFormat="1" x14ac:dyDescent="0.2">
      <c r="B259" s="3"/>
      <c r="C259" s="3"/>
      <c r="D259" s="3"/>
      <c r="E259" s="3"/>
      <c r="F259" s="89"/>
      <c r="G259" s="3"/>
      <c r="H259" s="89"/>
      <c r="I259" s="90"/>
      <c r="K259" s="31"/>
    </row>
    <row r="260" spans="1:13" s="13" customFormat="1" x14ac:dyDescent="0.2">
      <c r="B260" s="3"/>
      <c r="C260" s="3"/>
      <c r="D260" s="3"/>
      <c r="E260" s="3"/>
      <c r="F260" s="89"/>
      <c r="G260" s="3"/>
      <c r="H260" s="89"/>
      <c r="I260" s="90"/>
      <c r="K260" s="31"/>
    </row>
    <row r="261" spans="1:13" s="13" customFormat="1" x14ac:dyDescent="0.2">
      <c r="B261" s="3"/>
      <c r="C261" s="3"/>
      <c r="D261" s="3"/>
      <c r="E261" s="3"/>
      <c r="F261" s="89"/>
      <c r="G261" s="3"/>
      <c r="H261" s="89"/>
      <c r="I261" s="90"/>
      <c r="K261" s="31"/>
    </row>
    <row r="262" spans="1:13" s="13" customFormat="1" x14ac:dyDescent="0.2">
      <c r="B262" s="3"/>
      <c r="C262" s="3"/>
      <c r="D262" s="3"/>
      <c r="E262" s="3"/>
      <c r="F262" s="89"/>
      <c r="G262" s="3"/>
      <c r="H262" s="89"/>
      <c r="I262" s="90"/>
      <c r="K262" s="31"/>
    </row>
    <row r="263" spans="1:13" s="13" customFormat="1" x14ac:dyDescent="0.2">
      <c r="B263" s="3"/>
      <c r="C263" s="3"/>
      <c r="D263" s="3"/>
      <c r="E263" s="3"/>
      <c r="F263" s="89"/>
      <c r="G263" s="3"/>
      <c r="H263" s="89"/>
      <c r="I263" s="90"/>
      <c r="K263" s="31"/>
    </row>
    <row r="264" spans="1:13" s="13" customFormat="1" x14ac:dyDescent="0.2">
      <c r="B264" s="3"/>
      <c r="C264" s="3"/>
      <c r="D264" s="3"/>
      <c r="E264" s="3"/>
      <c r="F264" s="89"/>
      <c r="G264" s="3"/>
      <c r="H264" s="89"/>
      <c r="I264" s="90"/>
      <c r="K264" s="31"/>
    </row>
    <row r="265" spans="1:13" s="13" customFormat="1" x14ac:dyDescent="0.2">
      <c r="B265" s="3"/>
      <c r="C265" s="3"/>
      <c r="D265" s="3"/>
      <c r="E265" s="3"/>
      <c r="F265" s="89"/>
      <c r="G265" s="3"/>
      <c r="H265" s="89"/>
      <c r="I265" s="90"/>
      <c r="K265" s="31"/>
    </row>
    <row r="266" spans="1:13" s="13" customFormat="1" x14ac:dyDescent="0.2">
      <c r="B266" s="3"/>
      <c r="C266" s="3"/>
      <c r="D266" s="3"/>
      <c r="E266" s="3"/>
      <c r="F266" s="89"/>
      <c r="G266" s="3"/>
      <c r="H266" s="89"/>
      <c r="I266" s="90"/>
      <c r="K266" s="31"/>
    </row>
    <row r="267" spans="1:13" s="13" customFormat="1" x14ac:dyDescent="0.2">
      <c r="B267" s="3"/>
      <c r="C267" s="3"/>
      <c r="D267" s="3"/>
      <c r="E267" s="3"/>
      <c r="F267" s="89"/>
      <c r="G267" s="3"/>
      <c r="H267" s="89"/>
      <c r="I267" s="90"/>
      <c r="K267" s="31"/>
    </row>
    <row r="268" spans="1:13" s="13" customFormat="1" x14ac:dyDescent="0.2">
      <c r="B268" s="3"/>
      <c r="C268" s="3"/>
      <c r="D268" s="3"/>
      <c r="E268" s="3"/>
      <c r="F268" s="89"/>
      <c r="G268" s="3"/>
      <c r="H268" s="89"/>
      <c r="I268" s="90"/>
      <c r="K268" s="31"/>
    </row>
    <row r="269" spans="1:13" s="13" customFormat="1" x14ac:dyDescent="0.2">
      <c r="B269" s="3"/>
      <c r="C269" s="3"/>
      <c r="D269" s="3"/>
      <c r="E269" s="3"/>
      <c r="F269" s="89"/>
      <c r="G269" s="3"/>
      <c r="H269" s="89"/>
      <c r="I269" s="90"/>
      <c r="K269" s="31"/>
    </row>
    <row r="270" spans="1:13" s="13" customFormat="1" x14ac:dyDescent="0.2">
      <c r="B270" s="3"/>
      <c r="C270" s="3"/>
      <c r="D270" s="3"/>
      <c r="E270" s="3"/>
      <c r="F270" s="89"/>
      <c r="G270" s="3"/>
      <c r="H270" s="89"/>
      <c r="I270" s="90"/>
      <c r="K270" s="31"/>
    </row>
    <row r="271" spans="1:13" s="13" customFormat="1" x14ac:dyDescent="0.2">
      <c r="B271" s="3"/>
      <c r="C271" s="3"/>
      <c r="D271" s="3"/>
      <c r="E271" s="3"/>
      <c r="F271" s="89"/>
      <c r="G271" s="3"/>
      <c r="H271" s="89"/>
      <c r="I271" s="90"/>
      <c r="K271" s="31"/>
    </row>
    <row r="272" spans="1:13" s="13" customFormat="1" x14ac:dyDescent="0.2">
      <c r="B272" s="3"/>
      <c r="C272" s="3"/>
      <c r="D272" s="3"/>
      <c r="E272" s="3"/>
      <c r="F272" s="89"/>
      <c r="G272" s="3"/>
      <c r="H272" s="89"/>
      <c r="I272" s="90"/>
      <c r="K272" s="31"/>
    </row>
    <row r="273" spans="2:11" s="13" customFormat="1" x14ac:dyDescent="0.2">
      <c r="B273" s="3"/>
      <c r="C273" s="3"/>
      <c r="D273" s="3"/>
      <c r="E273" s="3"/>
      <c r="F273" s="89"/>
      <c r="G273" s="3"/>
      <c r="H273" s="89"/>
      <c r="I273" s="90"/>
      <c r="K273" s="31"/>
    </row>
    <row r="274" spans="2:11" s="13" customFormat="1" x14ac:dyDescent="0.2">
      <c r="B274" s="3"/>
      <c r="C274" s="3"/>
      <c r="D274" s="3"/>
      <c r="E274" s="3"/>
      <c r="F274" s="89"/>
      <c r="G274" s="3"/>
      <c r="H274" s="89"/>
      <c r="I274" s="90"/>
      <c r="K274" s="31"/>
    </row>
    <row r="275" spans="2:11" s="13" customFormat="1" x14ac:dyDescent="0.2">
      <c r="B275" s="3"/>
      <c r="C275" s="3"/>
      <c r="D275" s="3"/>
      <c r="E275" s="3"/>
      <c r="F275" s="89"/>
      <c r="G275" s="3"/>
      <c r="H275" s="89"/>
      <c r="I275" s="90"/>
      <c r="K275" s="31"/>
    </row>
    <row r="276" spans="2:11" s="13" customFormat="1" x14ac:dyDescent="0.2">
      <c r="B276" s="3"/>
      <c r="C276" s="3"/>
      <c r="D276" s="3"/>
      <c r="E276" s="3"/>
      <c r="F276" s="89"/>
      <c r="G276" s="3"/>
      <c r="H276" s="89"/>
      <c r="I276" s="90"/>
      <c r="K276" s="31"/>
    </row>
    <row r="277" spans="2:11" s="13" customFormat="1" x14ac:dyDescent="0.2">
      <c r="B277" s="3"/>
      <c r="C277" s="3"/>
      <c r="D277" s="3"/>
      <c r="E277" s="3"/>
      <c r="F277" s="89"/>
      <c r="G277" s="3"/>
      <c r="H277" s="89"/>
      <c r="I277" s="90"/>
      <c r="K277" s="31"/>
    </row>
    <row r="278" spans="2:11" s="13" customFormat="1" x14ac:dyDescent="0.2">
      <c r="B278" s="3"/>
      <c r="C278" s="3"/>
      <c r="D278" s="3"/>
      <c r="E278" s="3"/>
      <c r="F278" s="89"/>
      <c r="G278" s="3"/>
      <c r="H278" s="89"/>
      <c r="I278" s="90"/>
      <c r="K278" s="31"/>
    </row>
    <row r="279" spans="2:11" s="13" customFormat="1" x14ac:dyDescent="0.2">
      <c r="B279" s="3"/>
      <c r="C279" s="3"/>
      <c r="D279" s="3"/>
      <c r="E279" s="3"/>
      <c r="F279" s="89"/>
      <c r="G279" s="3"/>
      <c r="H279" s="89"/>
      <c r="I279" s="90"/>
      <c r="K279" s="31"/>
    </row>
    <row r="280" spans="2:11" s="13" customFormat="1" x14ac:dyDescent="0.2">
      <c r="B280" s="3"/>
      <c r="C280" s="3"/>
      <c r="D280" s="3"/>
      <c r="E280" s="3"/>
      <c r="F280" s="89"/>
      <c r="G280" s="3"/>
      <c r="H280" s="89"/>
      <c r="I280" s="90"/>
      <c r="K280" s="31"/>
    </row>
    <row r="281" spans="2:11" s="13" customFormat="1" x14ac:dyDescent="0.2">
      <c r="B281" s="3"/>
      <c r="C281" s="3"/>
      <c r="D281" s="3"/>
      <c r="E281" s="3"/>
      <c r="F281" s="89"/>
      <c r="G281" s="3"/>
      <c r="H281" s="89"/>
      <c r="I281" s="90"/>
      <c r="K281" s="31"/>
    </row>
    <row r="282" spans="2:11" s="13" customFormat="1" x14ac:dyDescent="0.2">
      <c r="B282" s="3"/>
      <c r="C282" s="3"/>
      <c r="D282" s="3"/>
      <c r="E282" s="3"/>
      <c r="F282" s="89"/>
      <c r="G282" s="3"/>
      <c r="H282" s="89"/>
      <c r="I282" s="90"/>
      <c r="K282" s="31"/>
    </row>
    <row r="283" spans="2:11" s="13" customFormat="1" x14ac:dyDescent="0.2">
      <c r="B283" s="3"/>
      <c r="C283" s="3"/>
      <c r="D283" s="3"/>
      <c r="E283" s="3"/>
      <c r="F283" s="89"/>
      <c r="G283" s="3"/>
      <c r="H283" s="89"/>
      <c r="I283" s="90"/>
      <c r="K283" s="31"/>
    </row>
    <row r="284" spans="2:11" s="13" customFormat="1" x14ac:dyDescent="0.2">
      <c r="B284" s="3"/>
      <c r="C284" s="3"/>
      <c r="D284" s="3"/>
      <c r="E284" s="3"/>
      <c r="F284" s="89"/>
      <c r="G284" s="3"/>
      <c r="H284" s="89"/>
      <c r="I284" s="90"/>
      <c r="K284" s="31"/>
    </row>
    <row r="285" spans="2:11" s="13" customFormat="1" x14ac:dyDescent="0.2">
      <c r="B285" s="3"/>
      <c r="C285" s="3"/>
      <c r="D285" s="3"/>
      <c r="E285" s="3"/>
      <c r="F285" s="89"/>
      <c r="G285" s="3"/>
      <c r="H285" s="89"/>
      <c r="I285" s="90"/>
      <c r="K285" s="31"/>
    </row>
    <row r="286" spans="2:11" s="13" customFormat="1" x14ac:dyDescent="0.2">
      <c r="B286" s="3"/>
      <c r="C286" s="3"/>
      <c r="D286" s="3"/>
      <c r="E286" s="3"/>
      <c r="F286" s="89"/>
      <c r="G286" s="3"/>
      <c r="H286" s="89"/>
      <c r="I286" s="90"/>
      <c r="K286" s="31"/>
    </row>
    <row r="287" spans="2:11" s="13" customFormat="1" x14ac:dyDescent="0.2">
      <c r="B287" s="3"/>
      <c r="C287" s="3"/>
      <c r="D287" s="3"/>
      <c r="E287" s="3"/>
      <c r="F287" s="89"/>
      <c r="G287" s="3"/>
      <c r="H287" s="89"/>
      <c r="I287" s="90"/>
      <c r="K287" s="31"/>
    </row>
    <row r="288" spans="2:11" s="13" customFormat="1" x14ac:dyDescent="0.2">
      <c r="B288" s="3"/>
      <c r="C288" s="3"/>
      <c r="D288" s="3"/>
      <c r="E288" s="3"/>
      <c r="F288" s="89"/>
      <c r="G288" s="3"/>
      <c r="H288" s="89"/>
      <c r="I288" s="90"/>
      <c r="K288" s="31"/>
    </row>
    <row r="289" spans="2:11" s="13" customFormat="1" x14ac:dyDescent="0.2">
      <c r="B289" s="3"/>
      <c r="C289" s="3"/>
      <c r="D289" s="3"/>
      <c r="E289" s="3"/>
      <c r="F289" s="89"/>
      <c r="G289" s="3"/>
      <c r="H289" s="89"/>
      <c r="I289" s="90"/>
      <c r="K289" s="31"/>
    </row>
    <row r="290" spans="2:11" s="13" customFormat="1" x14ac:dyDescent="0.2">
      <c r="B290" s="3"/>
      <c r="C290" s="3"/>
      <c r="D290" s="3"/>
      <c r="E290" s="3"/>
      <c r="F290" s="89"/>
      <c r="G290" s="3"/>
      <c r="H290" s="89"/>
      <c r="I290" s="90"/>
      <c r="K290" s="31"/>
    </row>
    <row r="291" spans="2:11" s="13" customFormat="1" x14ac:dyDescent="0.2">
      <c r="B291" s="3"/>
      <c r="C291" s="3"/>
      <c r="D291" s="3"/>
      <c r="E291" s="3"/>
      <c r="F291" s="89"/>
      <c r="G291" s="3"/>
      <c r="H291" s="89"/>
      <c r="I291" s="90"/>
      <c r="K291" s="31"/>
    </row>
    <row r="292" spans="2:11" s="13" customFormat="1" x14ac:dyDescent="0.2">
      <c r="B292" s="3"/>
      <c r="C292" s="3"/>
      <c r="D292" s="3"/>
      <c r="E292" s="3"/>
      <c r="F292" s="89"/>
      <c r="G292" s="3"/>
      <c r="H292" s="89"/>
      <c r="I292" s="90"/>
      <c r="K292" s="31"/>
    </row>
    <row r="293" spans="2:11" s="13" customFormat="1" x14ac:dyDescent="0.2">
      <c r="B293" s="3"/>
      <c r="C293" s="3"/>
      <c r="D293" s="3"/>
      <c r="E293" s="3"/>
      <c r="F293" s="89"/>
      <c r="G293" s="3"/>
      <c r="H293" s="89"/>
      <c r="I293" s="90"/>
      <c r="K293" s="31"/>
    </row>
    <row r="294" spans="2:11" s="13" customFormat="1" x14ac:dyDescent="0.2">
      <c r="B294" s="3"/>
      <c r="C294" s="3"/>
      <c r="D294" s="3"/>
      <c r="E294" s="3"/>
      <c r="F294" s="89"/>
      <c r="G294" s="3"/>
      <c r="H294" s="89"/>
      <c r="I294" s="90"/>
      <c r="K294" s="31"/>
    </row>
    <row r="295" spans="2:11" s="13" customFormat="1" x14ac:dyDescent="0.2">
      <c r="B295" s="3"/>
      <c r="C295" s="3"/>
      <c r="D295" s="3"/>
      <c r="E295" s="3"/>
      <c r="F295" s="89"/>
      <c r="G295" s="3"/>
      <c r="H295" s="89"/>
      <c r="I295" s="90"/>
      <c r="K295" s="31"/>
    </row>
    <row r="296" spans="2:11" s="13" customFormat="1" x14ac:dyDescent="0.2">
      <c r="B296" s="3"/>
      <c r="C296" s="3"/>
      <c r="D296" s="3"/>
      <c r="E296" s="3"/>
      <c r="F296" s="89"/>
      <c r="G296" s="3"/>
      <c r="H296" s="89"/>
      <c r="I296" s="90"/>
      <c r="K296" s="31"/>
    </row>
    <row r="297" spans="2:11" s="13" customFormat="1" x14ac:dyDescent="0.2">
      <c r="B297" s="3"/>
      <c r="C297" s="3"/>
      <c r="D297" s="3"/>
      <c r="E297" s="3"/>
      <c r="F297" s="89"/>
      <c r="G297" s="3"/>
      <c r="H297" s="89"/>
      <c r="I297" s="90"/>
      <c r="K297" s="31"/>
    </row>
    <row r="298" spans="2:11" s="13" customFormat="1" x14ac:dyDescent="0.2">
      <c r="B298" s="3"/>
      <c r="C298" s="3"/>
      <c r="D298" s="3"/>
      <c r="E298" s="3"/>
      <c r="F298" s="89"/>
      <c r="G298" s="3"/>
      <c r="H298" s="89"/>
      <c r="I298" s="90"/>
      <c r="K298" s="31"/>
    </row>
    <row r="299" spans="2:11" s="13" customFormat="1" x14ac:dyDescent="0.2">
      <c r="B299" s="3"/>
      <c r="C299" s="3"/>
      <c r="D299" s="3"/>
      <c r="E299" s="3"/>
      <c r="F299" s="89"/>
      <c r="G299" s="3"/>
      <c r="H299" s="89"/>
      <c r="I299" s="90"/>
      <c r="K299" s="31"/>
    </row>
    <row r="300" spans="2:11" s="13" customFormat="1" x14ac:dyDescent="0.2">
      <c r="B300" s="3"/>
      <c r="C300" s="3"/>
      <c r="D300" s="3"/>
      <c r="E300" s="3"/>
      <c r="F300" s="89"/>
      <c r="G300" s="3"/>
      <c r="H300" s="89"/>
      <c r="I300" s="90"/>
      <c r="K300" s="31"/>
    </row>
    <row r="301" spans="2:11" s="13" customFormat="1" x14ac:dyDescent="0.2">
      <c r="B301" s="3"/>
      <c r="C301" s="3"/>
      <c r="D301" s="3"/>
      <c r="E301" s="3"/>
      <c r="F301" s="89"/>
      <c r="G301" s="3"/>
      <c r="H301" s="89"/>
      <c r="I301" s="90"/>
      <c r="K301" s="31"/>
    </row>
    <row r="302" spans="2:11" s="13" customFormat="1" x14ac:dyDescent="0.2">
      <c r="B302" s="3"/>
      <c r="C302" s="3"/>
      <c r="D302" s="3"/>
      <c r="E302" s="3"/>
      <c r="F302" s="89"/>
      <c r="G302" s="3"/>
      <c r="H302" s="89"/>
      <c r="I302" s="90"/>
      <c r="K302" s="31"/>
    </row>
    <row r="303" spans="2:11" s="13" customFormat="1" x14ac:dyDescent="0.2">
      <c r="B303" s="3"/>
      <c r="C303" s="3"/>
      <c r="D303" s="3"/>
      <c r="E303" s="3"/>
      <c r="F303" s="89"/>
      <c r="G303" s="3"/>
      <c r="H303" s="89"/>
      <c r="I303" s="90"/>
      <c r="K303" s="31"/>
    </row>
    <row r="304" spans="2:11" s="13" customFormat="1" x14ac:dyDescent="0.2">
      <c r="B304" s="3"/>
      <c r="C304" s="3"/>
      <c r="D304" s="3"/>
      <c r="E304" s="3"/>
      <c r="F304" s="89"/>
      <c r="G304" s="3"/>
      <c r="H304" s="89"/>
      <c r="I304" s="90"/>
      <c r="K304" s="31"/>
    </row>
    <row r="305" spans="2:11" s="13" customFormat="1" x14ac:dyDescent="0.2">
      <c r="B305" s="3"/>
      <c r="C305" s="3"/>
      <c r="D305" s="3"/>
      <c r="E305" s="3"/>
      <c r="F305" s="89"/>
      <c r="G305" s="3"/>
      <c r="H305" s="89"/>
      <c r="I305" s="90"/>
      <c r="K305" s="31"/>
    </row>
    <row r="306" spans="2:11" s="13" customFormat="1" x14ac:dyDescent="0.2">
      <c r="B306" s="3"/>
      <c r="C306" s="3"/>
      <c r="D306" s="3"/>
      <c r="E306" s="3"/>
      <c r="F306" s="89"/>
      <c r="G306" s="3"/>
      <c r="H306" s="89"/>
      <c r="I306" s="90"/>
      <c r="K306" s="31"/>
    </row>
    <row r="307" spans="2:11" s="13" customFormat="1" x14ac:dyDescent="0.2">
      <c r="B307" s="3"/>
      <c r="C307" s="3"/>
      <c r="D307" s="3"/>
      <c r="E307" s="3"/>
      <c r="F307" s="89"/>
      <c r="G307" s="3"/>
      <c r="H307" s="89"/>
      <c r="I307" s="90"/>
      <c r="K307" s="31"/>
    </row>
    <row r="308" spans="2:11" s="13" customFormat="1" x14ac:dyDescent="0.2">
      <c r="B308" s="3"/>
      <c r="C308" s="3"/>
      <c r="D308" s="3"/>
      <c r="E308" s="3"/>
      <c r="F308" s="89"/>
      <c r="G308" s="3"/>
      <c r="H308" s="89"/>
      <c r="I308" s="90"/>
      <c r="K308" s="31"/>
    </row>
    <row r="309" spans="2:11" s="13" customFormat="1" x14ac:dyDescent="0.2">
      <c r="B309" s="3"/>
      <c r="C309" s="3"/>
      <c r="D309" s="3"/>
      <c r="E309" s="3"/>
      <c r="F309" s="89"/>
      <c r="G309" s="3"/>
      <c r="H309" s="89"/>
      <c r="I309" s="90"/>
      <c r="K309" s="31"/>
    </row>
    <row r="310" spans="2:11" s="13" customFormat="1" x14ac:dyDescent="0.2">
      <c r="B310" s="3"/>
      <c r="C310" s="3"/>
      <c r="D310" s="3"/>
      <c r="E310" s="3"/>
      <c r="F310" s="89"/>
      <c r="G310" s="3"/>
      <c r="H310" s="89"/>
      <c r="I310" s="90"/>
      <c r="K310" s="31"/>
    </row>
    <row r="311" spans="2:11" s="13" customFormat="1" x14ac:dyDescent="0.2">
      <c r="B311" s="3"/>
      <c r="C311" s="3"/>
      <c r="D311" s="3"/>
      <c r="E311" s="3"/>
      <c r="F311" s="89"/>
      <c r="G311" s="3"/>
      <c r="H311" s="89"/>
      <c r="I311" s="90"/>
      <c r="K311" s="31"/>
    </row>
    <row r="312" spans="2:11" s="13" customFormat="1" x14ac:dyDescent="0.2">
      <c r="B312" s="3"/>
      <c r="C312" s="3"/>
      <c r="D312" s="3"/>
      <c r="E312" s="3"/>
      <c r="F312" s="89"/>
      <c r="G312" s="3"/>
      <c r="H312" s="89"/>
      <c r="I312" s="90"/>
      <c r="K312" s="31"/>
    </row>
    <row r="313" spans="2:11" s="13" customFormat="1" x14ac:dyDescent="0.2">
      <c r="B313" s="3"/>
      <c r="C313" s="3"/>
      <c r="D313" s="3"/>
      <c r="E313" s="3"/>
      <c r="F313" s="89"/>
      <c r="G313" s="3"/>
      <c r="H313" s="89"/>
      <c r="I313" s="90"/>
      <c r="K313" s="31"/>
    </row>
    <row r="314" spans="2:11" s="13" customFormat="1" x14ac:dyDescent="0.2">
      <c r="B314" s="3"/>
      <c r="C314" s="3"/>
      <c r="D314" s="3"/>
      <c r="E314" s="3"/>
      <c r="F314" s="89"/>
      <c r="G314" s="3"/>
      <c r="H314" s="89"/>
      <c r="I314" s="90"/>
      <c r="K314" s="31"/>
    </row>
    <row r="315" spans="2:11" s="13" customFormat="1" x14ac:dyDescent="0.2">
      <c r="B315" s="3"/>
      <c r="C315" s="3"/>
      <c r="D315" s="3"/>
      <c r="E315" s="3"/>
      <c r="F315" s="89"/>
      <c r="G315" s="3"/>
      <c r="H315" s="89"/>
      <c r="I315" s="90"/>
      <c r="K315" s="31"/>
    </row>
    <row r="316" spans="2:11" s="13" customFormat="1" x14ac:dyDescent="0.2">
      <c r="B316" s="3"/>
      <c r="C316" s="3"/>
      <c r="D316" s="3"/>
      <c r="E316" s="3"/>
      <c r="F316" s="89"/>
      <c r="G316" s="3"/>
      <c r="H316" s="89"/>
      <c r="I316" s="90"/>
      <c r="K316" s="31"/>
    </row>
    <row r="317" spans="2:11" s="13" customFormat="1" x14ac:dyDescent="0.2">
      <c r="B317" s="3"/>
      <c r="C317" s="3"/>
      <c r="D317" s="3"/>
      <c r="E317" s="3"/>
      <c r="F317" s="89"/>
      <c r="G317" s="3"/>
      <c r="H317" s="89"/>
      <c r="I317" s="90"/>
      <c r="K317" s="31"/>
    </row>
  </sheetData>
  <mergeCells count="46">
    <mergeCell ref="G45:H45"/>
    <mergeCell ref="G46:H46"/>
    <mergeCell ref="G47:H47"/>
    <mergeCell ref="G48:H48"/>
    <mergeCell ref="G39:H39"/>
    <mergeCell ref="G40:H40"/>
    <mergeCell ref="G41:H41"/>
    <mergeCell ref="G42:H42"/>
    <mergeCell ref="G43:H43"/>
    <mergeCell ref="G44:H44"/>
    <mergeCell ref="B46:B48"/>
    <mergeCell ref="C46:C48"/>
    <mergeCell ref="D46:D48"/>
    <mergeCell ref="E39:F39"/>
    <mergeCell ref="E40:F42"/>
    <mergeCell ref="E43:F45"/>
    <mergeCell ref="E46:F48"/>
    <mergeCell ref="B40:B42"/>
    <mergeCell ref="C40:C42"/>
    <mergeCell ref="D40:D42"/>
    <mergeCell ref="B43:B45"/>
    <mergeCell ref="C43:C45"/>
    <mergeCell ref="D43:D45"/>
    <mergeCell ref="B27:B31"/>
    <mergeCell ref="C27:C31"/>
    <mergeCell ref="D27:D31"/>
    <mergeCell ref="E27:E31"/>
    <mergeCell ref="B32:B37"/>
    <mergeCell ref="C32:C37"/>
    <mergeCell ref="D32:D37"/>
    <mergeCell ref="E32:E37"/>
    <mergeCell ref="B21:B26"/>
    <mergeCell ref="C21:C26"/>
    <mergeCell ref="D21:D26"/>
    <mergeCell ref="E21:E26"/>
    <mergeCell ref="B2:J2"/>
    <mergeCell ref="B4:J4"/>
    <mergeCell ref="B6:H8"/>
    <mergeCell ref="I6:J6"/>
    <mergeCell ref="I7:J8"/>
    <mergeCell ref="C10:J10"/>
    <mergeCell ref="C11:J11"/>
    <mergeCell ref="B14:B20"/>
    <mergeCell ref="C14:C20"/>
    <mergeCell ref="D14:D20"/>
    <mergeCell ref="E14:E20"/>
  </mergeCells>
  <conditionalFormatting sqref="I1 I49:I1048576">
    <cfRule type="cellIs" dxfId="327" priority="14" operator="equal">
      <formula>1</formula>
    </cfRule>
  </conditionalFormatting>
  <conditionalFormatting sqref="I7">
    <cfRule type="cellIs" dxfId="326" priority="13" operator="equal">
      <formula>1</formula>
    </cfRule>
  </conditionalFormatting>
  <conditionalFormatting sqref="I40:I48">
    <cfRule type="expression" dxfId="163" priority="5" stopIfTrue="1">
      <formula>TRIM(UPPER(I40))="N/A"</formula>
    </cfRule>
    <cfRule type="expression" dxfId="162" priority="6">
      <formula>I40&gt;=0.9</formula>
    </cfRule>
    <cfRule type="expression" dxfId="161" priority="7">
      <formula>AND(I40&gt;=0.8, I40&lt;0.9)</formula>
    </cfRule>
    <cfRule type="expression" dxfId="160" priority="8">
      <formula>I40&lt;0.8</formula>
    </cfRule>
  </conditionalFormatting>
  <conditionalFormatting sqref="I14:I37">
    <cfRule type="expression" dxfId="159" priority="1" stopIfTrue="1">
      <formula>TRIM(UPPER(I14))="N/A"</formula>
    </cfRule>
    <cfRule type="expression" dxfId="158" priority="2">
      <formula>I14&gt;=0.9</formula>
    </cfRule>
    <cfRule type="expression" dxfId="157" priority="3">
      <formula>AND(I14&gt;=0.8, I14&lt;0.9)</formula>
    </cfRule>
    <cfRule type="expression" dxfId="156" priority="4">
      <formula>I14&lt;0.8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BF342DA-ED9F-384A-9DF5-8D253BDDB3D8}">
          <x14:formula1>
            <xm:f>'Listas desplegables'!$C$4:$C$15</xm:f>
          </x14:formula1>
          <xm:sqref>I40:I48 I14:I37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AE05B-66DE-4EA9-A56D-A8D305457A10}">
  <sheetPr>
    <tabColor rgb="FF0098AA"/>
  </sheetPr>
  <dimension ref="A1:X293"/>
  <sheetViews>
    <sheetView showGridLines="0" zoomScale="80" zoomScaleNormal="80" workbookViewId="0">
      <selection activeCell="L11" sqref="L11"/>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57" t="s">
        <v>1101</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AVERAGEIF(I14:I39,"&lt;&gt;N/A")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108" customHeight="1" x14ac:dyDescent="0.2">
      <c r="B10" s="40" t="s">
        <v>13</v>
      </c>
      <c r="C10" s="147" t="s">
        <v>1102</v>
      </c>
      <c r="D10" s="148"/>
      <c r="E10" s="148"/>
      <c r="F10" s="148"/>
      <c r="G10" s="148"/>
      <c r="H10" s="148"/>
      <c r="I10" s="148"/>
      <c r="J10" s="149"/>
    </row>
    <row r="11" spans="2:12" ht="88.25" customHeight="1" x14ac:dyDescent="0.2">
      <c r="B11" s="39" t="s">
        <v>14</v>
      </c>
      <c r="C11" s="150" t="s">
        <v>1103</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190.75" customHeight="1" x14ac:dyDescent="0.2">
      <c r="B14" s="151" t="s">
        <v>86</v>
      </c>
      <c r="C14" s="151" t="s">
        <v>19</v>
      </c>
      <c r="D14" s="153" t="s">
        <v>1104</v>
      </c>
      <c r="E14" s="153" t="s">
        <v>1105</v>
      </c>
      <c r="F14" s="22" t="s">
        <v>2430</v>
      </c>
      <c r="G14" s="12" t="s">
        <v>36</v>
      </c>
      <c r="H14" s="34" t="s">
        <v>2424</v>
      </c>
      <c r="I14" s="28" t="s">
        <v>10</v>
      </c>
      <c r="J14" s="11"/>
      <c r="K14" s="33"/>
      <c r="L14" s="29"/>
    </row>
    <row r="15" spans="2:12" ht="54" customHeight="1" x14ac:dyDescent="0.2">
      <c r="B15" s="152"/>
      <c r="C15" s="152"/>
      <c r="D15" s="154"/>
      <c r="E15" s="154"/>
      <c r="F15" s="22" t="s">
        <v>2431</v>
      </c>
      <c r="G15" s="12" t="s">
        <v>35</v>
      </c>
      <c r="H15" s="34" t="s">
        <v>2425</v>
      </c>
      <c r="I15" s="28" t="s">
        <v>10</v>
      </c>
      <c r="J15" s="11"/>
      <c r="K15" s="33"/>
      <c r="L15" s="29"/>
    </row>
    <row r="16" spans="2:12" ht="54" customHeight="1" x14ac:dyDescent="0.2">
      <c r="B16" s="152"/>
      <c r="C16" s="152"/>
      <c r="D16" s="154"/>
      <c r="E16" s="154"/>
      <c r="F16" s="22" t="s">
        <v>2432</v>
      </c>
      <c r="G16" s="12" t="s">
        <v>43</v>
      </c>
      <c r="H16" s="34" t="s">
        <v>2425</v>
      </c>
      <c r="I16" s="28" t="s">
        <v>10</v>
      </c>
      <c r="J16" s="11"/>
      <c r="K16" s="33"/>
      <c r="L16" s="29"/>
    </row>
    <row r="17" spans="2:12" ht="54" customHeight="1" x14ac:dyDescent="0.2">
      <c r="B17" s="152"/>
      <c r="C17" s="152"/>
      <c r="D17" s="154"/>
      <c r="E17" s="154"/>
      <c r="F17" s="22" t="s">
        <v>2433</v>
      </c>
      <c r="G17" s="12" t="s">
        <v>36</v>
      </c>
      <c r="H17" s="34" t="s">
        <v>2426</v>
      </c>
      <c r="I17" s="28" t="s">
        <v>10</v>
      </c>
      <c r="J17" s="11"/>
      <c r="K17" s="33"/>
      <c r="L17" s="29"/>
    </row>
    <row r="18" spans="2:12" ht="91" customHeight="1" x14ac:dyDescent="0.2">
      <c r="B18" s="173"/>
      <c r="C18" s="173"/>
      <c r="D18" s="184"/>
      <c r="E18" s="184"/>
      <c r="F18" s="22" t="s">
        <v>2434</v>
      </c>
      <c r="G18" s="12" t="s">
        <v>43</v>
      </c>
      <c r="H18" s="34" t="s">
        <v>2427</v>
      </c>
      <c r="I18" s="28" t="s">
        <v>10</v>
      </c>
      <c r="J18" s="11"/>
      <c r="K18" s="33"/>
      <c r="L18" s="29"/>
    </row>
    <row r="19" spans="2:12" ht="56.5" customHeight="1" x14ac:dyDescent="0.2">
      <c r="B19" s="143" t="s">
        <v>1106</v>
      </c>
      <c r="C19" s="143" t="s">
        <v>20</v>
      </c>
      <c r="D19" s="145" t="s">
        <v>1107</v>
      </c>
      <c r="E19" s="145" t="s">
        <v>1108</v>
      </c>
      <c r="F19" s="23" t="s">
        <v>2435</v>
      </c>
      <c r="G19" s="41" t="s">
        <v>36</v>
      </c>
      <c r="H19" s="35" t="s">
        <v>2428</v>
      </c>
      <c r="I19" s="28" t="s">
        <v>10</v>
      </c>
      <c r="J19" s="36"/>
      <c r="K19" s="37"/>
      <c r="L19" s="38"/>
    </row>
    <row r="20" spans="2:12" ht="81" customHeight="1" x14ac:dyDescent="0.2">
      <c r="B20" s="144"/>
      <c r="C20" s="144"/>
      <c r="D20" s="146"/>
      <c r="E20" s="146"/>
      <c r="F20" s="23" t="s">
        <v>2436</v>
      </c>
      <c r="G20" s="41" t="s">
        <v>43</v>
      </c>
      <c r="H20" s="35" t="s">
        <v>2429</v>
      </c>
      <c r="I20" s="28" t="s">
        <v>10</v>
      </c>
      <c r="J20" s="36"/>
      <c r="K20" s="37"/>
      <c r="L20" s="38"/>
    </row>
    <row r="21" spans="2:12" ht="81" customHeight="1" x14ac:dyDescent="0.2">
      <c r="B21" s="144"/>
      <c r="C21" s="144"/>
      <c r="D21" s="146"/>
      <c r="E21" s="146"/>
      <c r="F21" s="23" t="s">
        <v>1109</v>
      </c>
      <c r="G21" s="41" t="s">
        <v>39</v>
      </c>
      <c r="H21" s="35" t="s">
        <v>2454</v>
      </c>
      <c r="I21" s="28" t="s">
        <v>10</v>
      </c>
      <c r="J21" s="36"/>
      <c r="K21" s="37"/>
      <c r="L21" s="38"/>
    </row>
    <row r="22" spans="2:12" ht="81" customHeight="1" x14ac:dyDescent="0.2">
      <c r="B22" s="144"/>
      <c r="C22" s="144"/>
      <c r="D22" s="146"/>
      <c r="E22" s="146"/>
      <c r="F22" s="23" t="s">
        <v>2437</v>
      </c>
      <c r="G22" s="41" t="s">
        <v>36</v>
      </c>
      <c r="H22" s="35" t="s">
        <v>2455</v>
      </c>
      <c r="I22" s="28" t="s">
        <v>10</v>
      </c>
      <c r="J22" s="36"/>
      <c r="K22" s="37"/>
      <c r="L22" s="38"/>
    </row>
    <row r="23" spans="2:12" ht="83.5" customHeight="1" x14ac:dyDescent="0.2">
      <c r="B23" s="144"/>
      <c r="C23" s="144"/>
      <c r="D23" s="146"/>
      <c r="E23" s="146"/>
      <c r="F23" s="23" t="s">
        <v>2438</v>
      </c>
      <c r="G23" s="41" t="s">
        <v>43</v>
      </c>
      <c r="H23" s="35" t="s">
        <v>2456</v>
      </c>
      <c r="I23" s="28" t="s">
        <v>10</v>
      </c>
      <c r="J23" s="36"/>
      <c r="K23" s="37"/>
      <c r="L23" s="38"/>
    </row>
    <row r="24" spans="2:12" ht="54" customHeight="1" x14ac:dyDescent="0.2">
      <c r="B24" s="151" t="s">
        <v>1106</v>
      </c>
      <c r="C24" s="151" t="s">
        <v>21</v>
      </c>
      <c r="D24" s="153" t="s">
        <v>1110</v>
      </c>
      <c r="E24" s="153" t="s">
        <v>1111</v>
      </c>
      <c r="F24" s="22" t="s">
        <v>2439</v>
      </c>
      <c r="G24" s="12" t="s">
        <v>39</v>
      </c>
      <c r="H24" s="34" t="s">
        <v>2457</v>
      </c>
      <c r="I24" s="28" t="s">
        <v>10</v>
      </c>
      <c r="J24" s="11"/>
      <c r="K24" s="33"/>
      <c r="L24" s="29"/>
    </row>
    <row r="25" spans="2:12" ht="54" customHeight="1" x14ac:dyDescent="0.2">
      <c r="B25" s="152"/>
      <c r="C25" s="152"/>
      <c r="D25" s="154"/>
      <c r="E25" s="154"/>
      <c r="F25" s="22" t="s">
        <v>2440</v>
      </c>
      <c r="G25" s="12" t="s">
        <v>43</v>
      </c>
      <c r="H25" s="34" t="s">
        <v>2458</v>
      </c>
      <c r="I25" s="28" t="s">
        <v>10</v>
      </c>
      <c r="J25" s="11"/>
      <c r="K25" s="33"/>
      <c r="L25" s="29"/>
    </row>
    <row r="26" spans="2:12" ht="54" customHeight="1" x14ac:dyDescent="0.2">
      <c r="B26" s="152"/>
      <c r="C26" s="152"/>
      <c r="D26" s="154"/>
      <c r="E26" s="154"/>
      <c r="F26" s="22" t="s">
        <v>2441</v>
      </c>
      <c r="G26" s="12" t="s">
        <v>43</v>
      </c>
      <c r="H26" s="34" t="s">
        <v>2459</v>
      </c>
      <c r="I26" s="28" t="s">
        <v>10</v>
      </c>
      <c r="J26" s="11"/>
      <c r="K26" s="33"/>
      <c r="L26" s="29"/>
    </row>
    <row r="27" spans="2:12" ht="54" customHeight="1" x14ac:dyDescent="0.2">
      <c r="B27" s="152"/>
      <c r="C27" s="152"/>
      <c r="D27" s="154"/>
      <c r="E27" s="154"/>
      <c r="F27" s="22" t="s">
        <v>2442</v>
      </c>
      <c r="G27" s="12" t="s">
        <v>43</v>
      </c>
      <c r="H27" s="34" t="s">
        <v>2460</v>
      </c>
      <c r="I27" s="28" t="s">
        <v>10</v>
      </c>
      <c r="J27" s="11"/>
      <c r="K27" s="33"/>
      <c r="L27" s="29"/>
    </row>
    <row r="28" spans="2:12" ht="74.5" customHeight="1" x14ac:dyDescent="0.2">
      <c r="B28" s="152"/>
      <c r="C28" s="152"/>
      <c r="D28" s="154"/>
      <c r="E28" s="154"/>
      <c r="F28" s="22" t="s">
        <v>1112</v>
      </c>
      <c r="G28" s="12" t="s">
        <v>43</v>
      </c>
      <c r="H28" s="34" t="s">
        <v>2461</v>
      </c>
      <c r="I28" s="28" t="s">
        <v>10</v>
      </c>
      <c r="J28" s="11"/>
      <c r="K28" s="33"/>
      <c r="L28" s="29"/>
    </row>
    <row r="29" spans="2:12" ht="89.5" customHeight="1" x14ac:dyDescent="0.2">
      <c r="B29" s="143" t="s">
        <v>1106</v>
      </c>
      <c r="C29" s="143" t="s">
        <v>22</v>
      </c>
      <c r="D29" s="145" t="s">
        <v>1113</v>
      </c>
      <c r="E29" s="145" t="s">
        <v>1114</v>
      </c>
      <c r="F29" s="23" t="s">
        <v>2443</v>
      </c>
      <c r="G29" s="41" t="s">
        <v>36</v>
      </c>
      <c r="H29" s="35" t="s">
        <v>2462</v>
      </c>
      <c r="I29" s="28" t="s">
        <v>10</v>
      </c>
      <c r="J29" s="36"/>
      <c r="K29" s="37"/>
      <c r="L29" s="38"/>
    </row>
    <row r="30" spans="2:12" ht="76.75" customHeight="1" x14ac:dyDescent="0.2">
      <c r="B30" s="144"/>
      <c r="C30" s="144"/>
      <c r="D30" s="146"/>
      <c r="E30" s="146"/>
      <c r="F30" s="23" t="s">
        <v>2444</v>
      </c>
      <c r="G30" s="41" t="s">
        <v>35</v>
      </c>
      <c r="H30" s="35" t="s">
        <v>2463</v>
      </c>
      <c r="I30" s="28" t="s">
        <v>10</v>
      </c>
      <c r="J30" s="36"/>
      <c r="K30" s="37"/>
      <c r="L30" s="38"/>
    </row>
    <row r="31" spans="2:12" ht="54" customHeight="1" x14ac:dyDescent="0.2">
      <c r="B31" s="144"/>
      <c r="C31" s="144"/>
      <c r="D31" s="146"/>
      <c r="E31" s="146"/>
      <c r="F31" s="23" t="s">
        <v>2445</v>
      </c>
      <c r="G31" s="41" t="s">
        <v>35</v>
      </c>
      <c r="H31" s="35" t="s">
        <v>2464</v>
      </c>
      <c r="I31" s="28" t="s">
        <v>10</v>
      </c>
      <c r="J31" s="36"/>
      <c r="K31" s="37"/>
      <c r="L31" s="38"/>
    </row>
    <row r="32" spans="2:12" ht="54" customHeight="1" x14ac:dyDescent="0.2">
      <c r="B32" s="144"/>
      <c r="C32" s="144"/>
      <c r="D32" s="146"/>
      <c r="E32" s="146"/>
      <c r="F32" s="23" t="s">
        <v>2446</v>
      </c>
      <c r="G32" s="41" t="s">
        <v>39</v>
      </c>
      <c r="H32" s="35" t="s">
        <v>2465</v>
      </c>
      <c r="I32" s="28" t="s">
        <v>10</v>
      </c>
      <c r="J32" s="36"/>
      <c r="K32" s="37"/>
      <c r="L32" s="38"/>
    </row>
    <row r="33" spans="2:24" ht="100.75" customHeight="1" x14ac:dyDescent="0.2">
      <c r="B33" s="144"/>
      <c r="C33" s="144"/>
      <c r="D33" s="146"/>
      <c r="E33" s="146"/>
      <c r="F33" s="23" t="s">
        <v>2447</v>
      </c>
      <c r="G33" s="41" t="s">
        <v>35</v>
      </c>
      <c r="H33" s="35" t="s">
        <v>2466</v>
      </c>
      <c r="I33" s="28" t="s">
        <v>10</v>
      </c>
      <c r="J33" s="36"/>
      <c r="K33" s="37"/>
      <c r="L33" s="38"/>
    </row>
    <row r="34" spans="2:24" ht="54" customHeight="1" x14ac:dyDescent="0.2">
      <c r="B34" s="144"/>
      <c r="C34" s="144"/>
      <c r="D34" s="146"/>
      <c r="E34" s="146"/>
      <c r="F34" s="23" t="s">
        <v>2448</v>
      </c>
      <c r="G34" s="41" t="s">
        <v>39</v>
      </c>
      <c r="H34" s="35" t="s">
        <v>2467</v>
      </c>
      <c r="I34" s="28" t="s">
        <v>10</v>
      </c>
      <c r="J34" s="36"/>
      <c r="K34" s="37"/>
      <c r="L34" s="38"/>
    </row>
    <row r="35" spans="2:24" ht="54" customHeight="1" x14ac:dyDescent="0.2">
      <c r="B35" s="151" t="s">
        <v>1106</v>
      </c>
      <c r="C35" s="151" t="s">
        <v>23</v>
      </c>
      <c r="D35" s="167" t="s">
        <v>635</v>
      </c>
      <c r="E35" s="167" t="s">
        <v>1115</v>
      </c>
      <c r="F35" s="22" t="s">
        <v>2449</v>
      </c>
      <c r="G35" s="12" t="s">
        <v>36</v>
      </c>
      <c r="H35" s="34" t="s">
        <v>2468</v>
      </c>
      <c r="I35" s="28" t="s">
        <v>10</v>
      </c>
      <c r="J35" s="11"/>
      <c r="K35" s="33"/>
      <c r="L35" s="29"/>
    </row>
    <row r="36" spans="2:24" ht="54" customHeight="1" x14ac:dyDescent="0.2">
      <c r="B36" s="152"/>
      <c r="C36" s="152"/>
      <c r="D36" s="168"/>
      <c r="E36" s="168"/>
      <c r="F36" s="22" t="s">
        <v>2450</v>
      </c>
      <c r="G36" s="12" t="s">
        <v>43</v>
      </c>
      <c r="H36" s="34" t="s">
        <v>2469</v>
      </c>
      <c r="I36" s="28" t="s">
        <v>10</v>
      </c>
      <c r="J36" s="11"/>
      <c r="K36" s="33"/>
      <c r="L36" s="29"/>
    </row>
    <row r="37" spans="2:24" ht="54" customHeight="1" x14ac:dyDescent="0.2">
      <c r="B37" s="152"/>
      <c r="C37" s="152"/>
      <c r="D37" s="168"/>
      <c r="E37" s="168"/>
      <c r="F37" s="22" t="s">
        <v>2451</v>
      </c>
      <c r="G37" s="12" t="s">
        <v>43</v>
      </c>
      <c r="H37" s="34" t="s">
        <v>2470</v>
      </c>
      <c r="I37" s="28" t="s">
        <v>10</v>
      </c>
      <c r="J37" s="11"/>
      <c r="K37" s="33"/>
      <c r="L37" s="29"/>
    </row>
    <row r="38" spans="2:24" ht="54" customHeight="1" x14ac:dyDescent="0.2">
      <c r="B38" s="152"/>
      <c r="C38" s="152"/>
      <c r="D38" s="168"/>
      <c r="E38" s="168"/>
      <c r="F38" s="22" t="s">
        <v>2452</v>
      </c>
      <c r="G38" s="12" t="s">
        <v>36</v>
      </c>
      <c r="H38" s="34" t="s">
        <v>2471</v>
      </c>
      <c r="I38" s="28" t="s">
        <v>10</v>
      </c>
      <c r="J38" s="11"/>
      <c r="K38" s="33"/>
      <c r="L38" s="29"/>
    </row>
    <row r="39" spans="2:24" ht="54" customHeight="1" x14ac:dyDescent="0.2">
      <c r="B39" s="152"/>
      <c r="C39" s="152"/>
      <c r="D39" s="168"/>
      <c r="E39" s="168"/>
      <c r="F39" s="22" t="s">
        <v>2453</v>
      </c>
      <c r="G39" s="12" t="s">
        <v>43</v>
      </c>
      <c r="H39" s="34" t="s">
        <v>2472</v>
      </c>
      <c r="I39" s="28" t="s">
        <v>10</v>
      </c>
      <c r="J39" s="11"/>
      <c r="K39" s="33"/>
      <c r="L39" s="29"/>
    </row>
    <row r="40" spans="2:24" ht="5.25" customHeight="1" x14ac:dyDescent="0.2"/>
    <row r="41" spans="2:24" ht="31" customHeight="1" x14ac:dyDescent="0.2">
      <c r="B41" s="69" t="s">
        <v>34</v>
      </c>
      <c r="C41" s="69" t="s">
        <v>258</v>
      </c>
      <c r="D41" s="69" t="s">
        <v>259</v>
      </c>
      <c r="E41" s="169" t="s">
        <v>32</v>
      </c>
      <c r="F41" s="170"/>
      <c r="G41" s="169" t="s">
        <v>16</v>
      </c>
      <c r="H41" s="170"/>
      <c r="I41" s="71" t="s">
        <v>8</v>
      </c>
      <c r="J41" s="69" t="s">
        <v>17</v>
      </c>
      <c r="K41" s="72" t="s">
        <v>44</v>
      </c>
      <c r="L41" s="69" t="s">
        <v>45</v>
      </c>
    </row>
    <row r="42" spans="2:24" ht="81.5" customHeight="1" x14ac:dyDescent="0.2">
      <c r="B42" s="151" t="s">
        <v>1106</v>
      </c>
      <c r="C42" s="151" t="s">
        <v>260</v>
      </c>
      <c r="D42" s="185" t="s">
        <v>1116</v>
      </c>
      <c r="E42" s="129" t="s">
        <v>2295</v>
      </c>
      <c r="F42" s="130"/>
      <c r="G42" s="127" t="s">
        <v>2265</v>
      </c>
      <c r="H42" s="128"/>
      <c r="I42" s="28" t="s">
        <v>10</v>
      </c>
      <c r="J42" s="11"/>
      <c r="K42" s="33"/>
      <c r="L42" s="29"/>
      <c r="M42" s="13"/>
      <c r="N42" s="13"/>
      <c r="O42" s="13"/>
      <c r="P42" s="13"/>
      <c r="Q42" s="13"/>
      <c r="R42" s="13"/>
      <c r="S42" s="13"/>
      <c r="T42" s="13"/>
      <c r="U42" s="13"/>
      <c r="V42" s="13"/>
      <c r="W42" s="13"/>
      <c r="X42" s="13"/>
    </row>
    <row r="43" spans="2:24" ht="81.5" customHeight="1" x14ac:dyDescent="0.2">
      <c r="B43" s="152"/>
      <c r="C43" s="152"/>
      <c r="D43" s="186"/>
      <c r="E43" s="131"/>
      <c r="F43" s="132"/>
      <c r="G43" s="127" t="s">
        <v>2266</v>
      </c>
      <c r="H43" s="128"/>
      <c r="I43" s="28" t="s">
        <v>10</v>
      </c>
      <c r="J43" s="11"/>
      <c r="K43" s="33"/>
      <c r="L43" s="29"/>
      <c r="M43" s="13"/>
      <c r="N43" s="13"/>
      <c r="O43" s="13"/>
      <c r="P43" s="13"/>
      <c r="Q43" s="13"/>
      <c r="R43" s="13"/>
      <c r="S43" s="13"/>
      <c r="T43" s="13"/>
      <c r="U43" s="13"/>
      <c r="V43" s="13"/>
      <c r="W43" s="13"/>
      <c r="X43" s="13"/>
    </row>
    <row r="44" spans="2:24" ht="81.5" customHeight="1" x14ac:dyDescent="0.2">
      <c r="B44" s="152"/>
      <c r="C44" s="152"/>
      <c r="D44" s="186"/>
      <c r="E44" s="133"/>
      <c r="F44" s="134"/>
      <c r="G44" s="127" t="s">
        <v>2267</v>
      </c>
      <c r="H44" s="128"/>
      <c r="I44" s="28" t="s">
        <v>10</v>
      </c>
      <c r="J44" s="11"/>
      <c r="K44" s="33"/>
      <c r="L44" s="29"/>
      <c r="M44" s="13"/>
      <c r="N44" s="13"/>
      <c r="O44" s="13"/>
      <c r="P44" s="13"/>
      <c r="Q44" s="13"/>
      <c r="R44" s="13"/>
      <c r="S44" s="13"/>
      <c r="T44" s="13"/>
      <c r="U44" s="13"/>
      <c r="V44" s="13"/>
      <c r="W44" s="13"/>
      <c r="X44" s="13"/>
    </row>
    <row r="45" spans="2:24" ht="82" customHeight="1" x14ac:dyDescent="0.2">
      <c r="B45" s="143" t="s">
        <v>1106</v>
      </c>
      <c r="C45" s="143" t="s">
        <v>261</v>
      </c>
      <c r="D45" s="181" t="s">
        <v>1117</v>
      </c>
      <c r="E45" s="135" t="s">
        <v>2296</v>
      </c>
      <c r="F45" s="136"/>
      <c r="G45" s="141" t="s">
        <v>2268</v>
      </c>
      <c r="H45" s="142"/>
      <c r="I45" s="28" t="s">
        <v>10</v>
      </c>
      <c r="J45" s="36"/>
      <c r="K45" s="37"/>
      <c r="L45" s="38"/>
      <c r="M45" s="13"/>
      <c r="N45" s="13"/>
      <c r="O45" s="13"/>
      <c r="P45" s="13"/>
      <c r="Q45" s="13"/>
      <c r="R45" s="13"/>
      <c r="S45" s="13"/>
      <c r="T45" s="13"/>
      <c r="U45" s="13"/>
      <c r="V45" s="13"/>
      <c r="W45" s="13"/>
      <c r="X45" s="13"/>
    </row>
    <row r="46" spans="2:24" ht="76" customHeight="1" x14ac:dyDescent="0.2">
      <c r="B46" s="144"/>
      <c r="C46" s="144"/>
      <c r="D46" s="182"/>
      <c r="E46" s="137"/>
      <c r="F46" s="138"/>
      <c r="G46" s="141" t="s">
        <v>2269</v>
      </c>
      <c r="H46" s="142"/>
      <c r="I46" s="28" t="s">
        <v>10</v>
      </c>
      <c r="J46" s="36"/>
      <c r="K46" s="37"/>
      <c r="L46" s="38"/>
      <c r="M46" s="13"/>
      <c r="N46" s="13"/>
      <c r="O46" s="13"/>
      <c r="P46" s="13"/>
      <c r="Q46" s="13"/>
      <c r="R46" s="13"/>
      <c r="S46" s="13"/>
      <c r="T46" s="13"/>
      <c r="U46" s="13"/>
      <c r="V46" s="13"/>
      <c r="W46" s="13"/>
      <c r="X46" s="13"/>
    </row>
    <row r="47" spans="2:24" ht="76" customHeight="1" x14ac:dyDescent="0.2">
      <c r="B47" s="144"/>
      <c r="C47" s="144"/>
      <c r="D47" s="182"/>
      <c r="E47" s="139"/>
      <c r="F47" s="140"/>
      <c r="G47" s="141" t="s">
        <v>2270</v>
      </c>
      <c r="H47" s="142"/>
      <c r="I47" s="28" t="s">
        <v>10</v>
      </c>
      <c r="J47" s="36"/>
      <c r="K47" s="37"/>
      <c r="L47" s="38"/>
      <c r="M47" s="13"/>
      <c r="N47" s="13"/>
      <c r="O47" s="13"/>
      <c r="P47" s="13"/>
      <c r="Q47" s="13"/>
      <c r="R47" s="13"/>
      <c r="S47" s="13"/>
      <c r="T47" s="13"/>
      <c r="U47" s="13"/>
      <c r="V47" s="13"/>
      <c r="W47" s="13"/>
      <c r="X47" s="13"/>
    </row>
    <row r="48" spans="2:24" ht="81.5" customHeight="1" x14ac:dyDescent="0.2">
      <c r="B48" s="151" t="s">
        <v>1106</v>
      </c>
      <c r="C48" s="151" t="s">
        <v>262</v>
      </c>
      <c r="D48" s="185" t="s">
        <v>1118</v>
      </c>
      <c r="E48" s="129" t="s">
        <v>2297</v>
      </c>
      <c r="F48" s="130"/>
      <c r="G48" s="127" t="s">
        <v>2271</v>
      </c>
      <c r="H48" s="128"/>
      <c r="I48" s="28" t="s">
        <v>10</v>
      </c>
      <c r="J48" s="11"/>
      <c r="K48" s="33"/>
      <c r="L48" s="29"/>
      <c r="M48" s="13"/>
      <c r="N48" s="13"/>
      <c r="O48" s="13"/>
      <c r="P48" s="13"/>
      <c r="Q48" s="13"/>
      <c r="R48" s="13"/>
      <c r="S48" s="13"/>
      <c r="T48" s="13"/>
      <c r="U48" s="13"/>
      <c r="V48" s="13"/>
      <c r="W48" s="13"/>
      <c r="X48" s="13"/>
    </row>
    <row r="49" spans="2:24" ht="81.5" customHeight="1" x14ac:dyDescent="0.2">
      <c r="B49" s="152"/>
      <c r="C49" s="152"/>
      <c r="D49" s="186"/>
      <c r="E49" s="131"/>
      <c r="F49" s="132"/>
      <c r="G49" s="127" t="s">
        <v>2272</v>
      </c>
      <c r="H49" s="128"/>
      <c r="I49" s="28" t="s">
        <v>10</v>
      </c>
      <c r="J49" s="11"/>
      <c r="K49" s="33"/>
      <c r="L49" s="29"/>
      <c r="M49" s="13"/>
      <c r="N49" s="13"/>
      <c r="O49" s="13"/>
      <c r="P49" s="13"/>
      <c r="Q49" s="13"/>
      <c r="R49" s="13"/>
      <c r="S49" s="13"/>
      <c r="T49" s="13"/>
      <c r="U49" s="13"/>
      <c r="V49" s="13"/>
      <c r="W49" s="13"/>
      <c r="X49" s="13"/>
    </row>
    <row r="50" spans="2:24" ht="81.5" customHeight="1" x14ac:dyDescent="0.2">
      <c r="B50" s="152"/>
      <c r="C50" s="152"/>
      <c r="D50" s="186"/>
      <c r="E50" s="133"/>
      <c r="F50" s="134"/>
      <c r="G50" s="127" t="s">
        <v>2273</v>
      </c>
      <c r="H50" s="128"/>
      <c r="I50" s="28" t="s">
        <v>10</v>
      </c>
      <c r="J50" s="11"/>
      <c r="K50" s="33"/>
      <c r="L50" s="29"/>
      <c r="M50" s="13"/>
      <c r="N50" s="13"/>
      <c r="O50" s="13"/>
      <c r="P50" s="13"/>
      <c r="Q50" s="13"/>
      <c r="R50" s="13"/>
      <c r="S50" s="13"/>
      <c r="T50" s="13"/>
      <c r="U50" s="13"/>
      <c r="V50" s="13"/>
      <c r="W50" s="13"/>
      <c r="X50" s="13"/>
    </row>
    <row r="51" spans="2:24" ht="83" customHeight="1" x14ac:dyDescent="0.2">
      <c r="B51" s="143" t="s">
        <v>1106</v>
      </c>
      <c r="C51" s="143" t="s">
        <v>263</v>
      </c>
      <c r="D51" s="181" t="s">
        <v>1119</v>
      </c>
      <c r="E51" s="135" t="s">
        <v>2298</v>
      </c>
      <c r="F51" s="136"/>
      <c r="G51" s="141" t="s">
        <v>2274</v>
      </c>
      <c r="H51" s="142"/>
      <c r="I51" s="28" t="s">
        <v>10</v>
      </c>
      <c r="J51" s="36"/>
      <c r="K51" s="37"/>
      <c r="L51" s="38"/>
      <c r="M51" s="13"/>
      <c r="N51" s="13"/>
      <c r="O51" s="13"/>
      <c r="P51" s="13"/>
      <c r="Q51" s="13"/>
      <c r="R51" s="13"/>
      <c r="S51" s="13"/>
      <c r="T51" s="13"/>
      <c r="U51" s="13"/>
      <c r="V51" s="13"/>
      <c r="W51" s="13"/>
      <c r="X51" s="13"/>
    </row>
    <row r="52" spans="2:24" ht="83" customHeight="1" x14ac:dyDescent="0.2">
      <c r="B52" s="144"/>
      <c r="C52" s="144"/>
      <c r="D52" s="182"/>
      <c r="E52" s="137"/>
      <c r="F52" s="138"/>
      <c r="G52" s="141" t="s">
        <v>2275</v>
      </c>
      <c r="H52" s="142"/>
      <c r="I52" s="28" t="s">
        <v>10</v>
      </c>
      <c r="J52" s="36"/>
      <c r="K52" s="37"/>
      <c r="L52" s="38"/>
      <c r="M52" s="13"/>
      <c r="N52" s="13"/>
      <c r="O52" s="13"/>
      <c r="P52" s="13"/>
      <c r="Q52" s="13"/>
      <c r="R52" s="13"/>
      <c r="S52" s="13"/>
      <c r="T52" s="13"/>
      <c r="U52" s="13"/>
      <c r="V52" s="13"/>
      <c r="W52" s="13"/>
      <c r="X52" s="13"/>
    </row>
    <row r="53" spans="2:24" ht="83" customHeight="1" x14ac:dyDescent="0.2">
      <c r="B53" s="144"/>
      <c r="C53" s="144"/>
      <c r="D53" s="182"/>
      <c r="E53" s="139"/>
      <c r="F53" s="140"/>
      <c r="G53" s="141" t="s">
        <v>2276</v>
      </c>
      <c r="H53" s="142"/>
      <c r="I53" s="28" t="s">
        <v>10</v>
      </c>
      <c r="J53" s="36"/>
      <c r="K53" s="37"/>
      <c r="L53" s="38"/>
      <c r="M53" s="13"/>
      <c r="N53" s="13"/>
      <c r="O53" s="13"/>
      <c r="P53" s="13"/>
      <c r="Q53" s="13"/>
      <c r="R53" s="13"/>
      <c r="S53" s="13"/>
      <c r="T53" s="13"/>
      <c r="U53" s="13"/>
      <c r="V53" s="13"/>
      <c r="W53" s="13"/>
      <c r="X53" s="13"/>
    </row>
    <row r="54" spans="2:24" ht="81.5" customHeight="1" x14ac:dyDescent="0.2">
      <c r="B54" s="151" t="s">
        <v>1106</v>
      </c>
      <c r="C54" s="151" t="s">
        <v>1120</v>
      </c>
      <c r="D54" s="185" t="s">
        <v>1121</v>
      </c>
      <c r="E54" s="129" t="s">
        <v>2299</v>
      </c>
      <c r="F54" s="130"/>
      <c r="G54" s="127" t="s">
        <v>2277</v>
      </c>
      <c r="H54" s="128"/>
      <c r="I54" s="28" t="s">
        <v>10</v>
      </c>
      <c r="J54" s="11"/>
      <c r="K54" s="33"/>
      <c r="L54" s="29"/>
      <c r="M54" s="13"/>
      <c r="N54" s="13"/>
      <c r="O54" s="13"/>
      <c r="P54" s="13"/>
      <c r="Q54" s="13"/>
      <c r="R54" s="13"/>
      <c r="S54" s="13"/>
      <c r="T54" s="13"/>
      <c r="U54" s="13"/>
      <c r="V54" s="13"/>
      <c r="W54" s="13"/>
      <c r="X54" s="13"/>
    </row>
    <row r="55" spans="2:24" ht="81.5" customHeight="1" x14ac:dyDescent="0.2">
      <c r="B55" s="152"/>
      <c r="C55" s="152"/>
      <c r="D55" s="186"/>
      <c r="E55" s="131"/>
      <c r="F55" s="132"/>
      <c r="G55" s="127" t="s">
        <v>2278</v>
      </c>
      <c r="H55" s="128"/>
      <c r="I55" s="28" t="s">
        <v>10</v>
      </c>
      <c r="J55" s="11"/>
      <c r="K55" s="33"/>
      <c r="L55" s="29"/>
      <c r="M55" s="13"/>
      <c r="N55" s="13"/>
      <c r="O55" s="13"/>
      <c r="P55" s="13"/>
      <c r="Q55" s="13"/>
      <c r="R55" s="13"/>
      <c r="S55" s="13"/>
      <c r="T55" s="13"/>
      <c r="U55" s="13"/>
      <c r="V55" s="13"/>
      <c r="W55" s="13"/>
      <c r="X55" s="13"/>
    </row>
    <row r="56" spans="2:24" ht="81.5" customHeight="1" x14ac:dyDescent="0.2">
      <c r="B56" s="152"/>
      <c r="C56" s="152"/>
      <c r="D56" s="186"/>
      <c r="E56" s="133"/>
      <c r="F56" s="134"/>
      <c r="G56" s="127" t="s">
        <v>2279</v>
      </c>
      <c r="H56" s="128"/>
      <c r="I56" s="28" t="s">
        <v>10</v>
      </c>
      <c r="J56" s="11"/>
      <c r="K56" s="33"/>
      <c r="L56" s="29"/>
      <c r="M56" s="13"/>
      <c r="N56" s="13"/>
      <c r="O56" s="13"/>
      <c r="P56" s="13"/>
      <c r="Q56" s="13"/>
      <c r="R56" s="13"/>
      <c r="S56" s="13"/>
      <c r="T56" s="13"/>
      <c r="U56" s="13"/>
      <c r="V56" s="13"/>
      <c r="W56" s="13"/>
      <c r="X56" s="13"/>
    </row>
    <row r="57" spans="2:24" ht="77" customHeight="1" x14ac:dyDescent="0.2">
      <c r="B57" s="143" t="s">
        <v>1106</v>
      </c>
      <c r="C57" s="143" t="s">
        <v>268</v>
      </c>
      <c r="D57" s="181" t="s">
        <v>1122</v>
      </c>
      <c r="E57" s="135" t="s">
        <v>2300</v>
      </c>
      <c r="F57" s="136"/>
      <c r="G57" s="141" t="s">
        <v>2280</v>
      </c>
      <c r="H57" s="142"/>
      <c r="I57" s="28" t="s">
        <v>10</v>
      </c>
      <c r="J57" s="36"/>
      <c r="K57" s="37"/>
      <c r="L57" s="38"/>
      <c r="M57" s="13"/>
      <c r="N57" s="13"/>
      <c r="O57" s="13"/>
      <c r="P57" s="13"/>
      <c r="Q57" s="13"/>
      <c r="R57" s="13"/>
      <c r="S57" s="13"/>
      <c r="T57" s="13"/>
      <c r="U57" s="13"/>
      <c r="V57" s="13"/>
      <c r="W57" s="13"/>
      <c r="X57" s="13"/>
    </row>
    <row r="58" spans="2:24" ht="77" customHeight="1" x14ac:dyDescent="0.2">
      <c r="B58" s="144"/>
      <c r="C58" s="144"/>
      <c r="D58" s="182"/>
      <c r="E58" s="137"/>
      <c r="F58" s="138"/>
      <c r="G58" s="141" t="s">
        <v>2281</v>
      </c>
      <c r="H58" s="142"/>
      <c r="I58" s="28" t="s">
        <v>10</v>
      </c>
      <c r="J58" s="36"/>
      <c r="K58" s="37"/>
      <c r="L58" s="38"/>
      <c r="M58" s="13"/>
      <c r="N58" s="13"/>
      <c r="O58" s="13"/>
      <c r="P58" s="13"/>
      <c r="Q58" s="13"/>
      <c r="R58" s="13"/>
      <c r="S58" s="13"/>
      <c r="T58" s="13"/>
      <c r="U58" s="13"/>
      <c r="V58" s="13"/>
      <c r="W58" s="13"/>
      <c r="X58" s="13"/>
    </row>
    <row r="59" spans="2:24" ht="77" customHeight="1" x14ac:dyDescent="0.2">
      <c r="B59" s="144"/>
      <c r="C59" s="144"/>
      <c r="D59" s="182"/>
      <c r="E59" s="139"/>
      <c r="F59" s="140"/>
      <c r="G59" s="141" t="s">
        <v>2282</v>
      </c>
      <c r="H59" s="142"/>
      <c r="I59" s="28" t="s">
        <v>10</v>
      </c>
      <c r="J59" s="36"/>
      <c r="K59" s="37"/>
      <c r="L59" s="38"/>
      <c r="M59" s="13"/>
      <c r="N59" s="13"/>
      <c r="O59" s="13"/>
      <c r="P59" s="13"/>
      <c r="Q59" s="13"/>
      <c r="R59" s="13"/>
      <c r="S59" s="13"/>
      <c r="T59" s="13"/>
      <c r="U59" s="13"/>
      <c r="V59" s="13"/>
      <c r="W59" s="13"/>
      <c r="X59" s="13"/>
    </row>
    <row r="60" spans="2:24" ht="81.5" customHeight="1" x14ac:dyDescent="0.2">
      <c r="B60" s="151" t="s">
        <v>1106</v>
      </c>
      <c r="C60" s="151" t="s">
        <v>988</v>
      </c>
      <c r="D60" s="185" t="s">
        <v>1123</v>
      </c>
      <c r="E60" s="129" t="s">
        <v>2301</v>
      </c>
      <c r="F60" s="130"/>
      <c r="G60" s="127" t="s">
        <v>2283</v>
      </c>
      <c r="H60" s="128"/>
      <c r="I60" s="28" t="s">
        <v>10</v>
      </c>
      <c r="J60" s="11"/>
      <c r="K60" s="33"/>
      <c r="L60" s="29"/>
      <c r="M60" s="13"/>
      <c r="N60" s="13"/>
      <c r="O60" s="13"/>
      <c r="P60" s="13"/>
      <c r="Q60" s="13"/>
      <c r="R60" s="13"/>
      <c r="S60" s="13"/>
      <c r="T60" s="13"/>
      <c r="U60" s="13"/>
      <c r="V60" s="13"/>
      <c r="W60" s="13"/>
      <c r="X60" s="13"/>
    </row>
    <row r="61" spans="2:24" ht="81.5" customHeight="1" x14ac:dyDescent="0.2">
      <c r="B61" s="152"/>
      <c r="C61" s="152"/>
      <c r="D61" s="186"/>
      <c r="E61" s="131"/>
      <c r="F61" s="132"/>
      <c r="G61" s="127" t="s">
        <v>2284</v>
      </c>
      <c r="H61" s="128"/>
      <c r="I61" s="28" t="s">
        <v>10</v>
      </c>
      <c r="J61" s="11"/>
      <c r="K61" s="33"/>
      <c r="L61" s="29"/>
      <c r="M61" s="13"/>
      <c r="N61" s="13"/>
      <c r="O61" s="13"/>
      <c r="P61" s="13"/>
      <c r="Q61" s="13"/>
      <c r="R61" s="13"/>
      <c r="S61" s="13"/>
      <c r="T61" s="13"/>
      <c r="U61" s="13"/>
      <c r="V61" s="13"/>
      <c r="W61" s="13"/>
      <c r="X61" s="13"/>
    </row>
    <row r="62" spans="2:24" ht="81.5" customHeight="1" x14ac:dyDescent="0.2">
      <c r="B62" s="152"/>
      <c r="C62" s="152"/>
      <c r="D62" s="186"/>
      <c r="E62" s="133"/>
      <c r="F62" s="134"/>
      <c r="G62" s="127" t="s">
        <v>2285</v>
      </c>
      <c r="H62" s="128"/>
      <c r="I62" s="28" t="s">
        <v>10</v>
      </c>
      <c r="J62" s="11"/>
      <c r="K62" s="33"/>
      <c r="L62" s="29"/>
      <c r="M62" s="13"/>
      <c r="N62" s="13"/>
      <c r="O62" s="13"/>
      <c r="P62" s="13"/>
      <c r="Q62" s="13"/>
      <c r="R62" s="13"/>
      <c r="S62" s="13"/>
      <c r="T62" s="13"/>
      <c r="U62" s="13"/>
      <c r="V62" s="13"/>
      <c r="W62" s="13"/>
      <c r="X62" s="13"/>
    </row>
    <row r="65" spans="3:3" ht="15" hidden="1" x14ac:dyDescent="0.2">
      <c r="C65" s="3" t="s">
        <v>1124</v>
      </c>
    </row>
    <row r="270" spans="1:13" s="4" customFormat="1" x14ac:dyDescent="0.2">
      <c r="A270" s="1"/>
      <c r="B270" s="2"/>
      <c r="C270" s="3"/>
      <c r="D270" s="3"/>
      <c r="E270" s="3"/>
      <c r="G270" s="3"/>
      <c r="I270" s="6"/>
      <c r="J270" s="1"/>
      <c r="K270" s="30"/>
      <c r="L270" s="1"/>
      <c r="M270" s="1"/>
    </row>
    <row r="271" spans="1:13" s="4" customFormat="1" x14ac:dyDescent="0.2">
      <c r="A271" s="1"/>
      <c r="B271" s="2"/>
      <c r="C271" s="3"/>
      <c r="D271" s="3"/>
      <c r="E271" s="3"/>
      <c r="G271" s="79"/>
      <c r="I271" s="6"/>
      <c r="J271" s="1"/>
      <c r="K271" s="30"/>
      <c r="L271" s="1"/>
      <c r="M271" s="1"/>
    </row>
    <row r="272" spans="1:13" s="4" customFormat="1" x14ac:dyDescent="0.2">
      <c r="A272" s="1"/>
      <c r="B272" s="2"/>
      <c r="C272" s="3"/>
      <c r="D272" s="3"/>
      <c r="E272" s="3"/>
      <c r="G272" s="80"/>
      <c r="I272" s="6"/>
      <c r="J272" s="1"/>
      <c r="K272" s="30"/>
      <c r="L272" s="1"/>
      <c r="M272" s="1"/>
    </row>
    <row r="273" spans="1:13" s="4" customFormat="1" x14ac:dyDescent="0.2">
      <c r="A273" s="1"/>
      <c r="B273" s="2"/>
      <c r="C273" s="3"/>
      <c r="D273" s="3"/>
      <c r="E273" s="3"/>
      <c r="G273" s="81"/>
      <c r="I273" s="6"/>
      <c r="J273" s="1"/>
      <c r="K273" s="30"/>
      <c r="L273" s="1"/>
      <c r="M273" s="1"/>
    </row>
    <row r="274" spans="1:13" s="4" customFormat="1" x14ac:dyDescent="0.2">
      <c r="A274" s="1"/>
      <c r="B274" s="2"/>
      <c r="C274" s="3"/>
      <c r="D274" s="3"/>
      <c r="E274" s="3"/>
      <c r="G274" s="82"/>
      <c r="I274" s="6"/>
      <c r="J274" s="1"/>
      <c r="K274" s="30"/>
      <c r="L274" s="1"/>
      <c r="M274" s="1"/>
    </row>
    <row r="275" spans="1:13" s="4" customFormat="1" x14ac:dyDescent="0.2">
      <c r="A275" s="1"/>
      <c r="B275" s="2"/>
      <c r="C275" s="3"/>
      <c r="D275" s="3"/>
      <c r="E275" s="3"/>
      <c r="G275" s="79"/>
      <c r="I275" s="6"/>
      <c r="J275" s="1"/>
      <c r="K275" s="30"/>
      <c r="L275" s="1"/>
      <c r="M275" s="1"/>
    </row>
    <row r="279" spans="1:13" s="4" customFormat="1" x14ac:dyDescent="0.2">
      <c r="A279" s="1"/>
      <c r="B279" s="2"/>
      <c r="C279" s="3"/>
      <c r="D279" s="3"/>
      <c r="E279" s="3"/>
      <c r="G279" s="83"/>
      <c r="I279" s="6"/>
      <c r="J279" s="1"/>
      <c r="K279" s="30"/>
      <c r="L279" s="1"/>
      <c r="M279" s="1"/>
    </row>
    <row r="280" spans="1:13" s="4" customFormat="1" x14ac:dyDescent="0.2">
      <c r="A280" s="1"/>
      <c r="B280" s="2"/>
      <c r="C280" s="3"/>
      <c r="D280" s="3"/>
      <c r="E280" s="3"/>
      <c r="G280" s="84"/>
      <c r="I280" s="6"/>
      <c r="J280" s="1"/>
      <c r="K280" s="30"/>
      <c r="L280" s="1"/>
      <c r="M280" s="1"/>
    </row>
    <row r="281" spans="1:13" s="4" customFormat="1" x14ac:dyDescent="0.2">
      <c r="A281" s="1"/>
      <c r="B281" s="2"/>
      <c r="C281" s="3"/>
      <c r="D281" s="3"/>
      <c r="E281" s="3"/>
      <c r="G281" s="81"/>
      <c r="I281" s="6"/>
      <c r="J281" s="1"/>
      <c r="K281" s="30"/>
      <c r="L281" s="1"/>
      <c r="M281" s="1"/>
    </row>
    <row r="282" spans="1:13" s="4" customFormat="1" x14ac:dyDescent="0.2">
      <c r="A282" s="1"/>
      <c r="B282" s="2"/>
      <c r="C282" s="3"/>
      <c r="D282" s="3"/>
      <c r="E282" s="3"/>
      <c r="G282" s="81"/>
      <c r="I282" s="6"/>
      <c r="J282" s="1"/>
      <c r="K282" s="30"/>
      <c r="L282" s="1"/>
      <c r="M282" s="1"/>
    </row>
    <row r="283" spans="1:13" s="4" customFormat="1" x14ac:dyDescent="0.2">
      <c r="A283" s="1"/>
      <c r="B283" s="2"/>
      <c r="C283" s="3"/>
      <c r="D283" s="3"/>
      <c r="E283" s="3"/>
      <c r="G283" s="79"/>
      <c r="I283" s="6"/>
      <c r="J283" s="1"/>
      <c r="K283" s="30"/>
      <c r="L283" s="1"/>
      <c r="M283" s="1"/>
    </row>
    <row r="287" spans="1:13" s="4" customFormat="1" x14ac:dyDescent="0.2">
      <c r="A287" s="1"/>
      <c r="B287" s="2"/>
      <c r="C287" s="3"/>
      <c r="D287" s="3"/>
      <c r="E287" s="3"/>
      <c r="G287" s="83"/>
      <c r="I287" s="6"/>
      <c r="J287" s="1"/>
      <c r="K287" s="30"/>
      <c r="L287" s="1"/>
      <c r="M287" s="1"/>
    </row>
    <row r="288" spans="1:13" s="4" customFormat="1" x14ac:dyDescent="0.2">
      <c r="A288" s="1"/>
      <c r="B288" s="2"/>
      <c r="C288" s="3"/>
      <c r="D288" s="3"/>
      <c r="E288" s="3"/>
      <c r="G288" s="84"/>
      <c r="I288" s="6"/>
      <c r="J288" s="1"/>
      <c r="K288" s="30"/>
      <c r="L288" s="1"/>
      <c r="M288" s="1"/>
    </row>
    <row r="289" spans="1:13" s="4" customFormat="1" x14ac:dyDescent="0.2">
      <c r="A289" s="1"/>
      <c r="B289" s="2"/>
      <c r="C289" s="3"/>
      <c r="D289" s="3"/>
      <c r="E289" s="3"/>
      <c r="G289" s="81"/>
      <c r="I289" s="6"/>
      <c r="J289" s="1"/>
      <c r="K289" s="30"/>
      <c r="L289" s="1"/>
      <c r="M289" s="1"/>
    </row>
    <row r="290" spans="1:13" s="4" customFormat="1" x14ac:dyDescent="0.2">
      <c r="A290" s="1"/>
      <c r="B290" s="2"/>
      <c r="C290" s="3"/>
      <c r="D290" s="3"/>
      <c r="E290" s="3"/>
      <c r="G290" s="81"/>
      <c r="I290" s="6"/>
      <c r="J290" s="1"/>
      <c r="K290" s="30"/>
      <c r="L290" s="1"/>
      <c r="M290" s="1"/>
    </row>
    <row r="291" spans="1:13" s="4" customFormat="1" x14ac:dyDescent="0.2">
      <c r="A291" s="1"/>
      <c r="B291" s="2"/>
      <c r="C291" s="3"/>
      <c r="D291" s="3"/>
      <c r="E291" s="3"/>
      <c r="G291" s="83"/>
      <c r="I291" s="6"/>
      <c r="J291" s="1"/>
      <c r="K291" s="30"/>
      <c r="L291" s="1"/>
      <c r="M291" s="1"/>
    </row>
    <row r="292" spans="1:13" s="4" customFormat="1" x14ac:dyDescent="0.2">
      <c r="A292" s="1"/>
      <c r="B292" s="2"/>
      <c r="C292" s="3"/>
      <c r="D292" s="3"/>
      <c r="E292" s="3"/>
      <c r="G292" s="85"/>
      <c r="I292" s="6"/>
      <c r="J292" s="1"/>
      <c r="K292" s="30"/>
      <c r="L292" s="1"/>
      <c r="M292" s="1"/>
    </row>
    <row r="293" spans="1:13" s="4" customFormat="1" x14ac:dyDescent="0.2">
      <c r="A293" s="1"/>
      <c r="B293" s="2"/>
      <c r="C293" s="3"/>
      <c r="D293" s="3"/>
      <c r="E293" s="3"/>
      <c r="G293" s="86"/>
      <c r="I293" s="6"/>
      <c r="J293" s="1"/>
      <c r="K293" s="30"/>
      <c r="L293" s="1"/>
      <c r="M293" s="1"/>
    </row>
  </sheetData>
  <mergeCells count="78">
    <mergeCell ref="G43:H43"/>
    <mergeCell ref="G42:H42"/>
    <mergeCell ref="G41:H41"/>
    <mergeCell ref="G49:H49"/>
    <mergeCell ref="G48:H48"/>
    <mergeCell ref="G47:H47"/>
    <mergeCell ref="G46:H46"/>
    <mergeCell ref="G45:H45"/>
    <mergeCell ref="G44:H44"/>
    <mergeCell ref="G50:H50"/>
    <mergeCell ref="E54:F56"/>
    <mergeCell ref="E57:F59"/>
    <mergeCell ref="E60:F62"/>
    <mergeCell ref="G62:H62"/>
    <mergeCell ref="G61:H61"/>
    <mergeCell ref="G60:H60"/>
    <mergeCell ref="G59:H59"/>
    <mergeCell ref="G58:H58"/>
    <mergeCell ref="G57:H57"/>
    <mergeCell ref="G56:H56"/>
    <mergeCell ref="G55:H55"/>
    <mergeCell ref="G54:H54"/>
    <mergeCell ref="G53:H53"/>
    <mergeCell ref="G52:H52"/>
    <mergeCell ref="G51:H51"/>
    <mergeCell ref="B60:B62"/>
    <mergeCell ref="C60:C62"/>
    <mergeCell ref="D60:D62"/>
    <mergeCell ref="E41:F41"/>
    <mergeCell ref="E42:F44"/>
    <mergeCell ref="E45:F47"/>
    <mergeCell ref="E48:F50"/>
    <mergeCell ref="E51:F53"/>
    <mergeCell ref="B54:B56"/>
    <mergeCell ref="C54:C56"/>
    <mergeCell ref="D54:D56"/>
    <mergeCell ref="B57:B59"/>
    <mergeCell ref="C57:C59"/>
    <mergeCell ref="D57:D59"/>
    <mergeCell ref="B48:B50"/>
    <mergeCell ref="C48:C50"/>
    <mergeCell ref="D48:D50"/>
    <mergeCell ref="B51:B53"/>
    <mergeCell ref="C51:C53"/>
    <mergeCell ref="D51:D53"/>
    <mergeCell ref="B45:B47"/>
    <mergeCell ref="C45:C47"/>
    <mergeCell ref="D45:D47"/>
    <mergeCell ref="B35:B39"/>
    <mergeCell ref="C35:C39"/>
    <mergeCell ref="D35:D39"/>
    <mergeCell ref="E35:E39"/>
    <mergeCell ref="B42:B44"/>
    <mergeCell ref="C42:C44"/>
    <mergeCell ref="D42:D44"/>
    <mergeCell ref="B24:B28"/>
    <mergeCell ref="C24:C28"/>
    <mergeCell ref="D24:D28"/>
    <mergeCell ref="E24:E28"/>
    <mergeCell ref="B29:B34"/>
    <mergeCell ref="C29:C34"/>
    <mergeCell ref="D29:D34"/>
    <mergeCell ref="E29:E34"/>
    <mergeCell ref="B19:B23"/>
    <mergeCell ref="C19:C23"/>
    <mergeCell ref="D19:D23"/>
    <mergeCell ref="E19:E23"/>
    <mergeCell ref="B2:J2"/>
    <mergeCell ref="B4:J4"/>
    <mergeCell ref="B6:H8"/>
    <mergeCell ref="I6:J6"/>
    <mergeCell ref="I7:J8"/>
    <mergeCell ref="C10:J10"/>
    <mergeCell ref="C11:J11"/>
    <mergeCell ref="B14:B18"/>
    <mergeCell ref="C14:C18"/>
    <mergeCell ref="D14:D18"/>
    <mergeCell ref="E14:E18"/>
  </mergeCells>
  <conditionalFormatting sqref="I1">
    <cfRule type="cellIs" dxfId="321" priority="19" operator="equal">
      <formula>1</formula>
    </cfRule>
  </conditionalFormatting>
  <conditionalFormatting sqref="I7">
    <cfRule type="cellIs" dxfId="320" priority="17" operator="equal">
      <formula>1</formula>
    </cfRule>
  </conditionalFormatting>
  <conditionalFormatting sqref="I63:I1048576">
    <cfRule type="cellIs" dxfId="315" priority="18" operator="equal">
      <formula>1</formula>
    </cfRule>
  </conditionalFormatting>
  <conditionalFormatting sqref="I14:I39">
    <cfRule type="expression" dxfId="155" priority="5" stopIfTrue="1">
      <formula>TRIM(UPPER(I14))="N/A"</formula>
    </cfRule>
    <cfRule type="expression" dxfId="154" priority="6">
      <formula>I14&gt;=0.9</formula>
    </cfRule>
    <cfRule type="expression" dxfId="153" priority="7">
      <formula>AND(I14&gt;=0.8, I14&lt;0.9)</formula>
    </cfRule>
    <cfRule type="expression" dxfId="152" priority="8">
      <formula>I14&lt;0.8</formula>
    </cfRule>
  </conditionalFormatting>
  <conditionalFormatting sqref="I42:I62">
    <cfRule type="expression" dxfId="151" priority="1" stopIfTrue="1">
      <formula>TRIM(UPPER(I42))="N/A"</formula>
    </cfRule>
    <cfRule type="expression" dxfId="150" priority="2">
      <formula>I42&gt;=0.9</formula>
    </cfRule>
    <cfRule type="expression" dxfId="149" priority="3">
      <formula>AND(I42&gt;=0.8, I42&lt;0.9)</formula>
    </cfRule>
    <cfRule type="expression" dxfId="148" priority="4">
      <formula>I42&lt;0.8</formula>
    </cfRule>
  </conditionalFormatting>
  <printOptions horizontalCentered="1"/>
  <pageMargins left="0.51181102362204722" right="0.51181102362204722" top="0.55118110236220474" bottom="0.55118110236220474" header="0.31496062992125984" footer="0.31496062992125984"/>
  <pageSetup scale="45"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6213624B-9381-EF48-91A1-BFC0EFD0A846}">
          <x14:formula1>
            <xm:f>'Listas desplegables'!$C$4:$C$15</xm:f>
          </x14:formula1>
          <xm:sqref>I14:I39 I42:I62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BB464-64BB-433A-83BC-B10C255DC4C0}">
  <sheetPr>
    <tabColor rgb="FF0098AA"/>
  </sheetPr>
  <dimension ref="A1:X870"/>
  <sheetViews>
    <sheetView zoomScale="80" zoomScaleNormal="80" workbookViewId="0">
      <selection activeCell="I14" sqref="I14"/>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57" t="s">
        <v>1125</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AVERAGEIF(I14:I36,"&lt;&gt;N/A")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238" customHeight="1" x14ac:dyDescent="0.2">
      <c r="B10" s="40" t="s">
        <v>13</v>
      </c>
      <c r="C10" s="147" t="s">
        <v>2423</v>
      </c>
      <c r="D10" s="148"/>
      <c r="E10" s="148"/>
      <c r="F10" s="148"/>
      <c r="G10" s="148"/>
      <c r="H10" s="148"/>
      <c r="I10" s="148"/>
      <c r="J10" s="149"/>
    </row>
    <row r="11" spans="2:12" ht="83.5" customHeight="1" x14ac:dyDescent="0.2">
      <c r="B11" s="39" t="s">
        <v>14</v>
      </c>
      <c r="C11" s="150" t="s">
        <v>1126</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82.25" customHeight="1" x14ac:dyDescent="0.2">
      <c r="B14" s="151" t="s">
        <v>87</v>
      </c>
      <c r="C14" s="151" t="s">
        <v>19</v>
      </c>
      <c r="D14" s="153" t="s">
        <v>1127</v>
      </c>
      <c r="E14" s="153" t="s">
        <v>1128</v>
      </c>
      <c r="F14" s="22" t="s">
        <v>1129</v>
      </c>
      <c r="G14" s="12" t="s">
        <v>36</v>
      </c>
      <c r="H14" s="34" t="s">
        <v>1130</v>
      </c>
      <c r="I14" s="28" t="s">
        <v>10</v>
      </c>
      <c r="J14" s="11"/>
      <c r="K14" s="33"/>
      <c r="L14" s="29"/>
    </row>
    <row r="15" spans="2:12" ht="54" customHeight="1" x14ac:dyDescent="0.2">
      <c r="B15" s="152"/>
      <c r="C15" s="152"/>
      <c r="D15" s="154"/>
      <c r="E15" s="154"/>
      <c r="F15" s="22" t="s">
        <v>1131</v>
      </c>
      <c r="G15" s="12" t="s">
        <v>41</v>
      </c>
      <c r="H15" s="34" t="s">
        <v>1132</v>
      </c>
      <c r="I15" s="28" t="s">
        <v>10</v>
      </c>
      <c r="J15" s="11"/>
      <c r="K15" s="33"/>
      <c r="L15" s="29"/>
    </row>
    <row r="16" spans="2:12" ht="54" customHeight="1" x14ac:dyDescent="0.2">
      <c r="B16" s="152"/>
      <c r="C16" s="152"/>
      <c r="D16" s="154"/>
      <c r="E16" s="154"/>
      <c r="F16" s="22" t="s">
        <v>1133</v>
      </c>
      <c r="G16" s="12" t="s">
        <v>41</v>
      </c>
      <c r="H16" s="34" t="s">
        <v>1134</v>
      </c>
      <c r="I16" s="28" t="s">
        <v>10</v>
      </c>
      <c r="J16" s="11"/>
      <c r="K16" s="33"/>
      <c r="L16" s="29"/>
    </row>
    <row r="17" spans="2:12" ht="54" customHeight="1" x14ac:dyDescent="0.2">
      <c r="B17" s="152"/>
      <c r="C17" s="152"/>
      <c r="D17" s="154"/>
      <c r="E17" s="154"/>
      <c r="F17" s="22" t="s">
        <v>1135</v>
      </c>
      <c r="G17" s="12" t="s">
        <v>41</v>
      </c>
      <c r="H17" s="34" t="s">
        <v>1136</v>
      </c>
      <c r="I17" s="28" t="s">
        <v>10</v>
      </c>
      <c r="J17" s="11"/>
      <c r="K17" s="33"/>
      <c r="L17" s="29"/>
    </row>
    <row r="18" spans="2:12" ht="54" customHeight="1" x14ac:dyDescent="0.2">
      <c r="B18" s="152"/>
      <c r="C18" s="152"/>
      <c r="D18" s="154"/>
      <c r="E18" s="154"/>
      <c r="F18" s="22" t="s">
        <v>1137</v>
      </c>
      <c r="G18" s="12" t="s">
        <v>41</v>
      </c>
      <c r="H18" s="34" t="s">
        <v>1138</v>
      </c>
      <c r="I18" s="28" t="s">
        <v>10</v>
      </c>
      <c r="J18" s="11"/>
      <c r="K18" s="33"/>
      <c r="L18" s="29"/>
    </row>
    <row r="19" spans="2:12" ht="66" customHeight="1" x14ac:dyDescent="0.2">
      <c r="B19" s="173"/>
      <c r="C19" s="173"/>
      <c r="D19" s="184"/>
      <c r="E19" s="184"/>
      <c r="F19" s="22" t="s">
        <v>1139</v>
      </c>
      <c r="G19" s="12" t="s">
        <v>36</v>
      </c>
      <c r="H19" s="34" t="s">
        <v>1140</v>
      </c>
      <c r="I19" s="28" t="s">
        <v>10</v>
      </c>
      <c r="J19" s="11"/>
      <c r="K19" s="33"/>
      <c r="L19" s="29"/>
    </row>
    <row r="20" spans="2:12" ht="56.5" customHeight="1" x14ac:dyDescent="0.2">
      <c r="B20" s="143" t="s">
        <v>1141</v>
      </c>
      <c r="C20" s="143" t="s">
        <v>20</v>
      </c>
      <c r="D20" s="145" t="s">
        <v>1142</v>
      </c>
      <c r="E20" s="145" t="s">
        <v>1143</v>
      </c>
      <c r="F20" s="23" t="s">
        <v>1144</v>
      </c>
      <c r="G20" s="41" t="s">
        <v>36</v>
      </c>
      <c r="H20" s="35" t="s">
        <v>1145</v>
      </c>
      <c r="I20" s="28" t="s">
        <v>10</v>
      </c>
      <c r="J20" s="36"/>
      <c r="K20" s="37"/>
      <c r="L20" s="38"/>
    </row>
    <row r="21" spans="2:12" ht="81" customHeight="1" x14ac:dyDescent="0.2">
      <c r="B21" s="144"/>
      <c r="C21" s="144"/>
      <c r="D21" s="146"/>
      <c r="E21" s="146"/>
      <c r="F21" s="23" t="s">
        <v>1146</v>
      </c>
      <c r="G21" s="41" t="s">
        <v>41</v>
      </c>
      <c r="H21" s="35" t="s">
        <v>1147</v>
      </c>
      <c r="I21" s="28" t="s">
        <v>10</v>
      </c>
      <c r="J21" s="36"/>
      <c r="K21" s="37"/>
      <c r="L21" s="38"/>
    </row>
    <row r="22" spans="2:12" ht="81" customHeight="1" x14ac:dyDescent="0.2">
      <c r="B22" s="144"/>
      <c r="C22" s="144"/>
      <c r="D22" s="146"/>
      <c r="E22" s="146"/>
      <c r="F22" s="23" t="s">
        <v>1148</v>
      </c>
      <c r="G22" s="41" t="s">
        <v>41</v>
      </c>
      <c r="H22" s="35" t="s">
        <v>1149</v>
      </c>
      <c r="I22" s="28" t="s">
        <v>10</v>
      </c>
      <c r="J22" s="36"/>
      <c r="K22" s="37"/>
      <c r="L22" s="38"/>
    </row>
    <row r="23" spans="2:12" ht="81" customHeight="1" x14ac:dyDescent="0.2">
      <c r="B23" s="144"/>
      <c r="C23" s="144"/>
      <c r="D23" s="146"/>
      <c r="E23" s="146"/>
      <c r="F23" s="23" t="s">
        <v>1150</v>
      </c>
      <c r="G23" s="41" t="s">
        <v>39</v>
      </c>
      <c r="H23" s="35" t="s">
        <v>1151</v>
      </c>
      <c r="I23" s="28" t="s">
        <v>10</v>
      </c>
      <c r="J23" s="36"/>
      <c r="K23" s="37"/>
      <c r="L23" s="38"/>
    </row>
    <row r="24" spans="2:12" ht="81" customHeight="1" x14ac:dyDescent="0.2">
      <c r="B24" s="144"/>
      <c r="C24" s="144"/>
      <c r="D24" s="146"/>
      <c r="E24" s="146"/>
      <c r="F24" s="23" t="s">
        <v>1152</v>
      </c>
      <c r="G24" s="41" t="s">
        <v>36</v>
      </c>
      <c r="H24" s="35" t="s">
        <v>1153</v>
      </c>
      <c r="I24" s="28" t="s">
        <v>10</v>
      </c>
      <c r="J24" s="36"/>
      <c r="K24" s="37"/>
      <c r="L24" s="38"/>
    </row>
    <row r="25" spans="2:12" ht="83.5" customHeight="1" x14ac:dyDescent="0.2">
      <c r="B25" s="144"/>
      <c r="C25" s="144"/>
      <c r="D25" s="146"/>
      <c r="E25" s="146"/>
      <c r="F25" s="23" t="s">
        <v>1154</v>
      </c>
      <c r="G25" s="41" t="s">
        <v>36</v>
      </c>
      <c r="H25" s="35" t="s">
        <v>1155</v>
      </c>
      <c r="I25" s="28" t="s">
        <v>10</v>
      </c>
      <c r="J25" s="36"/>
      <c r="K25" s="37"/>
      <c r="L25" s="38"/>
    </row>
    <row r="26" spans="2:12" ht="54" customHeight="1" x14ac:dyDescent="0.2">
      <c r="B26" s="151" t="s">
        <v>1141</v>
      </c>
      <c r="C26" s="151" t="s">
        <v>21</v>
      </c>
      <c r="D26" s="153" t="s">
        <v>1156</v>
      </c>
      <c r="E26" s="153" t="s">
        <v>1157</v>
      </c>
      <c r="F26" s="22" t="s">
        <v>1158</v>
      </c>
      <c r="G26" s="12" t="s">
        <v>36</v>
      </c>
      <c r="H26" s="34" t="s">
        <v>1159</v>
      </c>
      <c r="I26" s="28" t="s">
        <v>10</v>
      </c>
      <c r="J26" s="11"/>
      <c r="K26" s="33"/>
      <c r="L26" s="29"/>
    </row>
    <row r="27" spans="2:12" ht="54" customHeight="1" x14ac:dyDescent="0.2">
      <c r="B27" s="152"/>
      <c r="C27" s="152"/>
      <c r="D27" s="154"/>
      <c r="E27" s="154"/>
      <c r="F27" s="22" t="s">
        <v>1160</v>
      </c>
      <c r="G27" s="12" t="s">
        <v>43</v>
      </c>
      <c r="H27" s="34" t="s">
        <v>1161</v>
      </c>
      <c r="I27" s="28" t="s">
        <v>10</v>
      </c>
      <c r="J27" s="11"/>
      <c r="K27" s="33"/>
      <c r="L27" s="29"/>
    </row>
    <row r="28" spans="2:12" ht="54" customHeight="1" x14ac:dyDescent="0.2">
      <c r="B28" s="152"/>
      <c r="C28" s="152"/>
      <c r="D28" s="154"/>
      <c r="E28" s="154"/>
      <c r="F28" s="22" t="s">
        <v>1162</v>
      </c>
      <c r="G28" s="12" t="s">
        <v>41</v>
      </c>
      <c r="H28" s="34" t="s">
        <v>1163</v>
      </c>
      <c r="I28" s="28" t="s">
        <v>10</v>
      </c>
      <c r="J28" s="11"/>
      <c r="K28" s="33"/>
      <c r="L28" s="29"/>
    </row>
    <row r="29" spans="2:12" ht="54" customHeight="1" x14ac:dyDescent="0.2">
      <c r="B29" s="152"/>
      <c r="C29" s="152"/>
      <c r="D29" s="154"/>
      <c r="E29" s="154"/>
      <c r="F29" s="22" t="s">
        <v>1164</v>
      </c>
      <c r="G29" s="12" t="s">
        <v>41</v>
      </c>
      <c r="H29" s="34" t="s">
        <v>1165</v>
      </c>
      <c r="I29" s="28" t="s">
        <v>10</v>
      </c>
      <c r="J29" s="11"/>
      <c r="K29" s="33"/>
      <c r="L29" s="29"/>
    </row>
    <row r="30" spans="2:12" ht="54" customHeight="1" x14ac:dyDescent="0.2">
      <c r="B30" s="152"/>
      <c r="C30" s="152"/>
      <c r="D30" s="154"/>
      <c r="E30" s="154"/>
      <c r="F30" s="22" t="s">
        <v>1166</v>
      </c>
      <c r="G30" s="12" t="s">
        <v>41</v>
      </c>
      <c r="H30" s="34" t="s">
        <v>1167</v>
      </c>
      <c r="I30" s="28" t="s">
        <v>10</v>
      </c>
      <c r="J30" s="11"/>
      <c r="K30" s="33"/>
      <c r="L30" s="29"/>
    </row>
    <row r="31" spans="2:12" ht="74.5" customHeight="1" x14ac:dyDescent="0.2">
      <c r="B31" s="152"/>
      <c r="C31" s="152"/>
      <c r="D31" s="154"/>
      <c r="E31" s="154"/>
      <c r="F31" s="22" t="s">
        <v>1168</v>
      </c>
      <c r="G31" s="12" t="s">
        <v>35</v>
      </c>
      <c r="H31" s="34" t="s">
        <v>1169</v>
      </c>
      <c r="I31" s="28" t="s">
        <v>10</v>
      </c>
      <c r="J31" s="11"/>
      <c r="K31" s="33"/>
      <c r="L31" s="29"/>
    </row>
    <row r="32" spans="2:12" ht="54" customHeight="1" x14ac:dyDescent="0.2">
      <c r="B32" s="151" t="s">
        <v>1141</v>
      </c>
      <c r="C32" s="151" t="s">
        <v>23</v>
      </c>
      <c r="D32" s="167" t="s">
        <v>1170</v>
      </c>
      <c r="E32" s="167" t="s">
        <v>1171</v>
      </c>
      <c r="F32" s="22" t="s">
        <v>1172</v>
      </c>
      <c r="G32" s="12" t="s">
        <v>41</v>
      </c>
      <c r="H32" s="34" t="s">
        <v>1173</v>
      </c>
      <c r="I32" s="28" t="s">
        <v>10</v>
      </c>
      <c r="J32" s="11"/>
      <c r="K32" s="33"/>
      <c r="L32" s="29"/>
    </row>
    <row r="33" spans="2:24" ht="54" customHeight="1" x14ac:dyDescent="0.2">
      <c r="B33" s="152"/>
      <c r="C33" s="152"/>
      <c r="D33" s="168"/>
      <c r="E33" s="168"/>
      <c r="F33" s="22" t="s">
        <v>1174</v>
      </c>
      <c r="G33" s="12" t="s">
        <v>41</v>
      </c>
      <c r="H33" s="34" t="s">
        <v>1175</v>
      </c>
      <c r="I33" s="28" t="s">
        <v>10</v>
      </c>
      <c r="J33" s="11"/>
      <c r="K33" s="33"/>
      <c r="L33" s="29"/>
    </row>
    <row r="34" spans="2:24" ht="54" customHeight="1" x14ac:dyDescent="0.2">
      <c r="B34" s="152"/>
      <c r="C34" s="152"/>
      <c r="D34" s="168"/>
      <c r="E34" s="168"/>
      <c r="F34" s="22" t="s">
        <v>1176</v>
      </c>
      <c r="G34" s="12" t="s">
        <v>36</v>
      </c>
      <c r="H34" s="34" t="s">
        <v>1177</v>
      </c>
      <c r="I34" s="28" t="s">
        <v>10</v>
      </c>
      <c r="J34" s="11"/>
      <c r="K34" s="33"/>
      <c r="L34" s="29"/>
    </row>
    <row r="35" spans="2:24" ht="54" customHeight="1" x14ac:dyDescent="0.2">
      <c r="B35" s="152"/>
      <c r="C35" s="152"/>
      <c r="D35" s="168"/>
      <c r="E35" s="168"/>
      <c r="F35" s="22" t="s">
        <v>1178</v>
      </c>
      <c r="G35" s="12" t="s">
        <v>43</v>
      </c>
      <c r="H35" s="34" t="s">
        <v>1179</v>
      </c>
      <c r="I35" s="28" t="s">
        <v>10</v>
      </c>
      <c r="J35" s="11"/>
      <c r="K35" s="33"/>
      <c r="L35" s="29"/>
    </row>
    <row r="36" spans="2:24" ht="54" customHeight="1" x14ac:dyDescent="0.2">
      <c r="B36" s="152"/>
      <c r="C36" s="152"/>
      <c r="D36" s="168"/>
      <c r="E36" s="168"/>
      <c r="F36" s="22" t="s">
        <v>1180</v>
      </c>
      <c r="G36" s="12" t="s">
        <v>41</v>
      </c>
      <c r="H36" s="34" t="s">
        <v>1181</v>
      </c>
      <c r="I36" s="28" t="s">
        <v>10</v>
      </c>
      <c r="J36" s="11"/>
      <c r="K36" s="33"/>
      <c r="L36" s="29"/>
    </row>
    <row r="37" spans="2:24" ht="5.25" customHeight="1" x14ac:dyDescent="0.2"/>
    <row r="38" spans="2:24" ht="31" customHeight="1" x14ac:dyDescent="0.2">
      <c r="B38" s="69" t="s">
        <v>34</v>
      </c>
      <c r="C38" s="69" t="s">
        <v>258</v>
      </c>
      <c r="D38" s="69" t="s">
        <v>259</v>
      </c>
      <c r="E38" s="169" t="s">
        <v>32</v>
      </c>
      <c r="F38" s="170"/>
      <c r="G38" s="169" t="s">
        <v>16</v>
      </c>
      <c r="H38" s="170"/>
      <c r="I38" s="71" t="s">
        <v>8</v>
      </c>
      <c r="J38" s="69" t="s">
        <v>17</v>
      </c>
      <c r="K38" s="72" t="s">
        <v>44</v>
      </c>
      <c r="L38" s="69" t="s">
        <v>45</v>
      </c>
    </row>
    <row r="39" spans="2:24" ht="81.5" customHeight="1" x14ac:dyDescent="0.2">
      <c r="B39" s="151" t="s">
        <v>1141</v>
      </c>
      <c r="C39" s="151" t="s">
        <v>260</v>
      </c>
      <c r="D39" s="185" t="s">
        <v>1182</v>
      </c>
      <c r="E39" s="129" t="s">
        <v>2302</v>
      </c>
      <c r="F39" s="130"/>
      <c r="G39" s="127" t="s">
        <v>2286</v>
      </c>
      <c r="H39" s="128"/>
      <c r="I39" s="28" t="s">
        <v>10</v>
      </c>
      <c r="J39" s="11"/>
      <c r="K39" s="33"/>
      <c r="L39" s="29"/>
      <c r="M39" s="13"/>
      <c r="N39" s="13"/>
      <c r="O39" s="13"/>
      <c r="P39" s="13"/>
      <c r="Q39" s="13"/>
      <c r="R39" s="13"/>
      <c r="S39" s="13"/>
      <c r="T39" s="13"/>
      <c r="U39" s="13"/>
      <c r="V39" s="13"/>
      <c r="W39" s="13"/>
      <c r="X39" s="13"/>
    </row>
    <row r="40" spans="2:24" ht="81.5" customHeight="1" x14ac:dyDescent="0.2">
      <c r="B40" s="152"/>
      <c r="C40" s="152"/>
      <c r="D40" s="186"/>
      <c r="E40" s="131"/>
      <c r="F40" s="132"/>
      <c r="G40" s="127" t="s">
        <v>2287</v>
      </c>
      <c r="H40" s="128"/>
      <c r="I40" s="28" t="s">
        <v>10</v>
      </c>
      <c r="J40" s="11"/>
      <c r="K40" s="33"/>
      <c r="L40" s="29"/>
      <c r="M40" s="13"/>
      <c r="N40" s="13"/>
      <c r="O40" s="13"/>
      <c r="P40" s="13"/>
      <c r="Q40" s="13"/>
      <c r="R40" s="13"/>
      <c r="S40" s="13"/>
      <c r="T40" s="13"/>
      <c r="U40" s="13"/>
      <c r="V40" s="13"/>
      <c r="W40" s="13"/>
      <c r="X40" s="13"/>
    </row>
    <row r="41" spans="2:24" ht="81.5" customHeight="1" x14ac:dyDescent="0.2">
      <c r="B41" s="152"/>
      <c r="C41" s="152"/>
      <c r="D41" s="186"/>
      <c r="E41" s="133"/>
      <c r="F41" s="134"/>
      <c r="G41" s="127" t="s">
        <v>2288</v>
      </c>
      <c r="H41" s="128"/>
      <c r="I41" s="28" t="s">
        <v>10</v>
      </c>
      <c r="J41" s="11"/>
      <c r="K41" s="33"/>
      <c r="L41" s="29"/>
      <c r="M41" s="13"/>
      <c r="N41" s="13"/>
      <c r="O41" s="13"/>
      <c r="P41" s="13"/>
      <c r="Q41" s="13"/>
      <c r="R41" s="13"/>
      <c r="S41" s="13"/>
      <c r="T41" s="13"/>
      <c r="U41" s="13"/>
      <c r="V41" s="13"/>
      <c r="W41" s="13"/>
      <c r="X41" s="13"/>
    </row>
    <row r="42" spans="2:24" ht="107.5" customHeight="1" x14ac:dyDescent="0.2">
      <c r="B42" s="143" t="s">
        <v>1141</v>
      </c>
      <c r="C42" s="143" t="s">
        <v>261</v>
      </c>
      <c r="D42" s="181" t="s">
        <v>1183</v>
      </c>
      <c r="E42" s="135" t="s">
        <v>2303</v>
      </c>
      <c r="F42" s="136"/>
      <c r="G42" s="141" t="s">
        <v>2289</v>
      </c>
      <c r="H42" s="142"/>
      <c r="I42" s="28" t="s">
        <v>10</v>
      </c>
      <c r="J42" s="36"/>
      <c r="K42" s="37"/>
      <c r="L42" s="38"/>
      <c r="M42" s="13"/>
      <c r="N42" s="13"/>
      <c r="O42" s="13"/>
      <c r="P42" s="13"/>
      <c r="Q42" s="13"/>
      <c r="R42" s="13"/>
      <c r="S42" s="13"/>
      <c r="T42" s="13"/>
      <c r="U42" s="13"/>
      <c r="V42" s="13"/>
      <c r="W42" s="13"/>
      <c r="X42" s="13"/>
    </row>
    <row r="43" spans="2:24" ht="107.5" customHeight="1" x14ac:dyDescent="0.2">
      <c r="B43" s="144"/>
      <c r="C43" s="144"/>
      <c r="D43" s="182"/>
      <c r="E43" s="137"/>
      <c r="F43" s="138"/>
      <c r="G43" s="141" t="s">
        <v>2290</v>
      </c>
      <c r="H43" s="142"/>
      <c r="I43" s="28" t="s">
        <v>10</v>
      </c>
      <c r="J43" s="36"/>
      <c r="K43" s="37"/>
      <c r="L43" s="38"/>
      <c r="M43" s="13"/>
      <c r="N43" s="13"/>
      <c r="O43" s="13"/>
      <c r="P43" s="13"/>
      <c r="Q43" s="13"/>
      <c r="R43" s="13"/>
      <c r="S43" s="13"/>
      <c r="T43" s="13"/>
      <c r="U43" s="13"/>
      <c r="V43" s="13"/>
      <c r="W43" s="13"/>
      <c r="X43" s="13"/>
    </row>
    <row r="44" spans="2:24" ht="107.5" customHeight="1" x14ac:dyDescent="0.2">
      <c r="B44" s="144"/>
      <c r="C44" s="144"/>
      <c r="D44" s="182"/>
      <c r="E44" s="139"/>
      <c r="F44" s="140"/>
      <c r="G44" s="141" t="s">
        <v>2291</v>
      </c>
      <c r="H44" s="142"/>
      <c r="I44" s="28" t="s">
        <v>10</v>
      </c>
      <c r="J44" s="36"/>
      <c r="K44" s="37"/>
      <c r="L44" s="38"/>
      <c r="M44" s="13"/>
      <c r="N44" s="13"/>
      <c r="O44" s="13"/>
      <c r="P44" s="13"/>
      <c r="Q44" s="13"/>
      <c r="R44" s="13"/>
      <c r="S44" s="13"/>
      <c r="T44" s="13"/>
      <c r="U44" s="13"/>
      <c r="V44" s="13"/>
      <c r="W44" s="13"/>
      <c r="X44" s="13"/>
    </row>
    <row r="45" spans="2:24" ht="81.5" customHeight="1" x14ac:dyDescent="0.2">
      <c r="B45" s="151" t="s">
        <v>1141</v>
      </c>
      <c r="C45" s="151" t="s">
        <v>262</v>
      </c>
      <c r="D45" s="185" t="s">
        <v>1184</v>
      </c>
      <c r="E45" s="129" t="s">
        <v>2304</v>
      </c>
      <c r="F45" s="130"/>
      <c r="G45" s="127" t="s">
        <v>2292</v>
      </c>
      <c r="H45" s="128"/>
      <c r="I45" s="28" t="s">
        <v>10</v>
      </c>
      <c r="J45" s="11"/>
      <c r="K45" s="33"/>
      <c r="L45" s="29"/>
      <c r="M45" s="13"/>
      <c r="N45" s="13"/>
      <c r="O45" s="13"/>
      <c r="P45" s="13"/>
      <c r="Q45" s="13"/>
      <c r="R45" s="13"/>
      <c r="S45" s="13"/>
      <c r="T45" s="13"/>
      <c r="U45" s="13"/>
      <c r="V45" s="13"/>
      <c r="W45" s="13"/>
      <c r="X45" s="13"/>
    </row>
    <row r="46" spans="2:24" ht="81.5" customHeight="1" x14ac:dyDescent="0.2">
      <c r="B46" s="152"/>
      <c r="C46" s="152"/>
      <c r="D46" s="186"/>
      <c r="E46" s="131"/>
      <c r="F46" s="132"/>
      <c r="G46" s="127" t="s">
        <v>2293</v>
      </c>
      <c r="H46" s="128"/>
      <c r="I46" s="28" t="s">
        <v>10</v>
      </c>
      <c r="J46" s="11"/>
      <c r="K46" s="33"/>
      <c r="L46" s="29"/>
      <c r="M46" s="13"/>
      <c r="N46" s="13"/>
      <c r="O46" s="13"/>
      <c r="P46" s="13"/>
      <c r="Q46" s="13"/>
      <c r="R46" s="13"/>
      <c r="S46" s="13"/>
      <c r="T46" s="13"/>
      <c r="U46" s="13"/>
      <c r="V46" s="13"/>
      <c r="W46" s="13"/>
      <c r="X46" s="13"/>
    </row>
    <row r="47" spans="2:24" ht="81.5" customHeight="1" x14ac:dyDescent="0.2">
      <c r="B47" s="152"/>
      <c r="C47" s="152"/>
      <c r="D47" s="186"/>
      <c r="E47" s="133"/>
      <c r="F47" s="134"/>
      <c r="G47" s="127" t="s">
        <v>2294</v>
      </c>
      <c r="H47" s="128"/>
      <c r="I47" s="28" t="s">
        <v>10</v>
      </c>
      <c r="J47" s="11"/>
      <c r="K47" s="33"/>
      <c r="L47" s="29"/>
      <c r="M47" s="13"/>
      <c r="N47" s="13"/>
      <c r="O47" s="13"/>
      <c r="P47" s="13"/>
      <c r="Q47" s="13"/>
      <c r="R47" s="13"/>
      <c r="S47" s="13"/>
      <c r="T47" s="13"/>
      <c r="U47" s="13"/>
      <c r="V47" s="13"/>
      <c r="W47" s="13"/>
      <c r="X47" s="13"/>
    </row>
    <row r="48" spans="2:24" s="13" customFormat="1" x14ac:dyDescent="0.2">
      <c r="B48" s="3"/>
      <c r="C48" s="3"/>
      <c r="D48" s="3"/>
      <c r="E48" s="3"/>
      <c r="F48" s="89"/>
      <c r="G48" s="3"/>
      <c r="H48" s="89"/>
      <c r="I48" s="90"/>
      <c r="K48" s="31"/>
    </row>
    <row r="49" spans="2:11" s="13" customFormat="1" x14ac:dyDescent="0.2">
      <c r="B49" s="3"/>
      <c r="C49" s="3"/>
      <c r="D49" s="3"/>
      <c r="E49" s="3"/>
      <c r="F49" s="89"/>
      <c r="G49" s="3"/>
      <c r="H49" s="89"/>
      <c r="I49" s="90"/>
      <c r="K49" s="31"/>
    </row>
    <row r="50" spans="2:11" s="13" customFormat="1" ht="15" hidden="1" x14ac:dyDescent="0.2">
      <c r="B50" s="3"/>
      <c r="C50" s="3" t="s">
        <v>1124</v>
      </c>
      <c r="D50" s="3"/>
      <c r="E50" s="3"/>
      <c r="F50" s="89"/>
      <c r="G50" s="3"/>
      <c r="H50" s="89"/>
      <c r="I50" s="90"/>
      <c r="K50" s="31"/>
    </row>
    <row r="51" spans="2:11" s="13" customFormat="1" x14ac:dyDescent="0.2">
      <c r="B51" s="3"/>
      <c r="C51" s="3"/>
      <c r="D51" s="3"/>
      <c r="E51" s="3"/>
      <c r="F51" s="89"/>
      <c r="G51" s="3"/>
      <c r="H51" s="89"/>
      <c r="I51" s="90"/>
      <c r="K51" s="31"/>
    </row>
    <row r="52" spans="2:11" s="13" customFormat="1" x14ac:dyDescent="0.2">
      <c r="B52" s="3"/>
      <c r="C52" s="3"/>
      <c r="D52" s="3"/>
      <c r="E52" s="3"/>
      <c r="F52" s="89"/>
      <c r="G52" s="3"/>
      <c r="H52" s="89"/>
      <c r="I52" s="90"/>
      <c r="K52" s="31"/>
    </row>
    <row r="53" spans="2:11" s="13" customFormat="1" x14ac:dyDescent="0.2">
      <c r="B53" s="3"/>
      <c r="C53" s="3"/>
      <c r="D53" s="3"/>
      <c r="E53" s="3"/>
      <c r="F53" s="89"/>
      <c r="G53" s="3"/>
      <c r="H53" s="89"/>
      <c r="I53" s="90"/>
      <c r="K53" s="31"/>
    </row>
    <row r="54" spans="2:11" s="13" customFormat="1" x14ac:dyDescent="0.2">
      <c r="B54" s="3"/>
      <c r="C54" s="3"/>
      <c r="D54" s="3"/>
      <c r="E54" s="3"/>
      <c r="F54" s="89"/>
      <c r="G54" s="3"/>
      <c r="H54" s="89"/>
      <c r="I54" s="90"/>
      <c r="K54" s="31"/>
    </row>
    <row r="55" spans="2:11" s="13" customFormat="1" x14ac:dyDescent="0.2">
      <c r="B55" s="3"/>
      <c r="C55" s="3"/>
      <c r="D55" s="3"/>
      <c r="E55" s="3"/>
      <c r="F55" s="89"/>
      <c r="G55" s="3"/>
      <c r="H55" s="89"/>
      <c r="I55" s="90"/>
      <c r="K55" s="31"/>
    </row>
    <row r="56" spans="2:11" s="13" customFormat="1" x14ac:dyDescent="0.2">
      <c r="B56" s="3"/>
      <c r="C56" s="3"/>
      <c r="D56" s="3"/>
      <c r="E56" s="3"/>
      <c r="F56" s="89"/>
      <c r="G56" s="3"/>
      <c r="H56" s="89"/>
      <c r="I56" s="90"/>
      <c r="K56" s="31"/>
    </row>
    <row r="57" spans="2:11" s="13" customFormat="1" x14ac:dyDescent="0.2">
      <c r="B57" s="3"/>
      <c r="C57" s="3"/>
      <c r="D57" s="3"/>
      <c r="E57" s="3"/>
      <c r="F57" s="89"/>
      <c r="G57" s="3"/>
      <c r="H57" s="89"/>
      <c r="I57" s="90"/>
      <c r="K57" s="31"/>
    </row>
    <row r="58" spans="2:11" s="13" customFormat="1" x14ac:dyDescent="0.2">
      <c r="B58" s="3"/>
      <c r="C58" s="3"/>
      <c r="D58" s="3"/>
      <c r="E58" s="3"/>
      <c r="F58" s="89"/>
      <c r="G58" s="3"/>
      <c r="H58" s="89"/>
      <c r="I58" s="90"/>
      <c r="K58" s="31"/>
    </row>
    <row r="59" spans="2:11" s="13" customFormat="1" x14ac:dyDescent="0.2">
      <c r="B59" s="3"/>
      <c r="C59" s="3"/>
      <c r="D59" s="3"/>
      <c r="E59" s="3"/>
      <c r="F59" s="89"/>
      <c r="G59" s="3"/>
      <c r="H59" s="89"/>
      <c r="I59" s="90"/>
      <c r="K59" s="31"/>
    </row>
    <row r="60" spans="2:11" s="13" customFormat="1" x14ac:dyDescent="0.2">
      <c r="B60" s="3"/>
      <c r="C60" s="3"/>
      <c r="D60" s="3"/>
      <c r="E60" s="3"/>
      <c r="F60" s="89"/>
      <c r="G60" s="3"/>
      <c r="H60" s="89"/>
      <c r="I60" s="90"/>
      <c r="K60" s="31"/>
    </row>
    <row r="61" spans="2:11" s="13" customFormat="1" x14ac:dyDescent="0.2">
      <c r="B61" s="3"/>
      <c r="C61" s="3"/>
      <c r="D61" s="3"/>
      <c r="E61" s="3"/>
      <c r="F61" s="89"/>
      <c r="G61" s="3"/>
      <c r="H61" s="89"/>
      <c r="I61" s="90"/>
      <c r="K61" s="31"/>
    </row>
    <row r="62" spans="2:11" s="13" customFormat="1" x14ac:dyDescent="0.2">
      <c r="B62" s="3"/>
      <c r="C62" s="3"/>
      <c r="D62" s="3"/>
      <c r="E62" s="3"/>
      <c r="F62" s="89"/>
      <c r="G62" s="3"/>
      <c r="H62" s="89"/>
      <c r="I62" s="90"/>
      <c r="K62" s="31"/>
    </row>
    <row r="63" spans="2:11" s="13" customFormat="1" x14ac:dyDescent="0.2">
      <c r="B63" s="3"/>
      <c r="C63" s="3"/>
      <c r="D63" s="3"/>
      <c r="E63" s="3"/>
      <c r="F63" s="89"/>
      <c r="G63" s="3"/>
      <c r="H63" s="89"/>
      <c r="I63" s="90"/>
      <c r="K63" s="31"/>
    </row>
    <row r="64" spans="2:11" s="13" customFormat="1" x14ac:dyDescent="0.2">
      <c r="B64" s="3"/>
      <c r="C64" s="3"/>
      <c r="D64" s="3"/>
      <c r="E64" s="3"/>
      <c r="F64" s="89"/>
      <c r="G64" s="3"/>
      <c r="H64" s="89"/>
      <c r="I64" s="90"/>
      <c r="K64" s="31"/>
    </row>
    <row r="65" spans="2:11" s="13" customFormat="1" x14ac:dyDescent="0.2">
      <c r="B65" s="3"/>
      <c r="C65" s="3"/>
      <c r="D65" s="3"/>
      <c r="E65" s="3"/>
      <c r="F65" s="89"/>
      <c r="G65" s="3"/>
      <c r="H65" s="89"/>
      <c r="I65" s="90"/>
      <c r="K65" s="31"/>
    </row>
    <row r="66" spans="2:11" s="13" customFormat="1" x14ac:dyDescent="0.2">
      <c r="B66" s="3"/>
      <c r="C66" s="3"/>
      <c r="D66" s="3"/>
      <c r="E66" s="3"/>
      <c r="F66" s="89"/>
      <c r="G66" s="3"/>
      <c r="H66" s="89"/>
      <c r="I66" s="90"/>
      <c r="K66" s="31"/>
    </row>
    <row r="67" spans="2:11" s="13" customFormat="1" x14ac:dyDescent="0.2">
      <c r="B67" s="3"/>
      <c r="C67" s="3"/>
      <c r="D67" s="3"/>
      <c r="E67" s="3"/>
      <c r="F67" s="89"/>
      <c r="G67" s="3"/>
      <c r="H67" s="89"/>
      <c r="I67" s="90"/>
      <c r="K67" s="31"/>
    </row>
    <row r="68" spans="2:11" s="13" customFormat="1" x14ac:dyDescent="0.2">
      <c r="B68" s="3"/>
      <c r="C68" s="3"/>
      <c r="D68" s="3"/>
      <c r="E68" s="3"/>
      <c r="F68" s="89"/>
      <c r="G68" s="3"/>
      <c r="H68" s="89"/>
      <c r="I68" s="90"/>
      <c r="K68" s="31"/>
    </row>
    <row r="69" spans="2:11" s="13" customFormat="1" x14ac:dyDescent="0.2">
      <c r="B69" s="3"/>
      <c r="C69" s="3"/>
      <c r="D69" s="3"/>
      <c r="E69" s="3"/>
      <c r="F69" s="89"/>
      <c r="G69" s="3"/>
      <c r="H69" s="89"/>
      <c r="I69" s="90"/>
      <c r="K69" s="31"/>
    </row>
    <row r="70" spans="2:11" s="13" customFormat="1" x14ac:dyDescent="0.2">
      <c r="B70" s="3"/>
      <c r="C70" s="3"/>
      <c r="D70" s="3"/>
      <c r="E70" s="3"/>
      <c r="F70" s="89"/>
      <c r="G70" s="3"/>
      <c r="H70" s="89"/>
      <c r="I70" s="90"/>
      <c r="K70" s="31"/>
    </row>
    <row r="71" spans="2:11" s="13" customFormat="1" x14ac:dyDescent="0.2">
      <c r="B71" s="3"/>
      <c r="C71" s="3"/>
      <c r="D71" s="3"/>
      <c r="E71" s="3"/>
      <c r="F71" s="89"/>
      <c r="G71" s="3"/>
      <c r="H71" s="89"/>
      <c r="I71" s="90"/>
      <c r="K71" s="31"/>
    </row>
    <row r="72" spans="2:11" s="13" customFormat="1" x14ac:dyDescent="0.2">
      <c r="B72" s="3"/>
      <c r="C72" s="3"/>
      <c r="D72" s="3"/>
      <c r="E72" s="3"/>
      <c r="F72" s="89"/>
      <c r="G72" s="3"/>
      <c r="H72" s="89"/>
      <c r="I72" s="90"/>
      <c r="K72" s="31"/>
    </row>
    <row r="73" spans="2:11" s="13" customFormat="1" x14ac:dyDescent="0.2">
      <c r="B73" s="3"/>
      <c r="C73" s="3"/>
      <c r="D73" s="3"/>
      <c r="E73" s="3"/>
      <c r="F73" s="89"/>
      <c r="G73" s="3"/>
      <c r="H73" s="89"/>
      <c r="I73" s="90"/>
      <c r="K73" s="31"/>
    </row>
    <row r="74" spans="2:11" s="13" customFormat="1" x14ac:dyDescent="0.2">
      <c r="B74" s="3"/>
      <c r="C74" s="3"/>
      <c r="D74" s="3"/>
      <c r="E74" s="3"/>
      <c r="F74" s="89"/>
      <c r="G74" s="3"/>
      <c r="H74" s="89"/>
      <c r="I74" s="90"/>
      <c r="K74" s="31"/>
    </row>
    <row r="75" spans="2:11" s="13" customFormat="1" x14ac:dyDescent="0.2">
      <c r="B75" s="3"/>
      <c r="C75" s="3"/>
      <c r="D75" s="3"/>
      <c r="E75" s="3"/>
      <c r="F75" s="89"/>
      <c r="G75" s="3"/>
      <c r="H75" s="89"/>
      <c r="I75" s="90"/>
      <c r="K75" s="31"/>
    </row>
    <row r="76" spans="2:11" s="13" customFormat="1" x14ac:dyDescent="0.2">
      <c r="B76" s="3"/>
      <c r="C76" s="3"/>
      <c r="D76" s="3"/>
      <c r="E76" s="3"/>
      <c r="F76" s="89"/>
      <c r="G76" s="3"/>
      <c r="H76" s="89"/>
      <c r="I76" s="90"/>
      <c r="K76" s="31"/>
    </row>
    <row r="77" spans="2:11" s="13" customFormat="1" x14ac:dyDescent="0.2">
      <c r="B77" s="3"/>
      <c r="C77" s="3"/>
      <c r="D77" s="3"/>
      <c r="E77" s="3"/>
      <c r="F77" s="89"/>
      <c r="G77" s="3"/>
      <c r="H77" s="89"/>
      <c r="I77" s="90"/>
      <c r="K77" s="31"/>
    </row>
    <row r="78" spans="2:11" s="13" customFormat="1" x14ac:dyDescent="0.2">
      <c r="B78" s="3"/>
      <c r="C78" s="3"/>
      <c r="D78" s="3"/>
      <c r="E78" s="3"/>
      <c r="F78" s="89"/>
      <c r="G78" s="3"/>
      <c r="H78" s="89"/>
      <c r="I78" s="90"/>
      <c r="K78" s="31"/>
    </row>
    <row r="79" spans="2:11" s="13" customFormat="1" x14ac:dyDescent="0.2">
      <c r="B79" s="3"/>
      <c r="C79" s="3"/>
      <c r="D79" s="3"/>
      <c r="E79" s="3"/>
      <c r="F79" s="89"/>
      <c r="G79" s="3"/>
      <c r="H79" s="89"/>
      <c r="I79" s="90"/>
      <c r="K79" s="31"/>
    </row>
    <row r="80" spans="2:11" s="13" customFormat="1" x14ac:dyDescent="0.2">
      <c r="B80" s="3"/>
      <c r="C80" s="3"/>
      <c r="D80" s="3"/>
      <c r="E80" s="3"/>
      <c r="F80" s="89"/>
      <c r="G80" s="3"/>
      <c r="H80" s="89"/>
      <c r="I80" s="90"/>
      <c r="K80" s="31"/>
    </row>
    <row r="81" spans="2:11" s="13" customFormat="1" x14ac:dyDescent="0.2">
      <c r="B81" s="3"/>
      <c r="C81" s="3"/>
      <c r="D81" s="3"/>
      <c r="E81" s="3"/>
      <c r="F81" s="89"/>
      <c r="G81" s="3"/>
      <c r="H81" s="89"/>
      <c r="I81" s="90"/>
      <c r="K81" s="31"/>
    </row>
    <row r="82" spans="2:11" s="13" customFormat="1" x14ac:dyDescent="0.2">
      <c r="B82" s="3"/>
      <c r="C82" s="3"/>
      <c r="D82" s="3"/>
      <c r="E82" s="3"/>
      <c r="F82" s="89"/>
      <c r="G82" s="3"/>
      <c r="H82" s="89"/>
      <c r="I82" s="90"/>
      <c r="K82" s="31"/>
    </row>
    <row r="83" spans="2:11" s="13" customFormat="1" x14ac:dyDescent="0.2">
      <c r="B83" s="3"/>
      <c r="C83" s="3"/>
      <c r="D83" s="3"/>
      <c r="E83" s="3"/>
      <c r="F83" s="89"/>
      <c r="G83" s="3"/>
      <c r="H83" s="89"/>
      <c r="I83" s="90"/>
      <c r="K83" s="31"/>
    </row>
    <row r="84" spans="2:11" s="13" customFormat="1" x14ac:dyDescent="0.2">
      <c r="B84" s="3"/>
      <c r="C84" s="3"/>
      <c r="D84" s="3"/>
      <c r="E84" s="3"/>
      <c r="F84" s="89"/>
      <c r="G84" s="3"/>
      <c r="H84" s="89"/>
      <c r="I84" s="90"/>
      <c r="K84" s="31"/>
    </row>
    <row r="85" spans="2:11" s="13" customFormat="1" x14ac:dyDescent="0.2">
      <c r="B85" s="3"/>
      <c r="C85" s="3"/>
      <c r="D85" s="3"/>
      <c r="E85" s="3"/>
      <c r="F85" s="89"/>
      <c r="G85" s="3"/>
      <c r="H85" s="89"/>
      <c r="I85" s="90"/>
      <c r="K85" s="31"/>
    </row>
    <row r="86" spans="2:11" s="13" customFormat="1" x14ac:dyDescent="0.2">
      <c r="B86" s="3"/>
      <c r="C86" s="3"/>
      <c r="D86" s="3"/>
      <c r="E86" s="3"/>
      <c r="F86" s="89"/>
      <c r="G86" s="3"/>
      <c r="H86" s="89"/>
      <c r="I86" s="90"/>
      <c r="K86" s="31"/>
    </row>
    <row r="87" spans="2:11" s="13" customFormat="1" x14ac:dyDescent="0.2">
      <c r="B87" s="3"/>
      <c r="C87" s="3"/>
      <c r="D87" s="3"/>
      <c r="E87" s="3"/>
      <c r="F87" s="89"/>
      <c r="G87" s="3"/>
      <c r="H87" s="89"/>
      <c r="I87" s="90"/>
      <c r="K87" s="31"/>
    </row>
    <row r="88" spans="2:11" s="13" customFormat="1" x14ac:dyDescent="0.2">
      <c r="B88" s="3"/>
      <c r="C88" s="3"/>
      <c r="D88" s="3"/>
      <c r="E88" s="3"/>
      <c r="F88" s="89"/>
      <c r="G88" s="3"/>
      <c r="H88" s="89"/>
      <c r="I88" s="90"/>
      <c r="K88" s="31"/>
    </row>
    <row r="89" spans="2:11" s="13" customFormat="1" x14ac:dyDescent="0.2">
      <c r="B89" s="3"/>
      <c r="C89" s="3"/>
      <c r="D89" s="3"/>
      <c r="E89" s="3"/>
      <c r="F89" s="89"/>
      <c r="G89" s="3"/>
      <c r="H89" s="89"/>
      <c r="I89" s="90"/>
      <c r="K89" s="31"/>
    </row>
    <row r="90" spans="2:11" s="13" customFormat="1" x14ac:dyDescent="0.2">
      <c r="B90" s="3"/>
      <c r="C90" s="3"/>
      <c r="D90" s="3"/>
      <c r="E90" s="3"/>
      <c r="F90" s="89"/>
      <c r="G90" s="3"/>
      <c r="H90" s="89"/>
      <c r="I90" s="90"/>
      <c r="K90" s="31"/>
    </row>
    <row r="91" spans="2:11" s="13" customFormat="1" x14ac:dyDescent="0.2">
      <c r="B91" s="3"/>
      <c r="C91" s="3"/>
      <c r="D91" s="3"/>
      <c r="E91" s="3"/>
      <c r="F91" s="89"/>
      <c r="G91" s="3"/>
      <c r="H91" s="89"/>
      <c r="I91" s="90"/>
      <c r="K91" s="31"/>
    </row>
    <row r="92" spans="2:11" s="13" customFormat="1" x14ac:dyDescent="0.2">
      <c r="B92" s="3"/>
      <c r="C92" s="3"/>
      <c r="D92" s="3"/>
      <c r="E92" s="3"/>
      <c r="F92" s="89"/>
      <c r="G92" s="3"/>
      <c r="H92" s="89"/>
      <c r="I92" s="90"/>
      <c r="K92" s="31"/>
    </row>
    <row r="93" spans="2:11" s="13" customFormat="1" x14ac:dyDescent="0.2">
      <c r="B93" s="3"/>
      <c r="C93" s="3"/>
      <c r="D93" s="3"/>
      <c r="E93" s="3"/>
      <c r="F93" s="89"/>
      <c r="G93" s="3"/>
      <c r="H93" s="89"/>
      <c r="I93" s="90"/>
      <c r="K93" s="31"/>
    </row>
    <row r="94" spans="2:11" s="13" customFormat="1" x14ac:dyDescent="0.2">
      <c r="B94" s="3"/>
      <c r="C94" s="3"/>
      <c r="D94" s="3"/>
      <c r="E94" s="3"/>
      <c r="F94" s="89"/>
      <c r="G94" s="3"/>
      <c r="H94" s="89"/>
      <c r="I94" s="90"/>
      <c r="K94" s="31"/>
    </row>
    <row r="95" spans="2:11" s="13" customFormat="1" x14ac:dyDescent="0.2">
      <c r="B95" s="3"/>
      <c r="C95" s="3"/>
      <c r="D95" s="3"/>
      <c r="E95" s="3"/>
      <c r="F95" s="89"/>
      <c r="G95" s="3"/>
      <c r="H95" s="89"/>
      <c r="I95" s="90"/>
      <c r="K95" s="31"/>
    </row>
    <row r="96" spans="2:11" s="13" customFormat="1" x14ac:dyDescent="0.2">
      <c r="B96" s="3"/>
      <c r="C96" s="3"/>
      <c r="D96" s="3"/>
      <c r="E96" s="3"/>
      <c r="F96" s="89"/>
      <c r="G96" s="3"/>
      <c r="H96" s="89"/>
      <c r="I96" s="90"/>
      <c r="K96" s="31"/>
    </row>
    <row r="97" spans="2:11" s="13" customFormat="1" x14ac:dyDescent="0.2">
      <c r="B97" s="3"/>
      <c r="C97" s="3"/>
      <c r="D97" s="3"/>
      <c r="E97" s="3"/>
      <c r="F97" s="89"/>
      <c r="G97" s="3"/>
      <c r="H97" s="89"/>
      <c r="I97" s="90"/>
      <c r="K97" s="31"/>
    </row>
    <row r="98" spans="2:11" s="13" customFormat="1" x14ac:dyDescent="0.2">
      <c r="B98" s="3"/>
      <c r="C98" s="3"/>
      <c r="D98" s="3"/>
      <c r="E98" s="3"/>
      <c r="F98" s="89"/>
      <c r="G98" s="3"/>
      <c r="H98" s="89"/>
      <c r="I98" s="90"/>
      <c r="K98" s="31"/>
    </row>
    <row r="99" spans="2:11" s="13" customFormat="1" x14ac:dyDescent="0.2">
      <c r="B99" s="3"/>
      <c r="C99" s="3"/>
      <c r="D99" s="3"/>
      <c r="E99" s="3"/>
      <c r="F99" s="89"/>
      <c r="G99" s="3"/>
      <c r="H99" s="89"/>
      <c r="I99" s="90"/>
      <c r="K99" s="31"/>
    </row>
    <row r="100" spans="2:11" s="13" customFormat="1" x14ac:dyDescent="0.2">
      <c r="B100" s="3"/>
      <c r="C100" s="3"/>
      <c r="D100" s="3"/>
      <c r="E100" s="3"/>
      <c r="F100" s="89"/>
      <c r="G100" s="3"/>
      <c r="H100" s="89"/>
      <c r="I100" s="90"/>
      <c r="K100" s="31"/>
    </row>
    <row r="101" spans="2:11" s="13" customFormat="1" x14ac:dyDescent="0.2">
      <c r="B101" s="3"/>
      <c r="C101" s="3"/>
      <c r="D101" s="3"/>
      <c r="E101" s="3"/>
      <c r="F101" s="89"/>
      <c r="G101" s="3"/>
      <c r="H101" s="89"/>
      <c r="I101" s="90"/>
      <c r="K101" s="31"/>
    </row>
    <row r="102" spans="2:11" s="13" customFormat="1" x14ac:dyDescent="0.2">
      <c r="B102" s="3"/>
      <c r="C102" s="3"/>
      <c r="D102" s="3"/>
      <c r="E102" s="3"/>
      <c r="F102" s="89"/>
      <c r="G102" s="3"/>
      <c r="H102" s="89"/>
      <c r="I102" s="90"/>
      <c r="K102" s="31"/>
    </row>
    <row r="103" spans="2:11" s="13" customFormat="1" x14ac:dyDescent="0.2">
      <c r="B103" s="3"/>
      <c r="C103" s="3"/>
      <c r="D103" s="3"/>
      <c r="E103" s="3"/>
      <c r="F103" s="89"/>
      <c r="G103" s="3"/>
      <c r="H103" s="89"/>
      <c r="I103" s="90"/>
      <c r="K103" s="31"/>
    </row>
    <row r="104" spans="2:11" s="13" customFormat="1" x14ac:dyDescent="0.2">
      <c r="B104" s="3"/>
      <c r="C104" s="3"/>
      <c r="D104" s="3"/>
      <c r="E104" s="3"/>
      <c r="F104" s="89"/>
      <c r="G104" s="3"/>
      <c r="H104" s="89"/>
      <c r="I104" s="90"/>
      <c r="K104" s="31"/>
    </row>
    <row r="105" spans="2:11" s="13" customFormat="1" x14ac:dyDescent="0.2">
      <c r="B105" s="3"/>
      <c r="C105" s="3"/>
      <c r="D105" s="3"/>
      <c r="E105" s="3"/>
      <c r="F105" s="89"/>
      <c r="G105" s="3"/>
      <c r="H105" s="89"/>
      <c r="I105" s="90"/>
      <c r="K105" s="31"/>
    </row>
    <row r="106" spans="2:11" s="13" customFormat="1" x14ac:dyDescent="0.2">
      <c r="B106" s="3"/>
      <c r="C106" s="3"/>
      <c r="D106" s="3"/>
      <c r="E106" s="3"/>
      <c r="F106" s="89"/>
      <c r="G106" s="3"/>
      <c r="H106" s="89"/>
      <c r="I106" s="90"/>
      <c r="K106" s="31"/>
    </row>
    <row r="107" spans="2:11" s="13" customFormat="1" x14ac:dyDescent="0.2">
      <c r="B107" s="3"/>
      <c r="C107" s="3"/>
      <c r="D107" s="3"/>
      <c r="E107" s="3"/>
      <c r="F107" s="89"/>
      <c r="G107" s="3"/>
      <c r="H107" s="89"/>
      <c r="I107" s="90"/>
      <c r="K107" s="31"/>
    </row>
    <row r="108" spans="2:11" s="13" customFormat="1" x14ac:dyDescent="0.2">
      <c r="B108" s="3"/>
      <c r="C108" s="3"/>
      <c r="D108" s="3"/>
      <c r="E108" s="3"/>
      <c r="F108" s="89"/>
      <c r="G108" s="3"/>
      <c r="H108" s="89"/>
      <c r="I108" s="90"/>
      <c r="K108" s="31"/>
    </row>
    <row r="109" spans="2:11" s="13" customFormat="1" x14ac:dyDescent="0.2">
      <c r="B109" s="3"/>
      <c r="C109" s="3"/>
      <c r="D109" s="3"/>
      <c r="E109" s="3"/>
      <c r="F109" s="89"/>
      <c r="G109" s="3"/>
      <c r="H109" s="89"/>
      <c r="I109" s="90"/>
      <c r="K109" s="31"/>
    </row>
    <row r="110" spans="2:11" s="13" customFormat="1" x14ac:dyDescent="0.2">
      <c r="B110" s="3"/>
      <c r="C110" s="3"/>
      <c r="D110" s="3"/>
      <c r="E110" s="3"/>
      <c r="F110" s="89"/>
      <c r="G110" s="3"/>
      <c r="H110" s="89"/>
      <c r="I110" s="90"/>
      <c r="K110" s="31"/>
    </row>
    <row r="111" spans="2:11" s="13" customFormat="1" x14ac:dyDescent="0.2">
      <c r="B111" s="3"/>
      <c r="C111" s="3"/>
      <c r="D111" s="3"/>
      <c r="E111" s="3"/>
      <c r="F111" s="89"/>
      <c r="G111" s="3"/>
      <c r="H111" s="89"/>
      <c r="I111" s="90"/>
      <c r="K111" s="31"/>
    </row>
    <row r="112" spans="2:11" s="13" customFormat="1" x14ac:dyDescent="0.2">
      <c r="B112" s="3"/>
      <c r="C112" s="3"/>
      <c r="D112" s="3"/>
      <c r="E112" s="3"/>
      <c r="F112" s="89"/>
      <c r="G112" s="3"/>
      <c r="H112" s="89"/>
      <c r="I112" s="90"/>
      <c r="K112" s="31"/>
    </row>
    <row r="113" spans="2:11" s="13" customFormat="1" x14ac:dyDescent="0.2">
      <c r="B113" s="3"/>
      <c r="C113" s="3"/>
      <c r="D113" s="3"/>
      <c r="E113" s="3"/>
      <c r="F113" s="89"/>
      <c r="G113" s="3"/>
      <c r="H113" s="89"/>
      <c r="I113" s="90"/>
      <c r="K113" s="31"/>
    </row>
    <row r="114" spans="2:11" s="13" customFormat="1" x14ac:dyDescent="0.2">
      <c r="B114" s="3"/>
      <c r="C114" s="3"/>
      <c r="D114" s="3"/>
      <c r="E114" s="3"/>
      <c r="F114" s="89"/>
      <c r="G114" s="3"/>
      <c r="H114" s="89"/>
      <c r="I114" s="90"/>
      <c r="K114" s="31"/>
    </row>
    <row r="115" spans="2:11" s="13" customFormat="1" x14ac:dyDescent="0.2">
      <c r="B115" s="3"/>
      <c r="C115" s="3"/>
      <c r="D115" s="3"/>
      <c r="E115" s="3"/>
      <c r="F115" s="89"/>
      <c r="G115" s="3"/>
      <c r="H115" s="89"/>
      <c r="I115" s="90"/>
      <c r="K115" s="31"/>
    </row>
    <row r="116" spans="2:11" s="13" customFormat="1" x14ac:dyDescent="0.2">
      <c r="B116" s="3"/>
      <c r="C116" s="3"/>
      <c r="D116" s="3"/>
      <c r="E116" s="3"/>
      <c r="F116" s="89"/>
      <c r="G116" s="3"/>
      <c r="H116" s="89"/>
      <c r="I116" s="90"/>
      <c r="K116" s="31"/>
    </row>
    <row r="117" spans="2:11" s="13" customFormat="1" x14ac:dyDescent="0.2">
      <c r="B117" s="3"/>
      <c r="C117" s="3"/>
      <c r="D117" s="3"/>
      <c r="E117" s="3"/>
      <c r="F117" s="89"/>
      <c r="G117" s="3"/>
      <c r="H117" s="89"/>
      <c r="I117" s="90"/>
      <c r="K117" s="31"/>
    </row>
    <row r="118" spans="2:11" s="13" customFormat="1" x14ac:dyDescent="0.2">
      <c r="B118" s="3"/>
      <c r="C118" s="3"/>
      <c r="D118" s="3"/>
      <c r="E118" s="3"/>
      <c r="F118" s="89"/>
      <c r="G118" s="3"/>
      <c r="H118" s="89"/>
      <c r="I118" s="90"/>
      <c r="K118" s="31"/>
    </row>
    <row r="119" spans="2:11" s="13" customFormat="1" x14ac:dyDescent="0.2">
      <c r="B119" s="3"/>
      <c r="C119" s="3"/>
      <c r="D119" s="3"/>
      <c r="E119" s="3"/>
      <c r="F119" s="89"/>
      <c r="G119" s="3"/>
      <c r="H119" s="89"/>
      <c r="I119" s="90"/>
      <c r="K119" s="31"/>
    </row>
    <row r="120" spans="2:11" s="13" customFormat="1" x14ac:dyDescent="0.2">
      <c r="B120" s="3"/>
      <c r="C120" s="3"/>
      <c r="D120" s="3"/>
      <c r="E120" s="3"/>
      <c r="F120" s="89"/>
      <c r="G120" s="3"/>
      <c r="H120" s="89"/>
      <c r="I120" s="90"/>
      <c r="K120" s="31"/>
    </row>
    <row r="121" spans="2:11" s="13" customFormat="1" x14ac:dyDescent="0.2">
      <c r="B121" s="3"/>
      <c r="C121" s="3"/>
      <c r="D121" s="3"/>
      <c r="E121" s="3"/>
      <c r="F121" s="89"/>
      <c r="G121" s="3"/>
      <c r="H121" s="89"/>
      <c r="I121" s="90"/>
      <c r="K121" s="31"/>
    </row>
    <row r="122" spans="2:11" s="13" customFormat="1" x14ac:dyDescent="0.2">
      <c r="B122" s="3"/>
      <c r="C122" s="3"/>
      <c r="D122" s="3"/>
      <c r="E122" s="3"/>
      <c r="F122" s="89"/>
      <c r="G122" s="3"/>
      <c r="H122" s="89"/>
      <c r="I122" s="90"/>
      <c r="K122" s="31"/>
    </row>
    <row r="123" spans="2:11" s="13" customFormat="1" x14ac:dyDescent="0.2">
      <c r="B123" s="3"/>
      <c r="C123" s="3"/>
      <c r="D123" s="3"/>
      <c r="E123" s="3"/>
      <c r="F123" s="89"/>
      <c r="G123" s="3"/>
      <c r="H123" s="89"/>
      <c r="I123" s="90"/>
      <c r="K123" s="31"/>
    </row>
    <row r="124" spans="2:11" s="13" customFormat="1" x14ac:dyDescent="0.2">
      <c r="B124" s="3"/>
      <c r="C124" s="3"/>
      <c r="D124" s="3"/>
      <c r="E124" s="3"/>
      <c r="F124" s="89"/>
      <c r="G124" s="3"/>
      <c r="H124" s="89"/>
      <c r="I124" s="90"/>
      <c r="K124" s="31"/>
    </row>
    <row r="125" spans="2:11" s="13" customFormat="1" x14ac:dyDescent="0.2">
      <c r="B125" s="3"/>
      <c r="C125" s="3"/>
      <c r="D125" s="3"/>
      <c r="E125" s="3"/>
      <c r="F125" s="89"/>
      <c r="G125" s="3"/>
      <c r="H125" s="89"/>
      <c r="I125" s="90"/>
      <c r="K125" s="31"/>
    </row>
    <row r="126" spans="2:11" s="13" customFormat="1" x14ac:dyDescent="0.2">
      <c r="B126" s="3"/>
      <c r="C126" s="3"/>
      <c r="D126" s="3"/>
      <c r="E126" s="3"/>
      <c r="F126" s="89"/>
      <c r="G126" s="3"/>
      <c r="H126" s="89"/>
      <c r="I126" s="90"/>
      <c r="K126" s="31"/>
    </row>
    <row r="127" spans="2:11" s="13" customFormat="1" x14ac:dyDescent="0.2">
      <c r="B127" s="3"/>
      <c r="C127" s="3"/>
      <c r="D127" s="3"/>
      <c r="E127" s="3"/>
      <c r="F127" s="89"/>
      <c r="G127" s="3"/>
      <c r="H127" s="89"/>
      <c r="I127" s="90"/>
      <c r="K127" s="31"/>
    </row>
    <row r="128" spans="2:11" s="13" customFormat="1" x14ac:dyDescent="0.2">
      <c r="B128" s="3"/>
      <c r="C128" s="3"/>
      <c r="D128" s="3"/>
      <c r="E128" s="3"/>
      <c r="F128" s="89"/>
      <c r="G128" s="3"/>
      <c r="H128" s="89"/>
      <c r="I128" s="90"/>
      <c r="K128" s="31"/>
    </row>
    <row r="129" spans="2:11" s="13" customFormat="1" x14ac:dyDescent="0.2">
      <c r="B129" s="3"/>
      <c r="C129" s="3"/>
      <c r="D129" s="3"/>
      <c r="E129" s="3"/>
      <c r="F129" s="89"/>
      <c r="G129" s="3"/>
      <c r="H129" s="89"/>
      <c r="I129" s="90"/>
      <c r="K129" s="31"/>
    </row>
    <row r="130" spans="2:11" s="13" customFormat="1" x14ac:dyDescent="0.2">
      <c r="B130" s="3"/>
      <c r="C130" s="3"/>
      <c r="D130" s="3"/>
      <c r="E130" s="3"/>
      <c r="F130" s="89"/>
      <c r="G130" s="3"/>
      <c r="H130" s="89"/>
      <c r="I130" s="90"/>
      <c r="K130" s="31"/>
    </row>
    <row r="131" spans="2:11" s="13" customFormat="1" x14ac:dyDescent="0.2">
      <c r="B131" s="3"/>
      <c r="C131" s="3"/>
      <c r="D131" s="3"/>
      <c r="E131" s="3"/>
      <c r="F131" s="89"/>
      <c r="G131" s="3"/>
      <c r="H131" s="89"/>
      <c r="I131" s="90"/>
      <c r="K131" s="31"/>
    </row>
    <row r="132" spans="2:11" s="13" customFormat="1" x14ac:dyDescent="0.2">
      <c r="B132" s="3"/>
      <c r="C132" s="3"/>
      <c r="D132" s="3"/>
      <c r="E132" s="3"/>
      <c r="F132" s="89"/>
      <c r="G132" s="3"/>
      <c r="H132" s="89"/>
      <c r="I132" s="90"/>
      <c r="K132" s="31"/>
    </row>
    <row r="133" spans="2:11" s="13" customFormat="1" x14ac:dyDescent="0.2">
      <c r="B133" s="3"/>
      <c r="C133" s="3"/>
      <c r="D133" s="3"/>
      <c r="E133" s="3"/>
      <c r="F133" s="89"/>
      <c r="G133" s="3"/>
      <c r="H133" s="89"/>
      <c r="I133" s="90"/>
      <c r="K133" s="31"/>
    </row>
    <row r="134" spans="2:11" s="13" customFormat="1" x14ac:dyDescent="0.2">
      <c r="B134" s="3"/>
      <c r="C134" s="3"/>
      <c r="D134" s="3"/>
      <c r="E134" s="3"/>
      <c r="F134" s="89"/>
      <c r="G134" s="3"/>
      <c r="H134" s="89"/>
      <c r="I134" s="90"/>
      <c r="K134" s="31"/>
    </row>
    <row r="135" spans="2:11" s="13" customFormat="1" x14ac:dyDescent="0.2">
      <c r="B135" s="3"/>
      <c r="C135" s="3"/>
      <c r="D135" s="3"/>
      <c r="E135" s="3"/>
      <c r="F135" s="89"/>
      <c r="G135" s="3"/>
      <c r="H135" s="89"/>
      <c r="I135" s="90"/>
      <c r="K135" s="31"/>
    </row>
    <row r="136" spans="2:11" s="13" customFormat="1" x14ac:dyDescent="0.2">
      <c r="B136" s="3"/>
      <c r="C136" s="3"/>
      <c r="D136" s="3"/>
      <c r="E136" s="3"/>
      <c r="F136" s="89"/>
      <c r="G136" s="3"/>
      <c r="H136" s="89"/>
      <c r="I136" s="90"/>
      <c r="K136" s="31"/>
    </row>
    <row r="137" spans="2:11" s="13" customFormat="1" x14ac:dyDescent="0.2">
      <c r="B137" s="3"/>
      <c r="C137" s="3"/>
      <c r="D137" s="3"/>
      <c r="E137" s="3"/>
      <c r="F137" s="89"/>
      <c r="G137" s="3"/>
      <c r="H137" s="89"/>
      <c r="I137" s="90"/>
      <c r="K137" s="31"/>
    </row>
    <row r="138" spans="2:11" s="13" customFormat="1" x14ac:dyDescent="0.2">
      <c r="B138" s="3"/>
      <c r="C138" s="3"/>
      <c r="D138" s="3"/>
      <c r="E138" s="3"/>
      <c r="F138" s="89"/>
      <c r="G138" s="3"/>
      <c r="H138" s="89"/>
      <c r="I138" s="90"/>
      <c r="K138" s="31"/>
    </row>
    <row r="139" spans="2:11" s="13" customFormat="1" x14ac:dyDescent="0.2">
      <c r="B139" s="3"/>
      <c r="C139" s="3"/>
      <c r="D139" s="3"/>
      <c r="E139" s="3"/>
      <c r="F139" s="89"/>
      <c r="G139" s="3"/>
      <c r="H139" s="89"/>
      <c r="I139" s="90"/>
      <c r="K139" s="31"/>
    </row>
    <row r="140" spans="2:11" s="13" customFormat="1" x14ac:dyDescent="0.2">
      <c r="B140" s="3"/>
      <c r="C140" s="3"/>
      <c r="D140" s="3"/>
      <c r="E140" s="3"/>
      <c r="F140" s="89"/>
      <c r="G140" s="3"/>
      <c r="H140" s="89"/>
      <c r="I140" s="90"/>
      <c r="K140" s="31"/>
    </row>
    <row r="141" spans="2:11" s="13" customFormat="1" x14ac:dyDescent="0.2">
      <c r="B141" s="3"/>
      <c r="C141" s="3"/>
      <c r="D141" s="3"/>
      <c r="E141" s="3"/>
      <c r="F141" s="89"/>
      <c r="G141" s="3"/>
      <c r="H141" s="89"/>
      <c r="I141" s="90"/>
      <c r="K141" s="31"/>
    </row>
    <row r="142" spans="2:11" s="13" customFormat="1" x14ac:dyDescent="0.2">
      <c r="B142" s="3"/>
      <c r="C142" s="3"/>
      <c r="D142" s="3"/>
      <c r="E142" s="3"/>
      <c r="F142" s="89"/>
      <c r="G142" s="3"/>
      <c r="H142" s="89"/>
      <c r="I142" s="90"/>
      <c r="K142" s="31"/>
    </row>
    <row r="143" spans="2:11" s="13" customFormat="1" x14ac:dyDescent="0.2">
      <c r="B143" s="3"/>
      <c r="C143" s="3"/>
      <c r="D143" s="3"/>
      <c r="E143" s="3"/>
      <c r="F143" s="89"/>
      <c r="G143" s="3"/>
      <c r="H143" s="89"/>
      <c r="I143" s="90"/>
      <c r="K143" s="31"/>
    </row>
    <row r="144" spans="2:11" s="13" customFormat="1" x14ac:dyDescent="0.2">
      <c r="B144" s="3"/>
      <c r="C144" s="3"/>
      <c r="D144" s="3"/>
      <c r="E144" s="3"/>
      <c r="F144" s="89"/>
      <c r="G144" s="3"/>
      <c r="H144" s="89"/>
      <c r="I144" s="90"/>
      <c r="K144" s="31"/>
    </row>
    <row r="145" spans="2:11" s="13" customFormat="1" x14ac:dyDescent="0.2">
      <c r="B145" s="3"/>
      <c r="C145" s="3"/>
      <c r="D145" s="3"/>
      <c r="E145" s="3"/>
      <c r="F145" s="89"/>
      <c r="G145" s="3"/>
      <c r="H145" s="89"/>
      <c r="I145" s="90"/>
      <c r="K145" s="31"/>
    </row>
    <row r="146" spans="2:11" s="13" customFormat="1" x14ac:dyDescent="0.2">
      <c r="B146" s="3"/>
      <c r="C146" s="3"/>
      <c r="D146" s="3"/>
      <c r="E146" s="3"/>
      <c r="F146" s="89"/>
      <c r="G146" s="3"/>
      <c r="H146" s="89"/>
      <c r="I146" s="90"/>
      <c r="K146" s="31"/>
    </row>
    <row r="147" spans="2:11" s="13" customFormat="1" x14ac:dyDescent="0.2">
      <c r="B147" s="3"/>
      <c r="C147" s="3"/>
      <c r="D147" s="3"/>
      <c r="E147" s="3"/>
      <c r="F147" s="89"/>
      <c r="G147" s="3"/>
      <c r="H147" s="89"/>
      <c r="I147" s="90"/>
      <c r="K147" s="31"/>
    </row>
    <row r="148" spans="2:11" s="13" customFormat="1" x14ac:dyDescent="0.2">
      <c r="B148" s="3"/>
      <c r="C148" s="3"/>
      <c r="D148" s="3"/>
      <c r="E148" s="3"/>
      <c r="F148" s="89"/>
      <c r="G148" s="3"/>
      <c r="H148" s="89"/>
      <c r="I148" s="90"/>
      <c r="K148" s="31"/>
    </row>
    <row r="149" spans="2:11" s="13" customFormat="1" x14ac:dyDescent="0.2">
      <c r="B149" s="3"/>
      <c r="C149" s="3"/>
      <c r="D149" s="3"/>
      <c r="E149" s="3"/>
      <c r="F149" s="89"/>
      <c r="G149" s="3"/>
      <c r="H149" s="89"/>
      <c r="I149" s="90"/>
      <c r="K149" s="31"/>
    </row>
    <row r="150" spans="2:11" s="13" customFormat="1" x14ac:dyDescent="0.2">
      <c r="B150" s="3"/>
      <c r="C150" s="3"/>
      <c r="D150" s="3"/>
      <c r="E150" s="3"/>
      <c r="F150" s="89"/>
      <c r="G150" s="3"/>
      <c r="H150" s="89"/>
      <c r="I150" s="90"/>
      <c r="K150" s="31"/>
    </row>
    <row r="151" spans="2:11" s="13" customFormat="1" x14ac:dyDescent="0.2">
      <c r="B151" s="3"/>
      <c r="C151" s="3"/>
      <c r="D151" s="3"/>
      <c r="E151" s="3"/>
      <c r="F151" s="89"/>
      <c r="G151" s="3"/>
      <c r="H151" s="89"/>
      <c r="I151" s="90"/>
      <c r="K151" s="31"/>
    </row>
    <row r="152" spans="2:11" s="13" customFormat="1" x14ac:dyDescent="0.2">
      <c r="B152" s="3"/>
      <c r="C152" s="3"/>
      <c r="D152" s="3"/>
      <c r="E152" s="3"/>
      <c r="F152" s="89"/>
      <c r="G152" s="3"/>
      <c r="H152" s="89"/>
      <c r="I152" s="90"/>
      <c r="K152" s="31"/>
    </row>
    <row r="153" spans="2:11" s="13" customFormat="1" x14ac:dyDescent="0.2">
      <c r="B153" s="3"/>
      <c r="C153" s="3"/>
      <c r="D153" s="3"/>
      <c r="E153" s="3"/>
      <c r="F153" s="89"/>
      <c r="G153" s="3"/>
      <c r="H153" s="89"/>
      <c r="I153" s="90"/>
      <c r="K153" s="31"/>
    </row>
    <row r="154" spans="2:11" s="13" customFormat="1" x14ac:dyDescent="0.2">
      <c r="B154" s="3"/>
      <c r="C154" s="3"/>
      <c r="D154" s="3"/>
      <c r="E154" s="3"/>
      <c r="F154" s="89"/>
      <c r="G154" s="3"/>
      <c r="H154" s="89"/>
      <c r="I154" s="90"/>
      <c r="K154" s="31"/>
    </row>
    <row r="155" spans="2:11" s="13" customFormat="1" x14ac:dyDescent="0.2">
      <c r="B155" s="3"/>
      <c r="C155" s="3"/>
      <c r="D155" s="3"/>
      <c r="E155" s="3"/>
      <c r="F155" s="89"/>
      <c r="G155" s="3"/>
      <c r="H155" s="89"/>
      <c r="I155" s="90"/>
      <c r="K155" s="31"/>
    </row>
    <row r="156" spans="2:11" s="13" customFormat="1" x14ac:dyDescent="0.2">
      <c r="B156" s="3"/>
      <c r="C156" s="3"/>
      <c r="D156" s="3"/>
      <c r="E156" s="3"/>
      <c r="F156" s="89"/>
      <c r="G156" s="3"/>
      <c r="H156" s="89"/>
      <c r="I156" s="90"/>
      <c r="K156" s="31"/>
    </row>
    <row r="157" spans="2:11" s="13" customFormat="1" x14ac:dyDescent="0.2">
      <c r="B157" s="3"/>
      <c r="C157" s="3"/>
      <c r="D157" s="3"/>
      <c r="E157" s="3"/>
      <c r="F157" s="89"/>
      <c r="G157" s="3"/>
      <c r="H157" s="89"/>
      <c r="I157" s="90"/>
      <c r="K157" s="31"/>
    </row>
    <row r="158" spans="2:11" s="13" customFormat="1" x14ac:dyDescent="0.2">
      <c r="B158" s="3"/>
      <c r="C158" s="3"/>
      <c r="D158" s="3"/>
      <c r="E158" s="3"/>
      <c r="F158" s="89"/>
      <c r="G158" s="3"/>
      <c r="H158" s="89"/>
      <c r="I158" s="90"/>
      <c r="K158" s="31"/>
    </row>
    <row r="159" spans="2:11" s="13" customFormat="1" x14ac:dyDescent="0.2">
      <c r="B159" s="3"/>
      <c r="C159" s="3"/>
      <c r="D159" s="3"/>
      <c r="E159" s="3"/>
      <c r="F159" s="89"/>
      <c r="G159" s="3"/>
      <c r="H159" s="89"/>
      <c r="I159" s="90"/>
      <c r="K159" s="31"/>
    </row>
    <row r="160" spans="2:11" s="13" customFormat="1" x14ac:dyDescent="0.2">
      <c r="B160" s="3"/>
      <c r="C160" s="3"/>
      <c r="D160" s="3"/>
      <c r="E160" s="3"/>
      <c r="F160" s="89"/>
      <c r="G160" s="3"/>
      <c r="H160" s="89"/>
      <c r="I160" s="90"/>
      <c r="K160" s="31"/>
    </row>
    <row r="161" spans="2:11" s="13" customFormat="1" x14ac:dyDescent="0.2">
      <c r="B161" s="3"/>
      <c r="C161" s="3"/>
      <c r="D161" s="3"/>
      <c r="E161" s="3"/>
      <c r="F161" s="89"/>
      <c r="G161" s="3"/>
      <c r="H161" s="89"/>
      <c r="I161" s="90"/>
      <c r="K161" s="31"/>
    </row>
    <row r="162" spans="2:11" s="13" customFormat="1" x14ac:dyDescent="0.2">
      <c r="B162" s="3"/>
      <c r="C162" s="3"/>
      <c r="D162" s="3"/>
      <c r="E162" s="3"/>
      <c r="F162" s="89"/>
      <c r="G162" s="3"/>
      <c r="H162" s="89"/>
      <c r="I162" s="90"/>
      <c r="K162" s="31"/>
    </row>
    <row r="163" spans="2:11" s="13" customFormat="1" x14ac:dyDescent="0.2">
      <c r="B163" s="3"/>
      <c r="C163" s="3"/>
      <c r="D163" s="3"/>
      <c r="E163" s="3"/>
      <c r="F163" s="89"/>
      <c r="G163" s="3"/>
      <c r="H163" s="89"/>
      <c r="I163" s="90"/>
      <c r="K163" s="31"/>
    </row>
    <row r="164" spans="2:11" s="13" customFormat="1" x14ac:dyDescent="0.2">
      <c r="B164" s="3"/>
      <c r="C164" s="3"/>
      <c r="D164" s="3"/>
      <c r="E164" s="3"/>
      <c r="F164" s="89"/>
      <c r="G164" s="3"/>
      <c r="H164" s="89"/>
      <c r="I164" s="90"/>
      <c r="K164" s="31"/>
    </row>
    <row r="165" spans="2:11" s="13" customFormat="1" x14ac:dyDescent="0.2">
      <c r="B165" s="3"/>
      <c r="C165" s="3"/>
      <c r="D165" s="3"/>
      <c r="E165" s="3"/>
      <c r="F165" s="89"/>
      <c r="G165" s="3"/>
      <c r="H165" s="89"/>
      <c r="I165" s="90"/>
      <c r="K165" s="31"/>
    </row>
    <row r="166" spans="2:11" s="13" customFormat="1" x14ac:dyDescent="0.2">
      <c r="B166" s="3"/>
      <c r="C166" s="3"/>
      <c r="D166" s="3"/>
      <c r="E166" s="3"/>
      <c r="F166" s="89"/>
      <c r="G166" s="3"/>
      <c r="H166" s="89"/>
      <c r="I166" s="90"/>
      <c r="K166" s="31"/>
    </row>
    <row r="167" spans="2:11" s="13" customFormat="1" x14ac:dyDescent="0.2">
      <c r="B167" s="3"/>
      <c r="C167" s="3"/>
      <c r="D167" s="3"/>
      <c r="E167" s="3"/>
      <c r="F167" s="89"/>
      <c r="G167" s="3"/>
      <c r="H167" s="89"/>
      <c r="I167" s="90"/>
      <c r="K167" s="31"/>
    </row>
    <row r="168" spans="2:11" s="13" customFormat="1" x14ac:dyDescent="0.2">
      <c r="B168" s="3"/>
      <c r="C168" s="3"/>
      <c r="D168" s="3"/>
      <c r="E168" s="3"/>
      <c r="F168" s="89"/>
      <c r="G168" s="3"/>
      <c r="H168" s="89"/>
      <c r="I168" s="90"/>
      <c r="K168" s="31"/>
    </row>
    <row r="169" spans="2:11" s="13" customFormat="1" x14ac:dyDescent="0.2">
      <c r="B169" s="3"/>
      <c r="C169" s="3"/>
      <c r="D169" s="3"/>
      <c r="E169" s="3"/>
      <c r="F169" s="89"/>
      <c r="G169" s="3"/>
      <c r="H169" s="89"/>
      <c r="I169" s="90"/>
      <c r="K169" s="31"/>
    </row>
    <row r="170" spans="2:11" s="13" customFormat="1" x14ac:dyDescent="0.2">
      <c r="B170" s="3"/>
      <c r="C170" s="3"/>
      <c r="D170" s="3"/>
      <c r="E170" s="3"/>
      <c r="F170" s="89"/>
      <c r="G170" s="3"/>
      <c r="H170" s="89"/>
      <c r="I170" s="90"/>
      <c r="K170" s="31"/>
    </row>
    <row r="171" spans="2:11" s="13" customFormat="1" x14ac:dyDescent="0.2">
      <c r="B171" s="3"/>
      <c r="C171" s="3"/>
      <c r="D171" s="3"/>
      <c r="E171" s="3"/>
      <c r="F171" s="89"/>
      <c r="G171" s="3"/>
      <c r="H171" s="89"/>
      <c r="I171" s="90"/>
      <c r="K171" s="31"/>
    </row>
    <row r="172" spans="2:11" s="13" customFormat="1" x14ac:dyDescent="0.2">
      <c r="B172" s="3"/>
      <c r="C172" s="3"/>
      <c r="D172" s="3"/>
      <c r="E172" s="3"/>
      <c r="F172" s="89"/>
      <c r="G172" s="3"/>
      <c r="H172" s="89"/>
      <c r="I172" s="90"/>
      <c r="K172" s="31"/>
    </row>
    <row r="173" spans="2:11" s="13" customFormat="1" x14ac:dyDescent="0.2">
      <c r="B173" s="3"/>
      <c r="C173" s="3"/>
      <c r="D173" s="3"/>
      <c r="E173" s="3"/>
      <c r="F173" s="89"/>
      <c r="G173" s="3"/>
      <c r="H173" s="89"/>
      <c r="I173" s="90"/>
      <c r="K173" s="31"/>
    </row>
    <row r="174" spans="2:11" s="13" customFormat="1" x14ac:dyDescent="0.2">
      <c r="B174" s="3"/>
      <c r="C174" s="3"/>
      <c r="D174" s="3"/>
      <c r="E174" s="3"/>
      <c r="F174" s="89"/>
      <c r="G174" s="3"/>
      <c r="H174" s="89"/>
      <c r="I174" s="90"/>
      <c r="K174" s="31"/>
    </row>
    <row r="175" spans="2:11" s="13" customFormat="1" x14ac:dyDescent="0.2">
      <c r="B175" s="3"/>
      <c r="C175" s="3"/>
      <c r="D175" s="3"/>
      <c r="E175" s="3"/>
      <c r="F175" s="89"/>
      <c r="G175" s="3"/>
      <c r="H175" s="89"/>
      <c r="I175" s="90"/>
      <c r="K175" s="31"/>
    </row>
    <row r="176" spans="2:11" s="13" customFormat="1" x14ac:dyDescent="0.2">
      <c r="B176" s="3"/>
      <c r="C176" s="3"/>
      <c r="D176" s="3"/>
      <c r="E176" s="3"/>
      <c r="F176" s="89"/>
      <c r="G176" s="3"/>
      <c r="H176" s="89"/>
      <c r="I176" s="90"/>
      <c r="K176" s="31"/>
    </row>
    <row r="177" spans="2:11" s="13" customFormat="1" x14ac:dyDescent="0.2">
      <c r="B177" s="3"/>
      <c r="C177" s="3"/>
      <c r="D177" s="3"/>
      <c r="E177" s="3"/>
      <c r="F177" s="89"/>
      <c r="G177" s="3"/>
      <c r="H177" s="89"/>
      <c r="I177" s="90"/>
      <c r="K177" s="31"/>
    </row>
    <row r="178" spans="2:11" s="13" customFormat="1" x14ac:dyDescent="0.2">
      <c r="B178" s="3"/>
      <c r="C178" s="3"/>
      <c r="D178" s="3"/>
      <c r="E178" s="3"/>
      <c r="F178" s="89"/>
      <c r="G178" s="3"/>
      <c r="H178" s="89"/>
      <c r="I178" s="90"/>
      <c r="K178" s="31"/>
    </row>
    <row r="179" spans="2:11" s="13" customFormat="1" x14ac:dyDescent="0.2">
      <c r="B179" s="3"/>
      <c r="C179" s="3"/>
      <c r="D179" s="3"/>
      <c r="E179" s="3"/>
      <c r="F179" s="89"/>
      <c r="G179" s="3"/>
      <c r="H179" s="89"/>
      <c r="I179" s="90"/>
      <c r="K179" s="31"/>
    </row>
    <row r="180" spans="2:11" s="13" customFormat="1" x14ac:dyDescent="0.2">
      <c r="B180" s="3"/>
      <c r="C180" s="3"/>
      <c r="D180" s="3"/>
      <c r="E180" s="3"/>
      <c r="F180" s="89"/>
      <c r="G180" s="3"/>
      <c r="H180" s="89"/>
      <c r="I180" s="90"/>
      <c r="K180" s="31"/>
    </row>
    <row r="181" spans="2:11" s="13" customFormat="1" x14ac:dyDescent="0.2">
      <c r="B181" s="3"/>
      <c r="C181" s="3"/>
      <c r="D181" s="3"/>
      <c r="E181" s="3"/>
      <c r="F181" s="89"/>
      <c r="G181" s="3"/>
      <c r="H181" s="89"/>
      <c r="I181" s="90"/>
      <c r="K181" s="31"/>
    </row>
    <row r="182" spans="2:11" s="13" customFormat="1" x14ac:dyDescent="0.2">
      <c r="B182" s="3"/>
      <c r="C182" s="3"/>
      <c r="D182" s="3"/>
      <c r="E182" s="3"/>
      <c r="F182" s="89"/>
      <c r="G182" s="3"/>
      <c r="H182" s="89"/>
      <c r="I182" s="90"/>
      <c r="K182" s="31"/>
    </row>
    <row r="183" spans="2:11" s="13" customFormat="1" x14ac:dyDescent="0.2">
      <c r="B183" s="3"/>
      <c r="C183" s="3"/>
      <c r="D183" s="3"/>
      <c r="E183" s="3"/>
      <c r="F183" s="89"/>
      <c r="G183" s="3"/>
      <c r="H183" s="89"/>
      <c r="I183" s="90"/>
      <c r="K183" s="31"/>
    </row>
    <row r="184" spans="2:11" s="13" customFormat="1" x14ac:dyDescent="0.2">
      <c r="B184" s="3"/>
      <c r="C184" s="3"/>
      <c r="D184" s="3"/>
      <c r="E184" s="3"/>
      <c r="F184" s="89"/>
      <c r="G184" s="3"/>
      <c r="H184" s="89"/>
      <c r="I184" s="90"/>
      <c r="K184" s="31"/>
    </row>
    <row r="185" spans="2:11" s="13" customFormat="1" x14ac:dyDescent="0.2">
      <c r="B185" s="3"/>
      <c r="C185" s="3"/>
      <c r="D185" s="3"/>
      <c r="E185" s="3"/>
      <c r="F185" s="89"/>
      <c r="G185" s="3"/>
      <c r="H185" s="89"/>
      <c r="I185" s="90"/>
      <c r="K185" s="31"/>
    </row>
    <row r="186" spans="2:11" s="13" customFormat="1" x14ac:dyDescent="0.2">
      <c r="B186" s="3"/>
      <c r="C186" s="3"/>
      <c r="D186" s="3"/>
      <c r="E186" s="3"/>
      <c r="F186" s="89"/>
      <c r="G186" s="3"/>
      <c r="H186" s="89"/>
      <c r="I186" s="90"/>
      <c r="K186" s="31"/>
    </row>
    <row r="187" spans="2:11" s="13" customFormat="1" x14ac:dyDescent="0.2">
      <c r="B187" s="3"/>
      <c r="C187" s="3"/>
      <c r="D187" s="3"/>
      <c r="E187" s="3"/>
      <c r="F187" s="89"/>
      <c r="G187" s="3"/>
      <c r="H187" s="89"/>
      <c r="I187" s="90"/>
      <c r="K187" s="31"/>
    </row>
    <row r="188" spans="2:11" s="13" customFormat="1" x14ac:dyDescent="0.2">
      <c r="B188" s="3"/>
      <c r="C188" s="3"/>
      <c r="D188" s="3"/>
      <c r="E188" s="3"/>
      <c r="F188" s="89"/>
      <c r="G188" s="3"/>
      <c r="H188" s="89"/>
      <c r="I188" s="90"/>
      <c r="K188" s="31"/>
    </row>
    <row r="189" spans="2:11" s="13" customFormat="1" x14ac:dyDescent="0.2">
      <c r="B189" s="3"/>
      <c r="C189" s="3"/>
      <c r="D189" s="3"/>
      <c r="E189" s="3"/>
      <c r="F189" s="89"/>
      <c r="G189" s="3"/>
      <c r="H189" s="89"/>
      <c r="I189" s="90"/>
      <c r="K189" s="31"/>
    </row>
    <row r="190" spans="2:11" s="13" customFormat="1" x14ac:dyDescent="0.2">
      <c r="B190" s="3"/>
      <c r="C190" s="3"/>
      <c r="D190" s="3"/>
      <c r="E190" s="3"/>
      <c r="F190" s="89"/>
      <c r="G190" s="3"/>
      <c r="H190" s="89"/>
      <c r="I190" s="90"/>
      <c r="K190" s="31"/>
    </row>
    <row r="191" spans="2:11" s="13" customFormat="1" x14ac:dyDescent="0.2">
      <c r="B191" s="3"/>
      <c r="C191" s="3"/>
      <c r="D191" s="3"/>
      <c r="E191" s="3"/>
      <c r="F191" s="89"/>
      <c r="G191" s="3"/>
      <c r="H191" s="89"/>
      <c r="I191" s="90"/>
      <c r="K191" s="31"/>
    </row>
    <row r="192" spans="2:11" s="13" customFormat="1" x14ac:dyDescent="0.2">
      <c r="B192" s="3"/>
      <c r="C192" s="3"/>
      <c r="D192" s="3"/>
      <c r="E192" s="3"/>
      <c r="F192" s="89"/>
      <c r="G192" s="3"/>
      <c r="H192" s="89"/>
      <c r="I192" s="90"/>
      <c r="K192" s="31"/>
    </row>
    <row r="193" spans="2:11" s="13" customFormat="1" x14ac:dyDescent="0.2">
      <c r="B193" s="3"/>
      <c r="C193" s="3"/>
      <c r="D193" s="3"/>
      <c r="E193" s="3"/>
      <c r="F193" s="89"/>
      <c r="G193" s="3"/>
      <c r="H193" s="89"/>
      <c r="I193" s="90"/>
      <c r="K193" s="31"/>
    </row>
    <row r="194" spans="2:11" s="13" customFormat="1" x14ac:dyDescent="0.2">
      <c r="B194" s="3"/>
      <c r="C194" s="3"/>
      <c r="D194" s="3"/>
      <c r="E194" s="3"/>
      <c r="F194" s="89"/>
      <c r="G194" s="3"/>
      <c r="H194" s="89"/>
      <c r="I194" s="90"/>
      <c r="K194" s="31"/>
    </row>
    <row r="195" spans="2:11" s="13" customFormat="1" x14ac:dyDescent="0.2">
      <c r="B195" s="3"/>
      <c r="C195" s="3"/>
      <c r="D195" s="3"/>
      <c r="E195" s="3"/>
      <c r="F195" s="89"/>
      <c r="G195" s="3"/>
      <c r="H195" s="89"/>
      <c r="I195" s="90"/>
      <c r="K195" s="31"/>
    </row>
    <row r="196" spans="2:11" s="13" customFormat="1" x14ac:dyDescent="0.2">
      <c r="B196" s="3"/>
      <c r="C196" s="3"/>
      <c r="D196" s="3"/>
      <c r="E196" s="3"/>
      <c r="F196" s="89"/>
      <c r="G196" s="3"/>
      <c r="H196" s="89"/>
      <c r="I196" s="90"/>
      <c r="K196" s="31"/>
    </row>
    <row r="197" spans="2:11" s="13" customFormat="1" x14ac:dyDescent="0.2">
      <c r="B197" s="3"/>
      <c r="C197" s="3"/>
      <c r="D197" s="3"/>
      <c r="E197" s="3"/>
      <c r="F197" s="89"/>
      <c r="G197" s="3"/>
      <c r="H197" s="89"/>
      <c r="I197" s="90"/>
      <c r="K197" s="31"/>
    </row>
    <row r="198" spans="2:11" s="13" customFormat="1" x14ac:dyDescent="0.2">
      <c r="B198" s="3"/>
      <c r="C198" s="3"/>
      <c r="D198" s="3"/>
      <c r="E198" s="3"/>
      <c r="F198" s="89"/>
      <c r="G198" s="3"/>
      <c r="H198" s="89"/>
      <c r="I198" s="90"/>
      <c r="K198" s="31"/>
    </row>
    <row r="199" spans="2:11" s="13" customFormat="1" x14ac:dyDescent="0.2">
      <c r="B199" s="3"/>
      <c r="C199" s="3"/>
      <c r="D199" s="3"/>
      <c r="E199" s="3"/>
      <c r="F199" s="89"/>
      <c r="G199" s="3"/>
      <c r="H199" s="89"/>
      <c r="I199" s="90"/>
      <c r="K199" s="31"/>
    </row>
    <row r="200" spans="2:11" s="13" customFormat="1" x14ac:dyDescent="0.2">
      <c r="B200" s="3"/>
      <c r="C200" s="3"/>
      <c r="D200" s="3"/>
      <c r="E200" s="3"/>
      <c r="F200" s="89"/>
      <c r="G200" s="3"/>
      <c r="H200" s="89"/>
      <c r="I200" s="90"/>
      <c r="K200" s="31"/>
    </row>
    <row r="201" spans="2:11" s="13" customFormat="1" x14ac:dyDescent="0.2">
      <c r="B201" s="3"/>
      <c r="C201" s="3"/>
      <c r="D201" s="3"/>
      <c r="E201" s="3"/>
      <c r="F201" s="89"/>
      <c r="G201" s="3"/>
      <c r="H201" s="89"/>
      <c r="I201" s="90"/>
      <c r="K201" s="31"/>
    </row>
    <row r="202" spans="2:11" s="13" customFormat="1" x14ac:dyDescent="0.2">
      <c r="B202" s="3"/>
      <c r="C202" s="3"/>
      <c r="D202" s="3"/>
      <c r="E202" s="3"/>
      <c r="F202" s="89"/>
      <c r="G202" s="3"/>
      <c r="H202" s="89"/>
      <c r="I202" s="90"/>
      <c r="K202" s="31"/>
    </row>
    <row r="203" spans="2:11" s="13" customFormat="1" x14ac:dyDescent="0.2">
      <c r="B203" s="3"/>
      <c r="C203" s="3"/>
      <c r="D203" s="3"/>
      <c r="E203" s="3"/>
      <c r="F203" s="89"/>
      <c r="G203" s="3"/>
      <c r="H203" s="89"/>
      <c r="I203" s="90"/>
      <c r="K203" s="31"/>
    </row>
    <row r="204" spans="2:11" s="13" customFormat="1" x14ac:dyDescent="0.2">
      <c r="B204" s="3"/>
      <c r="C204" s="3"/>
      <c r="D204" s="3"/>
      <c r="E204" s="3"/>
      <c r="F204" s="89"/>
      <c r="G204" s="3"/>
      <c r="H204" s="89"/>
      <c r="I204" s="90"/>
      <c r="K204" s="31"/>
    </row>
    <row r="205" spans="2:11" s="13" customFormat="1" x14ac:dyDescent="0.2">
      <c r="B205" s="3"/>
      <c r="C205" s="3"/>
      <c r="D205" s="3"/>
      <c r="E205" s="3"/>
      <c r="F205" s="89"/>
      <c r="G205" s="3"/>
      <c r="H205" s="89"/>
      <c r="I205" s="90"/>
      <c r="K205" s="31"/>
    </row>
    <row r="206" spans="2:11" s="13" customFormat="1" x14ac:dyDescent="0.2">
      <c r="B206" s="3"/>
      <c r="C206" s="3"/>
      <c r="D206" s="3"/>
      <c r="E206" s="3"/>
      <c r="F206" s="89"/>
      <c r="G206" s="3"/>
      <c r="H206" s="89"/>
      <c r="I206" s="90"/>
      <c r="K206" s="31"/>
    </row>
    <row r="207" spans="2:11" s="13" customFormat="1" x14ac:dyDescent="0.2">
      <c r="B207" s="3"/>
      <c r="C207" s="3"/>
      <c r="D207" s="3"/>
      <c r="E207" s="3"/>
      <c r="F207" s="89"/>
      <c r="G207" s="3"/>
      <c r="H207" s="89"/>
      <c r="I207" s="90"/>
      <c r="K207" s="31"/>
    </row>
    <row r="208" spans="2:11" s="13" customFormat="1" x14ac:dyDescent="0.2">
      <c r="B208" s="3"/>
      <c r="C208" s="3"/>
      <c r="D208" s="3"/>
      <c r="E208" s="3"/>
      <c r="F208" s="89"/>
      <c r="G208" s="3"/>
      <c r="H208" s="89"/>
      <c r="I208" s="90"/>
      <c r="K208" s="31"/>
    </row>
    <row r="209" spans="2:11" s="13" customFormat="1" x14ac:dyDescent="0.2">
      <c r="B209" s="3"/>
      <c r="C209" s="3"/>
      <c r="D209" s="3"/>
      <c r="E209" s="3"/>
      <c r="F209" s="89"/>
      <c r="G209" s="3"/>
      <c r="H209" s="89"/>
      <c r="I209" s="90"/>
      <c r="K209" s="31"/>
    </row>
    <row r="210" spans="2:11" s="13" customFormat="1" x14ac:dyDescent="0.2">
      <c r="B210" s="3"/>
      <c r="C210" s="3"/>
      <c r="D210" s="3"/>
      <c r="E210" s="3"/>
      <c r="F210" s="89"/>
      <c r="G210" s="3"/>
      <c r="H210" s="89"/>
      <c r="I210" s="90"/>
      <c r="K210" s="31"/>
    </row>
    <row r="211" spans="2:11" s="13" customFormat="1" x14ac:dyDescent="0.2">
      <c r="B211" s="3"/>
      <c r="C211" s="3"/>
      <c r="D211" s="3"/>
      <c r="E211" s="3"/>
      <c r="F211" s="89"/>
      <c r="G211" s="3"/>
      <c r="H211" s="89"/>
      <c r="I211" s="90"/>
      <c r="K211" s="31"/>
    </row>
    <row r="212" spans="2:11" s="13" customFormat="1" x14ac:dyDescent="0.2">
      <c r="B212" s="3"/>
      <c r="C212" s="3"/>
      <c r="D212" s="3"/>
      <c r="E212" s="3"/>
      <c r="F212" s="89"/>
      <c r="G212" s="3"/>
      <c r="H212" s="89"/>
      <c r="I212" s="90"/>
      <c r="K212" s="31"/>
    </row>
    <row r="213" spans="2:11" s="13" customFormat="1" x14ac:dyDescent="0.2">
      <c r="B213" s="3"/>
      <c r="C213" s="3"/>
      <c r="D213" s="3"/>
      <c r="E213" s="3"/>
      <c r="F213" s="89"/>
      <c r="G213" s="3"/>
      <c r="H213" s="89"/>
      <c r="I213" s="90"/>
      <c r="K213" s="31"/>
    </row>
    <row r="214" spans="2:11" s="13" customFormat="1" x14ac:dyDescent="0.2">
      <c r="B214" s="3"/>
      <c r="C214" s="3"/>
      <c r="D214" s="3"/>
      <c r="E214" s="3"/>
      <c r="F214" s="89"/>
      <c r="G214" s="3"/>
      <c r="H214" s="89"/>
      <c r="I214" s="90"/>
      <c r="K214" s="31"/>
    </row>
    <row r="215" spans="2:11" s="13" customFormat="1" x14ac:dyDescent="0.2">
      <c r="B215" s="3"/>
      <c r="C215" s="3"/>
      <c r="D215" s="3"/>
      <c r="E215" s="3"/>
      <c r="F215" s="89"/>
      <c r="G215" s="3"/>
      <c r="H215" s="89"/>
      <c r="I215" s="90"/>
      <c r="K215" s="31"/>
    </row>
    <row r="216" spans="2:11" s="13" customFormat="1" x14ac:dyDescent="0.2">
      <c r="B216" s="3"/>
      <c r="C216" s="3"/>
      <c r="D216" s="3"/>
      <c r="E216" s="3"/>
      <c r="F216" s="89"/>
      <c r="G216" s="3"/>
      <c r="H216" s="89"/>
      <c r="I216" s="90"/>
      <c r="K216" s="31"/>
    </row>
    <row r="217" spans="2:11" s="13" customFormat="1" x14ac:dyDescent="0.2">
      <c r="B217" s="3"/>
      <c r="C217" s="3"/>
      <c r="D217" s="3"/>
      <c r="E217" s="3"/>
      <c r="F217" s="89"/>
      <c r="G217" s="3"/>
      <c r="H217" s="89"/>
      <c r="I217" s="90"/>
      <c r="K217" s="31"/>
    </row>
    <row r="218" spans="2:11" s="13" customFormat="1" x14ac:dyDescent="0.2">
      <c r="B218" s="3"/>
      <c r="C218" s="3"/>
      <c r="D218" s="3"/>
      <c r="E218" s="3"/>
      <c r="F218" s="89"/>
      <c r="G218" s="3"/>
      <c r="H218" s="89"/>
      <c r="I218" s="90"/>
      <c r="K218" s="31"/>
    </row>
    <row r="219" spans="2:11" s="13" customFormat="1" x14ac:dyDescent="0.2">
      <c r="B219" s="3"/>
      <c r="C219" s="3"/>
      <c r="D219" s="3"/>
      <c r="E219" s="3"/>
      <c r="F219" s="89"/>
      <c r="G219" s="3"/>
      <c r="H219" s="89"/>
      <c r="I219" s="90"/>
      <c r="K219" s="31"/>
    </row>
    <row r="220" spans="2:11" s="13" customFormat="1" x14ac:dyDescent="0.2">
      <c r="B220" s="3"/>
      <c r="C220" s="3"/>
      <c r="D220" s="3"/>
      <c r="E220" s="3"/>
      <c r="F220" s="89"/>
      <c r="G220" s="3"/>
      <c r="H220" s="89"/>
      <c r="I220" s="90"/>
      <c r="K220" s="31"/>
    </row>
    <row r="221" spans="2:11" s="13" customFormat="1" x14ac:dyDescent="0.2">
      <c r="B221" s="3"/>
      <c r="C221" s="3"/>
      <c r="D221" s="3"/>
      <c r="E221" s="3"/>
      <c r="F221" s="89"/>
      <c r="G221" s="3"/>
      <c r="H221" s="89"/>
      <c r="I221" s="90"/>
      <c r="K221" s="31"/>
    </row>
    <row r="222" spans="2:11" s="13" customFormat="1" x14ac:dyDescent="0.2">
      <c r="B222" s="3"/>
      <c r="C222" s="3"/>
      <c r="D222" s="3"/>
      <c r="E222" s="3"/>
      <c r="F222" s="89"/>
      <c r="G222" s="3"/>
      <c r="H222" s="89"/>
      <c r="I222" s="90"/>
      <c r="K222" s="31"/>
    </row>
    <row r="223" spans="2:11" s="13" customFormat="1" x14ac:dyDescent="0.2">
      <c r="B223" s="3"/>
      <c r="C223" s="3"/>
      <c r="D223" s="3"/>
      <c r="E223" s="3"/>
      <c r="F223" s="89"/>
      <c r="G223" s="3"/>
      <c r="H223" s="89"/>
      <c r="I223" s="90"/>
      <c r="K223" s="31"/>
    </row>
    <row r="224" spans="2:11" s="13" customFormat="1" x14ac:dyDescent="0.2">
      <c r="B224" s="3"/>
      <c r="C224" s="3"/>
      <c r="D224" s="3"/>
      <c r="E224" s="3"/>
      <c r="F224" s="89"/>
      <c r="G224" s="3"/>
      <c r="H224" s="89"/>
      <c r="I224" s="90"/>
      <c r="K224" s="31"/>
    </row>
    <row r="225" spans="2:11" s="13" customFormat="1" x14ac:dyDescent="0.2">
      <c r="B225" s="3"/>
      <c r="C225" s="3"/>
      <c r="D225" s="3"/>
      <c r="E225" s="3"/>
      <c r="F225" s="89"/>
      <c r="G225" s="3"/>
      <c r="H225" s="89"/>
      <c r="I225" s="90"/>
      <c r="K225" s="31"/>
    </row>
    <row r="226" spans="2:11" s="13" customFormat="1" x14ac:dyDescent="0.2">
      <c r="B226" s="3"/>
      <c r="C226" s="3"/>
      <c r="D226" s="3"/>
      <c r="E226" s="3"/>
      <c r="F226" s="89"/>
      <c r="G226" s="3"/>
      <c r="H226" s="89"/>
      <c r="I226" s="90"/>
      <c r="K226" s="31"/>
    </row>
    <row r="227" spans="2:11" s="13" customFormat="1" x14ac:dyDescent="0.2">
      <c r="B227" s="3"/>
      <c r="C227" s="3"/>
      <c r="D227" s="3"/>
      <c r="E227" s="3"/>
      <c r="F227" s="89"/>
      <c r="G227" s="3"/>
      <c r="H227" s="89"/>
      <c r="I227" s="90"/>
      <c r="K227" s="31"/>
    </row>
    <row r="228" spans="2:11" s="13" customFormat="1" x14ac:dyDescent="0.2">
      <c r="B228" s="3"/>
      <c r="C228" s="3"/>
      <c r="D228" s="3"/>
      <c r="E228" s="3"/>
      <c r="F228" s="89"/>
      <c r="G228" s="3"/>
      <c r="H228" s="89"/>
      <c r="I228" s="90"/>
      <c r="K228" s="31"/>
    </row>
    <row r="229" spans="2:11" s="13" customFormat="1" x14ac:dyDescent="0.2">
      <c r="B229" s="3"/>
      <c r="C229" s="3"/>
      <c r="D229" s="3"/>
      <c r="E229" s="3"/>
      <c r="F229" s="89"/>
      <c r="G229" s="3"/>
      <c r="H229" s="89"/>
      <c r="I229" s="90"/>
      <c r="K229" s="31"/>
    </row>
    <row r="230" spans="2:11" s="13" customFormat="1" x14ac:dyDescent="0.2">
      <c r="B230" s="3"/>
      <c r="C230" s="3"/>
      <c r="D230" s="3"/>
      <c r="E230" s="3"/>
      <c r="F230" s="89"/>
      <c r="G230" s="3"/>
      <c r="H230" s="89"/>
      <c r="I230" s="90"/>
      <c r="K230" s="31"/>
    </row>
    <row r="231" spans="2:11" s="13" customFormat="1" x14ac:dyDescent="0.2">
      <c r="B231" s="3"/>
      <c r="C231" s="3"/>
      <c r="D231" s="3"/>
      <c r="E231" s="3"/>
      <c r="F231" s="89"/>
      <c r="G231" s="3"/>
      <c r="H231" s="89"/>
      <c r="I231" s="90"/>
      <c r="K231" s="31"/>
    </row>
    <row r="232" spans="2:11" s="13" customFormat="1" x14ac:dyDescent="0.2">
      <c r="B232" s="3"/>
      <c r="C232" s="3"/>
      <c r="D232" s="3"/>
      <c r="E232" s="3"/>
      <c r="F232" s="89"/>
      <c r="G232" s="3"/>
      <c r="H232" s="89"/>
      <c r="I232" s="90"/>
      <c r="K232" s="31"/>
    </row>
    <row r="233" spans="2:11" s="13" customFormat="1" x14ac:dyDescent="0.2">
      <c r="B233" s="3"/>
      <c r="C233" s="3"/>
      <c r="D233" s="3"/>
      <c r="E233" s="3"/>
      <c r="F233" s="89"/>
      <c r="G233" s="3"/>
      <c r="H233" s="89"/>
      <c r="I233" s="90"/>
      <c r="K233" s="31"/>
    </row>
    <row r="234" spans="2:11" s="13" customFormat="1" x14ac:dyDescent="0.2">
      <c r="B234" s="3"/>
      <c r="C234" s="3"/>
      <c r="D234" s="3"/>
      <c r="E234" s="3"/>
      <c r="F234" s="89"/>
      <c r="G234" s="3"/>
      <c r="H234" s="89"/>
      <c r="I234" s="90"/>
      <c r="K234" s="31"/>
    </row>
    <row r="235" spans="2:11" s="13" customFormat="1" x14ac:dyDescent="0.2">
      <c r="B235" s="3"/>
      <c r="C235" s="3"/>
      <c r="D235" s="3"/>
      <c r="E235" s="3"/>
      <c r="F235" s="89"/>
      <c r="G235" s="3"/>
      <c r="H235" s="89"/>
      <c r="I235" s="90"/>
      <c r="K235" s="31"/>
    </row>
    <row r="236" spans="2:11" s="13" customFormat="1" x14ac:dyDescent="0.2">
      <c r="B236" s="3"/>
      <c r="C236" s="3"/>
      <c r="D236" s="3"/>
      <c r="E236" s="3"/>
      <c r="F236" s="89"/>
      <c r="G236" s="3"/>
      <c r="H236" s="89"/>
      <c r="I236" s="90"/>
      <c r="K236" s="31"/>
    </row>
    <row r="237" spans="2:11" s="13" customFormat="1" x14ac:dyDescent="0.2">
      <c r="B237" s="3"/>
      <c r="C237" s="3"/>
      <c r="D237" s="3"/>
      <c r="E237" s="3"/>
      <c r="F237" s="89"/>
      <c r="G237" s="3"/>
      <c r="H237" s="89"/>
      <c r="I237" s="90"/>
      <c r="K237" s="31"/>
    </row>
    <row r="238" spans="2:11" s="13" customFormat="1" x14ac:dyDescent="0.2">
      <c r="B238" s="3"/>
      <c r="C238" s="3"/>
      <c r="D238" s="3"/>
      <c r="E238" s="3"/>
      <c r="F238" s="89"/>
      <c r="G238" s="3"/>
      <c r="H238" s="89"/>
      <c r="I238" s="90"/>
      <c r="K238" s="31"/>
    </row>
    <row r="239" spans="2:11" s="13" customFormat="1" x14ac:dyDescent="0.2">
      <c r="B239" s="3"/>
      <c r="C239" s="3"/>
      <c r="D239" s="3"/>
      <c r="E239" s="3"/>
      <c r="F239" s="89"/>
      <c r="G239" s="3"/>
      <c r="H239" s="89"/>
      <c r="I239" s="90"/>
      <c r="K239" s="31"/>
    </row>
    <row r="240" spans="2:11" s="13" customFormat="1" x14ac:dyDescent="0.2">
      <c r="B240" s="3"/>
      <c r="C240" s="3"/>
      <c r="D240" s="3"/>
      <c r="E240" s="3"/>
      <c r="F240" s="89"/>
      <c r="G240" s="3"/>
      <c r="H240" s="89"/>
      <c r="I240" s="90"/>
      <c r="K240" s="31"/>
    </row>
    <row r="241" spans="1:13" s="13" customFormat="1" x14ac:dyDescent="0.2">
      <c r="B241" s="3"/>
      <c r="C241" s="3"/>
      <c r="D241" s="3"/>
      <c r="E241" s="3"/>
      <c r="F241" s="89"/>
      <c r="G241" s="3"/>
      <c r="H241" s="89"/>
      <c r="I241" s="90"/>
      <c r="K241" s="31"/>
    </row>
    <row r="242" spans="1:13" s="13" customFormat="1" x14ac:dyDescent="0.2">
      <c r="B242" s="3"/>
      <c r="C242" s="3"/>
      <c r="D242" s="3"/>
      <c r="E242" s="3"/>
      <c r="F242" s="89"/>
      <c r="G242" s="3"/>
      <c r="H242" s="89"/>
      <c r="I242" s="90"/>
      <c r="K242" s="31"/>
    </row>
    <row r="243" spans="1:13" s="13" customFormat="1" x14ac:dyDescent="0.2">
      <c r="B243" s="3"/>
      <c r="C243" s="3"/>
      <c r="D243" s="3"/>
      <c r="E243" s="3"/>
      <c r="F243" s="89"/>
      <c r="G243" s="3"/>
      <c r="H243" s="89"/>
      <c r="I243" s="90"/>
      <c r="K243" s="31"/>
    </row>
    <row r="244" spans="1:13" s="13" customFormat="1" x14ac:dyDescent="0.2">
      <c r="B244" s="3"/>
      <c r="C244" s="3"/>
      <c r="D244" s="3"/>
      <c r="E244" s="3"/>
      <c r="F244" s="89"/>
      <c r="G244" s="3"/>
      <c r="H244" s="89"/>
      <c r="I244" s="90"/>
      <c r="K244" s="31"/>
    </row>
    <row r="245" spans="1:13" s="13" customFormat="1" x14ac:dyDescent="0.2">
      <c r="B245" s="3"/>
      <c r="C245" s="3"/>
      <c r="D245" s="3"/>
      <c r="E245" s="3"/>
      <c r="F245" s="89"/>
      <c r="G245" s="3"/>
      <c r="H245" s="89"/>
      <c r="I245" s="90"/>
      <c r="K245" s="31"/>
    </row>
    <row r="246" spans="1:13" s="13" customFormat="1" x14ac:dyDescent="0.2">
      <c r="B246" s="3"/>
      <c r="C246" s="3"/>
      <c r="D246" s="3"/>
      <c r="E246" s="3"/>
      <c r="F246" s="89"/>
      <c r="G246" s="3"/>
      <c r="H246" s="89"/>
      <c r="I246" s="90"/>
      <c r="K246" s="31"/>
    </row>
    <row r="247" spans="1:13" s="13" customFormat="1" x14ac:dyDescent="0.2">
      <c r="B247" s="3"/>
      <c r="C247" s="3"/>
      <c r="D247" s="3"/>
      <c r="E247" s="3"/>
      <c r="F247" s="89"/>
      <c r="G247" s="3"/>
      <c r="H247" s="89"/>
      <c r="I247" s="90"/>
      <c r="K247" s="31"/>
    </row>
    <row r="248" spans="1:13" s="13" customFormat="1" x14ac:dyDescent="0.2">
      <c r="B248" s="3"/>
      <c r="C248" s="3"/>
      <c r="D248" s="3"/>
      <c r="E248" s="3"/>
      <c r="F248" s="89"/>
      <c r="G248" s="3"/>
      <c r="H248" s="89"/>
      <c r="I248" s="90"/>
      <c r="K248" s="31"/>
    </row>
    <row r="249" spans="1:13" s="13" customFormat="1" x14ac:dyDescent="0.2">
      <c r="B249" s="3"/>
      <c r="C249" s="3"/>
      <c r="D249" s="3"/>
      <c r="E249" s="3"/>
      <c r="F249" s="89"/>
      <c r="G249" s="3"/>
      <c r="H249" s="89"/>
      <c r="I249" s="90"/>
      <c r="K249" s="31"/>
    </row>
    <row r="250" spans="1:13" s="13" customFormat="1" x14ac:dyDescent="0.2">
      <c r="B250" s="3"/>
      <c r="C250" s="3"/>
      <c r="D250" s="3"/>
      <c r="E250" s="3"/>
      <c r="F250" s="89"/>
      <c r="G250" s="3"/>
      <c r="H250" s="89"/>
      <c r="I250" s="90"/>
      <c r="K250" s="31"/>
    </row>
    <row r="251" spans="1:13" s="13" customFormat="1" x14ac:dyDescent="0.2">
      <c r="B251" s="3"/>
      <c r="C251" s="3"/>
      <c r="D251" s="3"/>
      <c r="E251" s="3"/>
      <c r="F251" s="89"/>
      <c r="G251" s="3"/>
      <c r="H251" s="89"/>
      <c r="I251" s="90"/>
      <c r="K251" s="31"/>
    </row>
    <row r="252" spans="1:13" s="13" customFormat="1" x14ac:dyDescent="0.2">
      <c r="B252" s="3"/>
      <c r="C252" s="3"/>
      <c r="D252" s="3"/>
      <c r="E252" s="3"/>
      <c r="F252" s="89"/>
      <c r="G252" s="3"/>
      <c r="H252" s="89"/>
      <c r="I252" s="90"/>
      <c r="K252" s="31"/>
    </row>
    <row r="253" spans="1:13" s="13" customFormat="1" x14ac:dyDescent="0.2">
      <c r="B253" s="3"/>
      <c r="C253" s="3"/>
      <c r="D253" s="3"/>
      <c r="E253" s="3"/>
      <c r="F253" s="89"/>
      <c r="G253" s="3"/>
      <c r="H253" s="89"/>
      <c r="I253" s="90"/>
      <c r="K253" s="31"/>
    </row>
    <row r="254" spans="1:13" s="13" customFormat="1" x14ac:dyDescent="0.2">
      <c r="B254" s="3"/>
      <c r="C254" s="3"/>
      <c r="D254" s="3"/>
      <c r="E254" s="3"/>
      <c r="F254" s="89"/>
      <c r="G254" s="3"/>
      <c r="H254" s="89"/>
      <c r="I254" s="90"/>
      <c r="K254" s="31"/>
    </row>
    <row r="255" spans="1:13" s="89" customFormat="1" x14ac:dyDescent="0.2">
      <c r="A255" s="13"/>
      <c r="B255" s="3"/>
      <c r="C255" s="3"/>
      <c r="D255" s="3"/>
      <c r="E255" s="3"/>
      <c r="G255" s="3"/>
      <c r="I255" s="90"/>
      <c r="J255" s="13"/>
      <c r="K255" s="31"/>
      <c r="L255" s="13"/>
      <c r="M255" s="13"/>
    </row>
    <row r="256" spans="1:13" s="89" customFormat="1" x14ac:dyDescent="0.2">
      <c r="A256" s="13"/>
      <c r="B256" s="3"/>
      <c r="C256" s="3"/>
      <c r="D256" s="3"/>
      <c r="E256" s="3"/>
      <c r="G256" s="91"/>
      <c r="I256" s="90"/>
      <c r="J256" s="13"/>
      <c r="K256" s="31"/>
      <c r="L256" s="13"/>
      <c r="M256" s="13"/>
    </row>
    <row r="257" spans="1:13" s="89" customFormat="1" x14ac:dyDescent="0.2">
      <c r="A257" s="13"/>
      <c r="B257" s="3"/>
      <c r="C257" s="3"/>
      <c r="D257" s="3"/>
      <c r="E257" s="3"/>
      <c r="G257" s="92"/>
      <c r="I257" s="90"/>
      <c r="J257" s="13"/>
      <c r="K257" s="31"/>
      <c r="L257" s="13"/>
      <c r="M257" s="13"/>
    </row>
    <row r="258" spans="1:13" s="89" customFormat="1" x14ac:dyDescent="0.2">
      <c r="A258" s="13"/>
      <c r="B258" s="3"/>
      <c r="C258" s="3"/>
      <c r="D258" s="3"/>
      <c r="E258" s="3"/>
      <c r="G258" s="93"/>
      <c r="I258" s="90"/>
      <c r="J258" s="13"/>
      <c r="K258" s="31"/>
      <c r="L258" s="13"/>
      <c r="M258" s="13"/>
    </row>
    <row r="259" spans="1:13" s="89" customFormat="1" x14ac:dyDescent="0.2">
      <c r="A259" s="13"/>
      <c r="B259" s="3"/>
      <c r="C259" s="3"/>
      <c r="D259" s="3"/>
      <c r="E259" s="3"/>
      <c r="G259" s="94"/>
      <c r="I259" s="90"/>
      <c r="J259" s="13"/>
      <c r="K259" s="31"/>
      <c r="L259" s="13"/>
      <c r="M259" s="13"/>
    </row>
    <row r="260" spans="1:13" s="89" customFormat="1" x14ac:dyDescent="0.2">
      <c r="A260" s="13"/>
      <c r="B260" s="3"/>
      <c r="C260" s="3"/>
      <c r="D260" s="3"/>
      <c r="E260" s="3"/>
      <c r="G260" s="91"/>
      <c r="I260" s="90"/>
      <c r="J260" s="13"/>
      <c r="K260" s="31"/>
      <c r="L260" s="13"/>
      <c r="M260" s="13"/>
    </row>
    <row r="261" spans="1:13" s="13" customFormat="1" x14ac:dyDescent="0.2">
      <c r="B261" s="3"/>
      <c r="C261" s="3"/>
      <c r="D261" s="3"/>
      <c r="E261" s="3"/>
      <c r="F261" s="89"/>
      <c r="G261" s="3"/>
      <c r="H261" s="89"/>
      <c r="I261" s="90"/>
      <c r="K261" s="31"/>
    </row>
    <row r="262" spans="1:13" s="13" customFormat="1" x14ac:dyDescent="0.2">
      <c r="B262" s="3"/>
      <c r="C262" s="3"/>
      <c r="D262" s="3"/>
      <c r="E262" s="3"/>
      <c r="F262" s="89"/>
      <c r="G262" s="3"/>
      <c r="H262" s="89"/>
      <c r="I262" s="90"/>
      <c r="K262" s="31"/>
    </row>
    <row r="263" spans="1:13" s="13" customFormat="1" x14ac:dyDescent="0.2">
      <c r="B263" s="3"/>
      <c r="C263" s="3"/>
      <c r="D263" s="3"/>
      <c r="E263" s="3"/>
      <c r="F263" s="89"/>
      <c r="G263" s="3"/>
      <c r="H263" s="89"/>
      <c r="I263" s="90"/>
      <c r="K263" s="31"/>
    </row>
    <row r="264" spans="1:13" s="89" customFormat="1" x14ac:dyDescent="0.2">
      <c r="A264" s="13"/>
      <c r="B264" s="3"/>
      <c r="C264" s="3"/>
      <c r="D264" s="3"/>
      <c r="E264" s="3"/>
      <c r="G264" s="95"/>
      <c r="I264" s="90"/>
      <c r="J264" s="13"/>
      <c r="K264" s="31"/>
      <c r="L264" s="13"/>
      <c r="M264" s="13"/>
    </row>
    <row r="265" spans="1:13" s="89" customFormat="1" x14ac:dyDescent="0.2">
      <c r="A265" s="13"/>
      <c r="B265" s="3"/>
      <c r="C265" s="3"/>
      <c r="D265" s="3"/>
      <c r="E265" s="3"/>
      <c r="G265" s="96"/>
      <c r="I265" s="90"/>
      <c r="J265" s="13"/>
      <c r="K265" s="31"/>
      <c r="L265" s="13"/>
      <c r="M265" s="13"/>
    </row>
    <row r="266" spans="1:13" s="89" customFormat="1" x14ac:dyDescent="0.2">
      <c r="A266" s="13"/>
      <c r="B266" s="3"/>
      <c r="C266" s="3"/>
      <c r="D266" s="3"/>
      <c r="E266" s="3"/>
      <c r="G266" s="93"/>
      <c r="I266" s="90"/>
      <c r="J266" s="13"/>
      <c r="K266" s="31"/>
      <c r="L266" s="13"/>
      <c r="M266" s="13"/>
    </row>
    <row r="267" spans="1:13" s="89" customFormat="1" x14ac:dyDescent="0.2">
      <c r="A267" s="13"/>
      <c r="B267" s="3"/>
      <c r="C267" s="3"/>
      <c r="D267" s="3"/>
      <c r="E267" s="3"/>
      <c r="G267" s="93"/>
      <c r="I267" s="90"/>
      <c r="J267" s="13"/>
      <c r="K267" s="31"/>
      <c r="L267" s="13"/>
      <c r="M267" s="13"/>
    </row>
    <row r="268" spans="1:13" s="89" customFormat="1" x14ac:dyDescent="0.2">
      <c r="A268" s="13"/>
      <c r="B268" s="3"/>
      <c r="C268" s="3"/>
      <c r="D268" s="3"/>
      <c r="E268" s="3"/>
      <c r="G268" s="91"/>
      <c r="I268" s="90"/>
      <c r="J268" s="13"/>
      <c r="K268" s="31"/>
      <c r="L268" s="13"/>
      <c r="M268" s="13"/>
    </row>
    <row r="269" spans="1:13" s="13" customFormat="1" x14ac:dyDescent="0.2">
      <c r="B269" s="3"/>
      <c r="C269" s="3"/>
      <c r="D269" s="3"/>
      <c r="E269" s="3"/>
      <c r="F269" s="89"/>
      <c r="G269" s="3"/>
      <c r="H269" s="89"/>
      <c r="I269" s="90"/>
      <c r="K269" s="31"/>
    </row>
    <row r="270" spans="1:13" s="13" customFormat="1" x14ac:dyDescent="0.2">
      <c r="B270" s="3"/>
      <c r="C270" s="3"/>
      <c r="D270" s="3"/>
      <c r="E270" s="3"/>
      <c r="F270" s="89"/>
      <c r="G270" s="3"/>
      <c r="H270" s="89"/>
      <c r="I270" s="90"/>
      <c r="K270" s="31"/>
    </row>
    <row r="271" spans="1:13" s="13" customFormat="1" x14ac:dyDescent="0.2">
      <c r="B271" s="3"/>
      <c r="C271" s="3"/>
      <c r="D271" s="3"/>
      <c r="E271" s="3"/>
      <c r="F271" s="89"/>
      <c r="G271" s="3"/>
      <c r="H271" s="89"/>
      <c r="I271" s="90"/>
      <c r="K271" s="31"/>
    </row>
    <row r="272" spans="1:13" s="89" customFormat="1" x14ac:dyDescent="0.2">
      <c r="A272" s="13"/>
      <c r="B272" s="3"/>
      <c r="C272" s="3"/>
      <c r="D272" s="3"/>
      <c r="E272" s="3"/>
      <c r="G272" s="95"/>
      <c r="I272" s="90"/>
      <c r="J272" s="13"/>
      <c r="K272" s="31"/>
      <c r="L272" s="13"/>
      <c r="M272" s="13"/>
    </row>
    <row r="273" spans="1:13" s="89" customFormat="1" x14ac:dyDescent="0.2">
      <c r="A273" s="13"/>
      <c r="B273" s="3"/>
      <c r="C273" s="3"/>
      <c r="D273" s="3"/>
      <c r="E273" s="3"/>
      <c r="G273" s="96"/>
      <c r="I273" s="90"/>
      <c r="J273" s="13"/>
      <c r="K273" s="31"/>
      <c r="L273" s="13"/>
      <c r="M273" s="13"/>
    </row>
    <row r="274" spans="1:13" s="89" customFormat="1" x14ac:dyDescent="0.2">
      <c r="A274" s="13"/>
      <c r="B274" s="3"/>
      <c r="C274" s="3"/>
      <c r="D274" s="3"/>
      <c r="E274" s="3"/>
      <c r="G274" s="93"/>
      <c r="I274" s="90"/>
      <c r="J274" s="13"/>
      <c r="K274" s="31"/>
      <c r="L274" s="13"/>
      <c r="M274" s="13"/>
    </row>
    <row r="275" spans="1:13" s="89" customFormat="1" x14ac:dyDescent="0.2">
      <c r="A275" s="13"/>
      <c r="B275" s="3"/>
      <c r="C275" s="3"/>
      <c r="D275" s="3"/>
      <c r="E275" s="3"/>
      <c r="G275" s="93"/>
      <c r="I275" s="90"/>
      <c r="J275" s="13"/>
      <c r="K275" s="31"/>
      <c r="L275" s="13"/>
      <c r="M275" s="13"/>
    </row>
    <row r="276" spans="1:13" s="89" customFormat="1" x14ac:dyDescent="0.2">
      <c r="A276" s="13"/>
      <c r="B276" s="3"/>
      <c r="C276" s="3"/>
      <c r="D276" s="3"/>
      <c r="E276" s="3"/>
      <c r="G276" s="95"/>
      <c r="I276" s="90"/>
      <c r="J276" s="13"/>
      <c r="K276" s="31"/>
      <c r="L276" s="13"/>
      <c r="M276" s="13"/>
    </row>
    <row r="277" spans="1:13" s="89" customFormat="1" x14ac:dyDescent="0.2">
      <c r="A277" s="13"/>
      <c r="B277" s="3"/>
      <c r="C277" s="3"/>
      <c r="D277" s="3"/>
      <c r="E277" s="3"/>
      <c r="G277" s="97"/>
      <c r="I277" s="90"/>
      <c r="J277" s="13"/>
      <c r="K277" s="31"/>
      <c r="L277" s="13"/>
      <c r="M277" s="13"/>
    </row>
    <row r="278" spans="1:13" s="89" customFormat="1" x14ac:dyDescent="0.2">
      <c r="A278" s="13"/>
      <c r="B278" s="3"/>
      <c r="C278" s="3"/>
      <c r="D278" s="3"/>
      <c r="E278" s="3"/>
      <c r="G278" s="95"/>
      <c r="I278" s="90"/>
      <c r="J278" s="13"/>
      <c r="K278" s="31"/>
      <c r="L278" s="13"/>
      <c r="M278" s="13"/>
    </row>
    <row r="279" spans="1:13" s="13" customFormat="1" x14ac:dyDescent="0.2">
      <c r="B279" s="3"/>
      <c r="C279" s="3"/>
      <c r="D279" s="3"/>
      <c r="E279" s="3"/>
      <c r="F279" s="89"/>
      <c r="G279" s="3"/>
      <c r="H279" s="89"/>
      <c r="I279" s="90"/>
      <c r="K279" s="31"/>
    </row>
    <row r="280" spans="1:13" s="13" customFormat="1" x14ac:dyDescent="0.2">
      <c r="B280" s="3"/>
      <c r="C280" s="3"/>
      <c r="D280" s="3"/>
      <c r="E280" s="3"/>
      <c r="F280" s="89"/>
      <c r="G280" s="3"/>
      <c r="H280" s="89"/>
      <c r="I280" s="90"/>
      <c r="K280" s="31"/>
    </row>
    <row r="281" spans="1:13" s="13" customFormat="1" x14ac:dyDescent="0.2">
      <c r="B281" s="3"/>
      <c r="C281" s="3"/>
      <c r="D281" s="3"/>
      <c r="E281" s="3"/>
      <c r="F281" s="89"/>
      <c r="G281" s="3"/>
      <c r="H281" s="89"/>
      <c r="I281" s="90"/>
      <c r="K281" s="31"/>
    </row>
    <row r="282" spans="1:13" s="13" customFormat="1" x14ac:dyDescent="0.2">
      <c r="B282" s="3"/>
      <c r="C282" s="3"/>
      <c r="D282" s="3"/>
      <c r="E282" s="3"/>
      <c r="F282" s="89"/>
      <c r="G282" s="3"/>
      <c r="H282" s="89"/>
      <c r="I282" s="90"/>
      <c r="K282" s="31"/>
    </row>
    <row r="283" spans="1:13" s="13" customFormat="1" x14ac:dyDescent="0.2">
      <c r="B283" s="3"/>
      <c r="C283" s="3"/>
      <c r="D283" s="3"/>
      <c r="E283" s="3"/>
      <c r="F283" s="89"/>
      <c r="G283" s="3"/>
      <c r="H283" s="89"/>
      <c r="I283" s="90"/>
      <c r="K283" s="31"/>
    </row>
    <row r="284" spans="1:13" s="13" customFormat="1" x14ac:dyDescent="0.2">
      <c r="B284" s="3"/>
      <c r="C284" s="3"/>
      <c r="D284" s="3"/>
      <c r="E284" s="3"/>
      <c r="F284" s="89"/>
      <c r="G284" s="3"/>
      <c r="H284" s="89"/>
      <c r="I284" s="90"/>
      <c r="K284" s="31"/>
    </row>
    <row r="285" spans="1:13" s="13" customFormat="1" x14ac:dyDescent="0.2">
      <c r="B285" s="3"/>
      <c r="C285" s="3"/>
      <c r="D285" s="3"/>
      <c r="E285" s="3"/>
      <c r="F285" s="89"/>
      <c r="G285" s="3"/>
      <c r="H285" s="89"/>
      <c r="I285" s="90"/>
      <c r="K285" s="31"/>
    </row>
    <row r="286" spans="1:13" s="13" customFormat="1" x14ac:dyDescent="0.2">
      <c r="B286" s="3"/>
      <c r="C286" s="3"/>
      <c r="D286" s="3"/>
      <c r="E286" s="3"/>
      <c r="F286" s="89"/>
      <c r="G286" s="3"/>
      <c r="H286" s="89"/>
      <c r="I286" s="90"/>
      <c r="K286" s="31"/>
    </row>
    <row r="287" spans="1:13" s="13" customFormat="1" x14ac:dyDescent="0.2">
      <c r="B287" s="3"/>
      <c r="C287" s="3"/>
      <c r="D287" s="3"/>
      <c r="E287" s="3"/>
      <c r="F287" s="89"/>
      <c r="G287" s="3"/>
      <c r="H287" s="89"/>
      <c r="I287" s="90"/>
      <c r="K287" s="31"/>
    </row>
    <row r="288" spans="1:13" s="13" customFormat="1" x14ac:dyDescent="0.2">
      <c r="B288" s="3"/>
      <c r="C288" s="3"/>
      <c r="D288" s="3"/>
      <c r="E288" s="3"/>
      <c r="F288" s="89"/>
      <c r="G288" s="3"/>
      <c r="H288" s="89"/>
      <c r="I288" s="90"/>
      <c r="K288" s="31"/>
    </row>
    <row r="289" spans="2:11" s="13" customFormat="1" x14ac:dyDescent="0.2">
      <c r="B289" s="3"/>
      <c r="C289" s="3"/>
      <c r="D289" s="3"/>
      <c r="E289" s="3"/>
      <c r="F289" s="89"/>
      <c r="G289" s="3"/>
      <c r="H289" s="89"/>
      <c r="I289" s="90"/>
      <c r="K289" s="31"/>
    </row>
    <row r="290" spans="2:11" s="13" customFormat="1" x14ac:dyDescent="0.2">
      <c r="B290" s="3"/>
      <c r="C290" s="3"/>
      <c r="D290" s="3"/>
      <c r="E290" s="3"/>
      <c r="F290" s="89"/>
      <c r="G290" s="3"/>
      <c r="H290" s="89"/>
      <c r="I290" s="90"/>
      <c r="K290" s="31"/>
    </row>
    <row r="291" spans="2:11" s="13" customFormat="1" x14ac:dyDescent="0.2">
      <c r="B291" s="3"/>
      <c r="C291" s="3"/>
      <c r="D291" s="3"/>
      <c r="E291" s="3"/>
      <c r="F291" s="89"/>
      <c r="G291" s="3"/>
      <c r="H291" s="89"/>
      <c r="I291" s="90"/>
      <c r="K291" s="31"/>
    </row>
    <row r="292" spans="2:11" s="13" customFormat="1" x14ac:dyDescent="0.2">
      <c r="B292" s="3"/>
      <c r="C292" s="3"/>
      <c r="D292" s="3"/>
      <c r="E292" s="3"/>
      <c r="F292" s="89"/>
      <c r="G292" s="3"/>
      <c r="H292" s="89"/>
      <c r="I292" s="90"/>
      <c r="K292" s="31"/>
    </row>
    <row r="293" spans="2:11" s="13" customFormat="1" x14ac:dyDescent="0.2">
      <c r="B293" s="3"/>
      <c r="C293" s="3"/>
      <c r="D293" s="3"/>
      <c r="E293" s="3"/>
      <c r="F293" s="89"/>
      <c r="G293" s="3"/>
      <c r="H293" s="89"/>
      <c r="I293" s="90"/>
      <c r="K293" s="31"/>
    </row>
    <row r="294" spans="2:11" s="13" customFormat="1" x14ac:dyDescent="0.2">
      <c r="B294" s="3"/>
      <c r="C294" s="3"/>
      <c r="D294" s="3"/>
      <c r="E294" s="3"/>
      <c r="F294" s="89"/>
      <c r="G294" s="3"/>
      <c r="H294" s="89"/>
      <c r="I294" s="90"/>
      <c r="K294" s="31"/>
    </row>
    <row r="295" spans="2:11" s="13" customFormat="1" x14ac:dyDescent="0.2">
      <c r="B295" s="3"/>
      <c r="C295" s="3"/>
      <c r="D295" s="3"/>
      <c r="E295" s="3"/>
      <c r="F295" s="89"/>
      <c r="G295" s="3"/>
      <c r="H295" s="89"/>
      <c r="I295" s="90"/>
      <c r="K295" s="31"/>
    </row>
    <row r="296" spans="2:11" s="13" customFormat="1" x14ac:dyDescent="0.2">
      <c r="B296" s="3"/>
      <c r="C296" s="3"/>
      <c r="D296" s="3"/>
      <c r="E296" s="3"/>
      <c r="F296" s="89"/>
      <c r="G296" s="3"/>
      <c r="H296" s="89"/>
      <c r="I296" s="90"/>
      <c r="K296" s="31"/>
    </row>
    <row r="297" spans="2:11" s="13" customFormat="1" x14ac:dyDescent="0.2">
      <c r="B297" s="3"/>
      <c r="C297" s="3"/>
      <c r="D297" s="3"/>
      <c r="E297" s="3"/>
      <c r="F297" s="89"/>
      <c r="G297" s="3"/>
      <c r="H297" s="89"/>
      <c r="I297" s="90"/>
      <c r="K297" s="31"/>
    </row>
    <row r="298" spans="2:11" s="13" customFormat="1" x14ac:dyDescent="0.2">
      <c r="B298" s="3"/>
      <c r="C298" s="3"/>
      <c r="D298" s="3"/>
      <c r="E298" s="3"/>
      <c r="F298" s="89"/>
      <c r="G298" s="3"/>
      <c r="H298" s="89"/>
      <c r="I298" s="90"/>
      <c r="K298" s="31"/>
    </row>
    <row r="299" spans="2:11" s="13" customFormat="1" x14ac:dyDescent="0.2">
      <c r="B299" s="3"/>
      <c r="C299" s="3"/>
      <c r="D299" s="3"/>
      <c r="E299" s="3"/>
      <c r="F299" s="89"/>
      <c r="G299" s="3"/>
      <c r="H299" s="89"/>
      <c r="I299" s="90"/>
      <c r="K299" s="31"/>
    </row>
    <row r="300" spans="2:11" s="13" customFormat="1" x14ac:dyDescent="0.2">
      <c r="B300" s="3"/>
      <c r="C300" s="3"/>
      <c r="D300" s="3"/>
      <c r="E300" s="3"/>
      <c r="F300" s="89"/>
      <c r="G300" s="3"/>
      <c r="H300" s="89"/>
      <c r="I300" s="90"/>
      <c r="K300" s="31"/>
    </row>
    <row r="301" spans="2:11" s="13" customFormat="1" x14ac:dyDescent="0.2">
      <c r="B301" s="3"/>
      <c r="C301" s="3"/>
      <c r="D301" s="3"/>
      <c r="E301" s="3"/>
      <c r="F301" s="89"/>
      <c r="G301" s="3"/>
      <c r="H301" s="89"/>
      <c r="I301" s="90"/>
      <c r="K301" s="31"/>
    </row>
    <row r="302" spans="2:11" s="13" customFormat="1" x14ac:dyDescent="0.2">
      <c r="B302" s="3"/>
      <c r="C302" s="3"/>
      <c r="D302" s="3"/>
      <c r="E302" s="3"/>
      <c r="F302" s="89"/>
      <c r="G302" s="3"/>
      <c r="H302" s="89"/>
      <c r="I302" s="90"/>
      <c r="K302" s="31"/>
    </row>
    <row r="303" spans="2:11" s="13" customFormat="1" x14ac:dyDescent="0.2">
      <c r="B303" s="3"/>
      <c r="C303" s="3"/>
      <c r="D303" s="3"/>
      <c r="E303" s="3"/>
      <c r="F303" s="89"/>
      <c r="G303" s="3"/>
      <c r="H303" s="89"/>
      <c r="I303" s="90"/>
      <c r="K303" s="31"/>
    </row>
    <row r="304" spans="2:11" s="13" customFormat="1" x14ac:dyDescent="0.2">
      <c r="B304" s="3"/>
      <c r="C304" s="3"/>
      <c r="D304" s="3"/>
      <c r="E304" s="3"/>
      <c r="F304" s="89"/>
      <c r="G304" s="3"/>
      <c r="H304" s="89"/>
      <c r="I304" s="90"/>
      <c r="K304" s="31"/>
    </row>
    <row r="305" spans="2:11" s="13" customFormat="1" x14ac:dyDescent="0.2">
      <c r="B305" s="3"/>
      <c r="C305" s="3"/>
      <c r="D305" s="3"/>
      <c r="E305" s="3"/>
      <c r="F305" s="89"/>
      <c r="G305" s="3"/>
      <c r="H305" s="89"/>
      <c r="I305" s="90"/>
      <c r="K305" s="31"/>
    </row>
    <row r="306" spans="2:11" s="13" customFormat="1" x14ac:dyDescent="0.2">
      <c r="B306" s="3"/>
      <c r="C306" s="3"/>
      <c r="D306" s="3"/>
      <c r="E306" s="3"/>
      <c r="F306" s="89"/>
      <c r="G306" s="3"/>
      <c r="H306" s="89"/>
      <c r="I306" s="90"/>
      <c r="K306" s="31"/>
    </row>
    <row r="307" spans="2:11" s="13" customFormat="1" x14ac:dyDescent="0.2">
      <c r="B307" s="3"/>
      <c r="C307" s="3"/>
      <c r="D307" s="3"/>
      <c r="E307" s="3"/>
      <c r="F307" s="89"/>
      <c r="G307" s="3"/>
      <c r="H307" s="89"/>
      <c r="I307" s="90"/>
      <c r="K307" s="31"/>
    </row>
    <row r="308" spans="2:11" s="13" customFormat="1" x14ac:dyDescent="0.2">
      <c r="B308" s="3"/>
      <c r="C308" s="3"/>
      <c r="D308" s="3"/>
      <c r="E308" s="3"/>
      <c r="F308" s="89"/>
      <c r="G308" s="3"/>
      <c r="H308" s="89"/>
      <c r="I308" s="90"/>
      <c r="K308" s="31"/>
    </row>
    <row r="309" spans="2:11" s="13" customFormat="1" x14ac:dyDescent="0.2">
      <c r="B309" s="3"/>
      <c r="C309" s="3"/>
      <c r="D309" s="3"/>
      <c r="E309" s="3"/>
      <c r="F309" s="89"/>
      <c r="G309" s="3"/>
      <c r="H309" s="89"/>
      <c r="I309" s="90"/>
      <c r="K309" s="31"/>
    </row>
    <row r="310" spans="2:11" s="13" customFormat="1" x14ac:dyDescent="0.2">
      <c r="B310" s="3"/>
      <c r="C310" s="3"/>
      <c r="D310" s="3"/>
      <c r="E310" s="3"/>
      <c r="F310" s="89"/>
      <c r="G310" s="3"/>
      <c r="H310" s="89"/>
      <c r="I310" s="90"/>
      <c r="K310" s="31"/>
    </row>
    <row r="311" spans="2:11" s="13" customFormat="1" x14ac:dyDescent="0.2">
      <c r="B311" s="3"/>
      <c r="C311" s="3"/>
      <c r="D311" s="3"/>
      <c r="E311" s="3"/>
      <c r="F311" s="89"/>
      <c r="G311" s="3"/>
      <c r="H311" s="89"/>
      <c r="I311" s="90"/>
      <c r="K311" s="31"/>
    </row>
    <row r="312" spans="2:11" s="13" customFormat="1" x14ac:dyDescent="0.2">
      <c r="B312" s="3"/>
      <c r="C312" s="3"/>
      <c r="D312" s="3"/>
      <c r="E312" s="3"/>
      <c r="F312" s="89"/>
      <c r="G312" s="3"/>
      <c r="H312" s="89"/>
      <c r="I312" s="90"/>
      <c r="K312" s="31"/>
    </row>
    <row r="313" spans="2:11" s="13" customFormat="1" x14ac:dyDescent="0.2">
      <c r="B313" s="3"/>
      <c r="C313" s="3"/>
      <c r="D313" s="3"/>
      <c r="E313" s="3"/>
      <c r="F313" s="89"/>
      <c r="G313" s="3"/>
      <c r="H313" s="89"/>
      <c r="I313" s="90"/>
      <c r="K313" s="31"/>
    </row>
    <row r="314" spans="2:11" s="13" customFormat="1" x14ac:dyDescent="0.2">
      <c r="B314" s="3"/>
      <c r="C314" s="3"/>
      <c r="D314" s="3"/>
      <c r="E314" s="3"/>
      <c r="F314" s="89"/>
      <c r="G314" s="3"/>
      <c r="H314" s="89"/>
      <c r="I314" s="90"/>
      <c r="K314" s="31"/>
    </row>
    <row r="315" spans="2:11" s="13" customFormat="1" x14ac:dyDescent="0.2">
      <c r="B315" s="3"/>
      <c r="C315" s="3"/>
      <c r="D315" s="3"/>
      <c r="E315" s="3"/>
      <c r="F315" s="89"/>
      <c r="G315" s="3"/>
      <c r="H315" s="89"/>
      <c r="I315" s="90"/>
      <c r="K315" s="31"/>
    </row>
    <row r="316" spans="2:11" s="13" customFormat="1" x14ac:dyDescent="0.2">
      <c r="B316" s="3"/>
      <c r="C316" s="3"/>
      <c r="D316" s="3"/>
      <c r="E316" s="3"/>
      <c r="F316" s="89"/>
      <c r="G316" s="3"/>
      <c r="H316" s="89"/>
      <c r="I316" s="90"/>
      <c r="K316" s="31"/>
    </row>
    <row r="317" spans="2:11" s="13" customFormat="1" x14ac:dyDescent="0.2">
      <c r="B317" s="3"/>
      <c r="C317" s="3"/>
      <c r="D317" s="3"/>
      <c r="E317" s="3"/>
      <c r="F317" s="89"/>
      <c r="G317" s="3"/>
      <c r="H317" s="89"/>
      <c r="I317" s="90"/>
      <c r="K317" s="31"/>
    </row>
    <row r="318" spans="2:11" s="13" customFormat="1" x14ac:dyDescent="0.2">
      <c r="B318" s="3"/>
      <c r="C318" s="3"/>
      <c r="D318" s="3"/>
      <c r="E318" s="3"/>
      <c r="F318" s="89"/>
      <c r="G318" s="3"/>
      <c r="H318" s="89"/>
      <c r="I318" s="90"/>
      <c r="K318" s="31"/>
    </row>
    <row r="319" spans="2:11" s="13" customFormat="1" x14ac:dyDescent="0.2">
      <c r="B319" s="3"/>
      <c r="C319" s="3"/>
      <c r="D319" s="3"/>
      <c r="E319" s="3"/>
      <c r="F319" s="89"/>
      <c r="G319" s="3"/>
      <c r="H319" s="89"/>
      <c r="I319" s="90"/>
      <c r="K319" s="31"/>
    </row>
    <row r="320" spans="2:11" s="13" customFormat="1" x14ac:dyDescent="0.2">
      <c r="B320" s="3"/>
      <c r="C320" s="3"/>
      <c r="D320" s="3"/>
      <c r="E320" s="3"/>
      <c r="F320" s="89"/>
      <c r="G320" s="3"/>
      <c r="H320" s="89"/>
      <c r="I320" s="90"/>
      <c r="K320" s="31"/>
    </row>
    <row r="321" spans="2:11" s="13" customFormat="1" x14ac:dyDescent="0.2">
      <c r="B321" s="3"/>
      <c r="C321" s="3"/>
      <c r="D321" s="3"/>
      <c r="E321" s="3"/>
      <c r="F321" s="89"/>
      <c r="G321" s="3"/>
      <c r="H321" s="89"/>
      <c r="I321" s="90"/>
      <c r="K321" s="31"/>
    </row>
    <row r="322" spans="2:11" s="13" customFormat="1" x14ac:dyDescent="0.2">
      <c r="B322" s="3"/>
      <c r="C322" s="3"/>
      <c r="D322" s="3"/>
      <c r="E322" s="3"/>
      <c r="F322" s="89"/>
      <c r="G322" s="3"/>
      <c r="H322" s="89"/>
      <c r="I322" s="90"/>
      <c r="K322" s="31"/>
    </row>
    <row r="323" spans="2:11" s="13" customFormat="1" x14ac:dyDescent="0.2">
      <c r="B323" s="3"/>
      <c r="C323" s="3"/>
      <c r="D323" s="3"/>
      <c r="E323" s="3"/>
      <c r="F323" s="89"/>
      <c r="G323" s="3"/>
      <c r="H323" s="89"/>
      <c r="I323" s="90"/>
      <c r="K323" s="31"/>
    </row>
    <row r="324" spans="2:11" s="13" customFormat="1" x14ac:dyDescent="0.2">
      <c r="B324" s="3"/>
      <c r="C324" s="3"/>
      <c r="D324" s="3"/>
      <c r="E324" s="3"/>
      <c r="F324" s="89"/>
      <c r="G324" s="3"/>
      <c r="H324" s="89"/>
      <c r="I324" s="90"/>
      <c r="K324" s="31"/>
    </row>
    <row r="325" spans="2:11" s="13" customFormat="1" x14ac:dyDescent="0.2">
      <c r="B325" s="3"/>
      <c r="C325" s="3"/>
      <c r="D325" s="3"/>
      <c r="E325" s="3"/>
      <c r="F325" s="89"/>
      <c r="G325" s="3"/>
      <c r="H325" s="89"/>
      <c r="I325" s="90"/>
      <c r="K325" s="31"/>
    </row>
    <row r="326" spans="2:11" s="13" customFormat="1" x14ac:dyDescent="0.2">
      <c r="B326" s="3"/>
      <c r="C326" s="3"/>
      <c r="D326" s="3"/>
      <c r="E326" s="3"/>
      <c r="F326" s="89"/>
      <c r="G326" s="3"/>
      <c r="H326" s="89"/>
      <c r="I326" s="90"/>
      <c r="K326" s="31"/>
    </row>
    <row r="327" spans="2:11" s="13" customFormat="1" x14ac:dyDescent="0.2">
      <c r="B327" s="3"/>
      <c r="C327" s="3"/>
      <c r="D327" s="3"/>
      <c r="E327" s="3"/>
      <c r="F327" s="89"/>
      <c r="G327" s="3"/>
      <c r="H327" s="89"/>
      <c r="I327" s="90"/>
      <c r="K327" s="31"/>
    </row>
    <row r="328" spans="2:11" s="13" customFormat="1" x14ac:dyDescent="0.2">
      <c r="B328" s="3"/>
      <c r="C328" s="3"/>
      <c r="D328" s="3"/>
      <c r="E328" s="3"/>
      <c r="F328" s="89"/>
      <c r="G328" s="3"/>
      <c r="H328" s="89"/>
      <c r="I328" s="90"/>
      <c r="K328" s="31"/>
    </row>
    <row r="329" spans="2:11" s="13" customFormat="1" x14ac:dyDescent="0.2">
      <c r="B329" s="3"/>
      <c r="C329" s="3"/>
      <c r="D329" s="3"/>
      <c r="E329" s="3"/>
      <c r="F329" s="89"/>
      <c r="G329" s="3"/>
      <c r="H329" s="89"/>
      <c r="I329" s="90"/>
      <c r="K329" s="31"/>
    </row>
    <row r="330" spans="2:11" s="13" customFormat="1" x14ac:dyDescent="0.2">
      <c r="B330" s="3"/>
      <c r="C330" s="3"/>
      <c r="D330" s="3"/>
      <c r="E330" s="3"/>
      <c r="F330" s="89"/>
      <c r="G330" s="3"/>
      <c r="H330" s="89"/>
      <c r="I330" s="90"/>
      <c r="K330" s="31"/>
    </row>
    <row r="331" spans="2:11" s="13" customFormat="1" x14ac:dyDescent="0.2">
      <c r="B331" s="3"/>
      <c r="C331" s="3"/>
      <c r="D331" s="3"/>
      <c r="E331" s="3"/>
      <c r="F331" s="89"/>
      <c r="G331" s="3"/>
      <c r="H331" s="89"/>
      <c r="I331" s="90"/>
      <c r="K331" s="31"/>
    </row>
    <row r="332" spans="2:11" s="13" customFormat="1" x14ac:dyDescent="0.2">
      <c r="B332" s="3"/>
      <c r="C332" s="3"/>
      <c r="D332" s="3"/>
      <c r="E332" s="3"/>
      <c r="F332" s="89"/>
      <c r="G332" s="3"/>
      <c r="H332" s="89"/>
      <c r="I332" s="90"/>
      <c r="K332" s="31"/>
    </row>
    <row r="333" spans="2:11" s="13" customFormat="1" x14ac:dyDescent="0.2">
      <c r="B333" s="3"/>
      <c r="C333" s="3"/>
      <c r="D333" s="3"/>
      <c r="E333" s="3"/>
      <c r="F333" s="89"/>
      <c r="G333" s="3"/>
      <c r="H333" s="89"/>
      <c r="I333" s="90"/>
      <c r="K333" s="31"/>
    </row>
    <row r="334" spans="2:11" s="13" customFormat="1" x14ac:dyDescent="0.2">
      <c r="B334" s="3"/>
      <c r="C334" s="3"/>
      <c r="D334" s="3"/>
      <c r="E334" s="3"/>
      <c r="F334" s="89"/>
      <c r="G334" s="3"/>
      <c r="H334" s="89"/>
      <c r="I334" s="90"/>
      <c r="K334" s="31"/>
    </row>
    <row r="335" spans="2:11" s="13" customFormat="1" x14ac:dyDescent="0.2">
      <c r="B335" s="3"/>
      <c r="C335" s="3"/>
      <c r="D335" s="3"/>
      <c r="E335" s="3"/>
      <c r="F335" s="89"/>
      <c r="G335" s="3"/>
      <c r="H335" s="89"/>
      <c r="I335" s="90"/>
      <c r="K335" s="31"/>
    </row>
    <row r="336" spans="2:11" s="13" customFormat="1" x14ac:dyDescent="0.2">
      <c r="B336" s="3"/>
      <c r="C336" s="3"/>
      <c r="D336" s="3"/>
      <c r="E336" s="3"/>
      <c r="F336" s="89"/>
      <c r="G336" s="3"/>
      <c r="H336" s="89"/>
      <c r="I336" s="90"/>
      <c r="K336" s="31"/>
    </row>
    <row r="337" spans="2:11" s="13" customFormat="1" x14ac:dyDescent="0.2">
      <c r="B337" s="3"/>
      <c r="C337" s="3"/>
      <c r="D337" s="3"/>
      <c r="E337" s="3"/>
      <c r="F337" s="89"/>
      <c r="G337" s="3"/>
      <c r="H337" s="89"/>
      <c r="I337" s="90"/>
      <c r="K337" s="31"/>
    </row>
    <row r="338" spans="2:11" s="13" customFormat="1" x14ac:dyDescent="0.2">
      <c r="B338" s="3"/>
      <c r="C338" s="3"/>
      <c r="D338" s="3"/>
      <c r="E338" s="3"/>
      <c r="F338" s="89"/>
      <c r="G338" s="3"/>
      <c r="H338" s="89"/>
      <c r="I338" s="90"/>
      <c r="K338" s="31"/>
    </row>
    <row r="339" spans="2:11" s="13" customFormat="1" x14ac:dyDescent="0.2">
      <c r="B339" s="3"/>
      <c r="C339" s="3"/>
      <c r="D339" s="3"/>
      <c r="E339" s="3"/>
      <c r="F339" s="89"/>
      <c r="G339" s="3"/>
      <c r="H339" s="89"/>
      <c r="I339" s="90"/>
      <c r="K339" s="31"/>
    </row>
    <row r="340" spans="2:11" s="13" customFormat="1" x14ac:dyDescent="0.2">
      <c r="B340" s="3"/>
      <c r="C340" s="3"/>
      <c r="D340" s="3"/>
      <c r="E340" s="3"/>
      <c r="F340" s="89"/>
      <c r="G340" s="3"/>
      <c r="H340" s="89"/>
      <c r="I340" s="90"/>
      <c r="K340" s="31"/>
    </row>
    <row r="341" spans="2:11" s="13" customFormat="1" x14ac:dyDescent="0.2">
      <c r="B341" s="3"/>
      <c r="C341" s="3"/>
      <c r="D341" s="3"/>
      <c r="E341" s="3"/>
      <c r="F341" s="89"/>
      <c r="G341" s="3"/>
      <c r="H341" s="89"/>
      <c r="I341" s="90"/>
      <c r="K341" s="31"/>
    </row>
    <row r="342" spans="2:11" s="13" customFormat="1" x14ac:dyDescent="0.2">
      <c r="B342" s="3"/>
      <c r="C342" s="3"/>
      <c r="D342" s="3"/>
      <c r="E342" s="3"/>
      <c r="F342" s="89"/>
      <c r="G342" s="3"/>
      <c r="H342" s="89"/>
      <c r="I342" s="90"/>
      <c r="K342" s="31"/>
    </row>
    <row r="343" spans="2:11" s="13" customFormat="1" x14ac:dyDescent="0.2">
      <c r="B343" s="3"/>
      <c r="C343" s="3"/>
      <c r="D343" s="3"/>
      <c r="E343" s="3"/>
      <c r="F343" s="89"/>
      <c r="G343" s="3"/>
      <c r="H343" s="89"/>
      <c r="I343" s="90"/>
      <c r="K343" s="31"/>
    </row>
    <row r="344" spans="2:11" s="13" customFormat="1" x14ac:dyDescent="0.2">
      <c r="B344" s="3"/>
      <c r="C344" s="3"/>
      <c r="D344" s="3"/>
      <c r="E344" s="3"/>
      <c r="F344" s="89"/>
      <c r="G344" s="3"/>
      <c r="H344" s="89"/>
      <c r="I344" s="90"/>
      <c r="K344" s="31"/>
    </row>
    <row r="345" spans="2:11" s="13" customFormat="1" x14ac:dyDescent="0.2">
      <c r="B345" s="3"/>
      <c r="C345" s="3"/>
      <c r="D345" s="3"/>
      <c r="E345" s="3"/>
      <c r="F345" s="89"/>
      <c r="G345" s="3"/>
      <c r="H345" s="89"/>
      <c r="I345" s="90"/>
      <c r="K345" s="31"/>
    </row>
    <row r="346" spans="2:11" s="13" customFormat="1" x14ac:dyDescent="0.2">
      <c r="B346" s="3"/>
      <c r="C346" s="3"/>
      <c r="D346" s="3"/>
      <c r="E346" s="3"/>
      <c r="F346" s="89"/>
      <c r="G346" s="3"/>
      <c r="H346" s="89"/>
      <c r="I346" s="90"/>
      <c r="K346" s="31"/>
    </row>
    <row r="347" spans="2:11" s="13" customFormat="1" x14ac:dyDescent="0.2">
      <c r="B347" s="3"/>
      <c r="C347" s="3"/>
      <c r="D347" s="3"/>
      <c r="E347" s="3"/>
      <c r="F347" s="89"/>
      <c r="G347" s="3"/>
      <c r="H347" s="89"/>
      <c r="I347" s="90"/>
      <c r="K347" s="31"/>
    </row>
    <row r="348" spans="2:11" s="13" customFormat="1" x14ac:dyDescent="0.2">
      <c r="B348" s="3"/>
      <c r="C348" s="3"/>
      <c r="D348" s="3"/>
      <c r="E348" s="3"/>
      <c r="F348" s="89"/>
      <c r="G348" s="3"/>
      <c r="H348" s="89"/>
      <c r="I348" s="90"/>
      <c r="K348" s="31"/>
    </row>
    <row r="349" spans="2:11" s="13" customFormat="1" x14ac:dyDescent="0.2">
      <c r="B349" s="3"/>
      <c r="C349" s="3"/>
      <c r="D349" s="3"/>
      <c r="E349" s="3"/>
      <c r="F349" s="89"/>
      <c r="G349" s="3"/>
      <c r="H349" s="89"/>
      <c r="I349" s="90"/>
      <c r="K349" s="31"/>
    </row>
    <row r="350" spans="2:11" s="13" customFormat="1" x14ac:dyDescent="0.2">
      <c r="B350" s="3"/>
      <c r="C350" s="3"/>
      <c r="D350" s="3"/>
      <c r="E350" s="3"/>
      <c r="F350" s="89"/>
      <c r="G350" s="3"/>
      <c r="H350" s="89"/>
      <c r="I350" s="90"/>
      <c r="K350" s="31"/>
    </row>
    <row r="351" spans="2:11" s="13" customFormat="1" x14ac:dyDescent="0.2">
      <c r="B351" s="3"/>
      <c r="C351" s="3"/>
      <c r="D351" s="3"/>
      <c r="E351" s="3"/>
      <c r="F351" s="89"/>
      <c r="G351" s="3"/>
      <c r="H351" s="89"/>
      <c r="I351" s="90"/>
      <c r="K351" s="31"/>
    </row>
    <row r="352" spans="2:11" s="13" customFormat="1" x14ac:dyDescent="0.2">
      <c r="B352" s="3"/>
      <c r="C352" s="3"/>
      <c r="D352" s="3"/>
      <c r="E352" s="3"/>
      <c r="F352" s="89"/>
      <c r="G352" s="3"/>
      <c r="H352" s="89"/>
      <c r="I352" s="90"/>
      <c r="K352" s="31"/>
    </row>
    <row r="353" spans="2:11" s="13" customFormat="1" x14ac:dyDescent="0.2">
      <c r="B353" s="3"/>
      <c r="C353" s="3"/>
      <c r="D353" s="3"/>
      <c r="E353" s="3"/>
      <c r="F353" s="89"/>
      <c r="G353" s="3"/>
      <c r="H353" s="89"/>
      <c r="I353" s="90"/>
      <c r="K353" s="31"/>
    </row>
    <row r="354" spans="2:11" s="13" customFormat="1" x14ac:dyDescent="0.2">
      <c r="B354" s="3"/>
      <c r="C354" s="3"/>
      <c r="D354" s="3"/>
      <c r="E354" s="3"/>
      <c r="F354" s="89"/>
      <c r="G354" s="3"/>
      <c r="H354" s="89"/>
      <c r="I354" s="90"/>
      <c r="K354" s="31"/>
    </row>
    <row r="355" spans="2:11" s="13" customFormat="1" x14ac:dyDescent="0.2">
      <c r="B355" s="3"/>
      <c r="C355" s="3"/>
      <c r="D355" s="3"/>
      <c r="E355" s="3"/>
      <c r="F355" s="89"/>
      <c r="G355" s="3"/>
      <c r="H355" s="89"/>
      <c r="I355" s="90"/>
      <c r="K355" s="31"/>
    </row>
    <row r="356" spans="2:11" s="13" customFormat="1" x14ac:dyDescent="0.2">
      <c r="B356" s="3"/>
      <c r="C356" s="3"/>
      <c r="D356" s="3"/>
      <c r="E356" s="3"/>
      <c r="F356" s="89"/>
      <c r="G356" s="3"/>
      <c r="H356" s="89"/>
      <c r="I356" s="90"/>
      <c r="K356" s="31"/>
    </row>
    <row r="357" spans="2:11" s="13" customFormat="1" x14ac:dyDescent="0.2">
      <c r="B357" s="3"/>
      <c r="C357" s="3"/>
      <c r="D357" s="3"/>
      <c r="E357" s="3"/>
      <c r="F357" s="89"/>
      <c r="G357" s="3"/>
      <c r="H357" s="89"/>
      <c r="I357" s="90"/>
      <c r="K357" s="31"/>
    </row>
    <row r="358" spans="2:11" s="13" customFormat="1" x14ac:dyDescent="0.2">
      <c r="B358" s="3"/>
      <c r="C358" s="3"/>
      <c r="D358" s="3"/>
      <c r="E358" s="3"/>
      <c r="F358" s="89"/>
      <c r="G358" s="3"/>
      <c r="H358" s="89"/>
      <c r="I358" s="90"/>
      <c r="K358" s="31"/>
    </row>
    <row r="359" spans="2:11" s="13" customFormat="1" x14ac:dyDescent="0.2">
      <c r="B359" s="3"/>
      <c r="C359" s="3"/>
      <c r="D359" s="3"/>
      <c r="E359" s="3"/>
      <c r="F359" s="89"/>
      <c r="G359" s="3"/>
      <c r="H359" s="89"/>
      <c r="I359" s="90"/>
      <c r="K359" s="31"/>
    </row>
    <row r="360" spans="2:11" s="13" customFormat="1" x14ac:dyDescent="0.2">
      <c r="B360" s="3"/>
      <c r="C360" s="3"/>
      <c r="D360" s="3"/>
      <c r="E360" s="3"/>
      <c r="F360" s="89"/>
      <c r="G360" s="3"/>
      <c r="H360" s="89"/>
      <c r="I360" s="90"/>
      <c r="K360" s="31"/>
    </row>
    <row r="361" spans="2:11" s="13" customFormat="1" x14ac:dyDescent="0.2">
      <c r="B361" s="3"/>
      <c r="C361" s="3"/>
      <c r="D361" s="3"/>
      <c r="E361" s="3"/>
      <c r="F361" s="89"/>
      <c r="G361" s="3"/>
      <c r="H361" s="89"/>
      <c r="I361" s="90"/>
      <c r="K361" s="31"/>
    </row>
    <row r="362" spans="2:11" s="13" customFormat="1" x14ac:dyDescent="0.2">
      <c r="B362" s="3"/>
      <c r="C362" s="3"/>
      <c r="D362" s="3"/>
      <c r="E362" s="3"/>
      <c r="F362" s="89"/>
      <c r="G362" s="3"/>
      <c r="H362" s="89"/>
      <c r="I362" s="90"/>
      <c r="K362" s="31"/>
    </row>
    <row r="363" spans="2:11" s="13" customFormat="1" x14ac:dyDescent="0.2">
      <c r="B363" s="3"/>
      <c r="C363" s="3"/>
      <c r="D363" s="3"/>
      <c r="E363" s="3"/>
      <c r="F363" s="89"/>
      <c r="G363" s="3"/>
      <c r="H363" s="89"/>
      <c r="I363" s="90"/>
      <c r="K363" s="31"/>
    </row>
    <row r="364" spans="2:11" s="13" customFormat="1" x14ac:dyDescent="0.2">
      <c r="B364" s="3"/>
      <c r="C364" s="3"/>
      <c r="D364" s="3"/>
      <c r="E364" s="3"/>
      <c r="F364" s="89"/>
      <c r="G364" s="3"/>
      <c r="H364" s="89"/>
      <c r="I364" s="90"/>
      <c r="K364" s="31"/>
    </row>
    <row r="365" spans="2:11" s="13" customFormat="1" x14ac:dyDescent="0.2">
      <c r="B365" s="3"/>
      <c r="C365" s="3"/>
      <c r="D365" s="3"/>
      <c r="E365" s="3"/>
      <c r="F365" s="89"/>
      <c r="G365" s="3"/>
      <c r="H365" s="89"/>
      <c r="I365" s="90"/>
      <c r="K365" s="31"/>
    </row>
    <row r="366" spans="2:11" s="13" customFormat="1" x14ac:dyDescent="0.2">
      <c r="B366" s="3"/>
      <c r="C366" s="3"/>
      <c r="D366" s="3"/>
      <c r="E366" s="3"/>
      <c r="F366" s="89"/>
      <c r="G366" s="3"/>
      <c r="H366" s="89"/>
      <c r="I366" s="90"/>
      <c r="K366" s="31"/>
    </row>
    <row r="367" spans="2:11" s="13" customFormat="1" x14ac:dyDescent="0.2">
      <c r="B367" s="3"/>
      <c r="C367" s="3"/>
      <c r="D367" s="3"/>
      <c r="E367" s="3"/>
      <c r="F367" s="89"/>
      <c r="G367" s="3"/>
      <c r="H367" s="89"/>
      <c r="I367" s="90"/>
      <c r="K367" s="31"/>
    </row>
    <row r="368" spans="2:11" s="13" customFormat="1" x14ac:dyDescent="0.2">
      <c r="B368" s="3"/>
      <c r="C368" s="3"/>
      <c r="D368" s="3"/>
      <c r="E368" s="3"/>
      <c r="F368" s="89"/>
      <c r="G368" s="3"/>
      <c r="H368" s="89"/>
      <c r="I368" s="90"/>
      <c r="K368" s="31"/>
    </row>
    <row r="369" spans="2:11" s="13" customFormat="1" x14ac:dyDescent="0.2">
      <c r="B369" s="3"/>
      <c r="C369" s="3"/>
      <c r="D369" s="3"/>
      <c r="E369" s="3"/>
      <c r="F369" s="89"/>
      <c r="G369" s="3"/>
      <c r="H369" s="89"/>
      <c r="I369" s="90"/>
      <c r="K369" s="31"/>
    </row>
    <row r="370" spans="2:11" s="13" customFormat="1" x14ac:dyDescent="0.2">
      <c r="B370" s="3"/>
      <c r="C370" s="3"/>
      <c r="D370" s="3"/>
      <c r="E370" s="3"/>
      <c r="F370" s="89"/>
      <c r="G370" s="3"/>
      <c r="H370" s="89"/>
      <c r="I370" s="90"/>
      <c r="K370" s="31"/>
    </row>
    <row r="371" spans="2:11" s="13" customFormat="1" x14ac:dyDescent="0.2">
      <c r="B371" s="3"/>
      <c r="C371" s="3"/>
      <c r="D371" s="3"/>
      <c r="E371" s="3"/>
      <c r="F371" s="89"/>
      <c r="G371" s="3"/>
      <c r="H371" s="89"/>
      <c r="I371" s="90"/>
      <c r="K371" s="31"/>
    </row>
    <row r="372" spans="2:11" s="13" customFormat="1" x14ac:dyDescent="0.2">
      <c r="B372" s="3"/>
      <c r="C372" s="3"/>
      <c r="D372" s="3"/>
      <c r="E372" s="3"/>
      <c r="F372" s="89"/>
      <c r="G372" s="3"/>
      <c r="H372" s="89"/>
      <c r="I372" s="90"/>
      <c r="K372" s="31"/>
    </row>
    <row r="373" spans="2:11" s="13" customFormat="1" x14ac:dyDescent="0.2">
      <c r="B373" s="3"/>
      <c r="C373" s="3"/>
      <c r="D373" s="3"/>
      <c r="E373" s="3"/>
      <c r="F373" s="89"/>
      <c r="G373" s="3"/>
      <c r="H373" s="89"/>
      <c r="I373" s="90"/>
      <c r="K373" s="31"/>
    </row>
    <row r="374" spans="2:11" s="13" customFormat="1" x14ac:dyDescent="0.2">
      <c r="B374" s="3"/>
      <c r="C374" s="3"/>
      <c r="D374" s="3"/>
      <c r="E374" s="3"/>
      <c r="F374" s="89"/>
      <c r="G374" s="3"/>
      <c r="H374" s="89"/>
      <c r="I374" s="90"/>
      <c r="K374" s="31"/>
    </row>
    <row r="375" spans="2:11" s="13" customFormat="1" x14ac:dyDescent="0.2">
      <c r="B375" s="3"/>
      <c r="C375" s="3"/>
      <c r="D375" s="3"/>
      <c r="E375" s="3"/>
      <c r="F375" s="89"/>
      <c r="G375" s="3"/>
      <c r="H375" s="89"/>
      <c r="I375" s="90"/>
      <c r="K375" s="31"/>
    </row>
    <row r="376" spans="2:11" s="13" customFormat="1" x14ac:dyDescent="0.2">
      <c r="B376" s="3"/>
      <c r="C376" s="3"/>
      <c r="D376" s="3"/>
      <c r="E376" s="3"/>
      <c r="F376" s="89"/>
      <c r="G376" s="3"/>
      <c r="H376" s="89"/>
      <c r="I376" s="90"/>
      <c r="K376" s="31"/>
    </row>
    <row r="377" spans="2:11" s="13" customFormat="1" x14ac:dyDescent="0.2">
      <c r="B377" s="3"/>
      <c r="C377" s="3"/>
      <c r="D377" s="3"/>
      <c r="E377" s="3"/>
      <c r="F377" s="89"/>
      <c r="G377" s="3"/>
      <c r="H377" s="89"/>
      <c r="I377" s="90"/>
      <c r="K377" s="31"/>
    </row>
    <row r="378" spans="2:11" s="13" customFormat="1" x14ac:dyDescent="0.2">
      <c r="B378" s="3"/>
      <c r="C378" s="3"/>
      <c r="D378" s="3"/>
      <c r="E378" s="3"/>
      <c r="F378" s="89"/>
      <c r="G378" s="3"/>
      <c r="H378" s="89"/>
      <c r="I378" s="90"/>
      <c r="K378" s="31"/>
    </row>
    <row r="379" spans="2:11" s="13" customFormat="1" x14ac:dyDescent="0.2">
      <c r="B379" s="3"/>
      <c r="C379" s="3"/>
      <c r="D379" s="3"/>
      <c r="E379" s="3"/>
      <c r="F379" s="89"/>
      <c r="G379" s="3"/>
      <c r="H379" s="89"/>
      <c r="I379" s="90"/>
      <c r="K379" s="31"/>
    </row>
    <row r="380" spans="2:11" s="13" customFormat="1" x14ac:dyDescent="0.2">
      <c r="B380" s="3"/>
      <c r="C380" s="3"/>
      <c r="D380" s="3"/>
      <c r="E380" s="3"/>
      <c r="F380" s="89"/>
      <c r="G380" s="3"/>
      <c r="H380" s="89"/>
      <c r="I380" s="90"/>
      <c r="K380" s="31"/>
    </row>
    <row r="381" spans="2:11" s="13" customFormat="1" x14ac:dyDescent="0.2">
      <c r="B381" s="3"/>
      <c r="C381" s="3"/>
      <c r="D381" s="3"/>
      <c r="E381" s="3"/>
      <c r="F381" s="89"/>
      <c r="G381" s="3"/>
      <c r="H381" s="89"/>
      <c r="I381" s="90"/>
      <c r="K381" s="31"/>
    </row>
    <row r="382" spans="2:11" s="13" customFormat="1" x14ac:dyDescent="0.2">
      <c r="B382" s="3"/>
      <c r="C382" s="3"/>
      <c r="D382" s="3"/>
      <c r="E382" s="3"/>
      <c r="F382" s="89"/>
      <c r="G382" s="3"/>
      <c r="H382" s="89"/>
      <c r="I382" s="90"/>
      <c r="K382" s="31"/>
    </row>
    <row r="383" spans="2:11" s="13" customFormat="1" x14ac:dyDescent="0.2">
      <c r="B383" s="3"/>
      <c r="C383" s="3"/>
      <c r="D383" s="3"/>
      <c r="E383" s="3"/>
      <c r="F383" s="89"/>
      <c r="G383" s="3"/>
      <c r="H383" s="89"/>
      <c r="I383" s="90"/>
      <c r="K383" s="31"/>
    </row>
    <row r="384" spans="2:11" s="13" customFormat="1" x14ac:dyDescent="0.2">
      <c r="B384" s="3"/>
      <c r="C384" s="3"/>
      <c r="D384" s="3"/>
      <c r="E384" s="3"/>
      <c r="F384" s="89"/>
      <c r="G384" s="3"/>
      <c r="H384" s="89"/>
      <c r="I384" s="90"/>
      <c r="K384" s="31"/>
    </row>
    <row r="385" spans="2:11" s="13" customFormat="1" x14ac:dyDescent="0.2">
      <c r="B385" s="3"/>
      <c r="C385" s="3"/>
      <c r="D385" s="3"/>
      <c r="E385" s="3"/>
      <c r="F385" s="89"/>
      <c r="G385" s="3"/>
      <c r="H385" s="89"/>
      <c r="I385" s="90"/>
      <c r="K385" s="31"/>
    </row>
    <row r="386" spans="2:11" s="13" customFormat="1" x14ac:dyDescent="0.2">
      <c r="B386" s="3"/>
      <c r="C386" s="3"/>
      <c r="D386" s="3"/>
      <c r="E386" s="3"/>
      <c r="F386" s="89"/>
      <c r="G386" s="3"/>
      <c r="H386" s="89"/>
      <c r="I386" s="90"/>
      <c r="K386" s="31"/>
    </row>
    <row r="387" spans="2:11" s="13" customFormat="1" x14ac:dyDescent="0.2">
      <c r="B387" s="3"/>
      <c r="C387" s="3"/>
      <c r="D387" s="3"/>
      <c r="E387" s="3"/>
      <c r="F387" s="89"/>
      <c r="G387" s="3"/>
      <c r="H387" s="89"/>
      <c r="I387" s="90"/>
      <c r="K387" s="31"/>
    </row>
    <row r="388" spans="2:11" s="13" customFormat="1" x14ac:dyDescent="0.2">
      <c r="B388" s="3"/>
      <c r="C388" s="3"/>
      <c r="D388" s="3"/>
      <c r="E388" s="3"/>
      <c r="F388" s="89"/>
      <c r="G388" s="3"/>
      <c r="H388" s="89"/>
      <c r="I388" s="90"/>
      <c r="K388" s="31"/>
    </row>
    <row r="389" spans="2:11" s="13" customFormat="1" x14ac:dyDescent="0.2">
      <c r="B389" s="3"/>
      <c r="C389" s="3"/>
      <c r="D389" s="3"/>
      <c r="E389" s="3"/>
      <c r="F389" s="89"/>
      <c r="G389" s="3"/>
      <c r="H389" s="89"/>
      <c r="I389" s="90"/>
      <c r="K389" s="31"/>
    </row>
    <row r="390" spans="2:11" s="13" customFormat="1" x14ac:dyDescent="0.2">
      <c r="B390" s="3"/>
      <c r="C390" s="3"/>
      <c r="D390" s="3"/>
      <c r="E390" s="3"/>
      <c r="F390" s="89"/>
      <c r="G390" s="3"/>
      <c r="H390" s="89"/>
      <c r="I390" s="90"/>
      <c r="K390" s="31"/>
    </row>
    <row r="391" spans="2:11" s="13" customFormat="1" x14ac:dyDescent="0.2">
      <c r="B391" s="3"/>
      <c r="C391" s="3"/>
      <c r="D391" s="3"/>
      <c r="E391" s="3"/>
      <c r="F391" s="89"/>
      <c r="G391" s="3"/>
      <c r="H391" s="89"/>
      <c r="I391" s="90"/>
      <c r="K391" s="31"/>
    </row>
    <row r="392" spans="2:11" s="13" customFormat="1" x14ac:dyDescent="0.2">
      <c r="B392" s="3"/>
      <c r="C392" s="3"/>
      <c r="D392" s="3"/>
      <c r="E392" s="3"/>
      <c r="F392" s="89"/>
      <c r="G392" s="3"/>
      <c r="H392" s="89"/>
      <c r="I392" s="90"/>
      <c r="K392" s="31"/>
    </row>
    <row r="393" spans="2:11" s="13" customFormat="1" x14ac:dyDescent="0.2">
      <c r="B393" s="3"/>
      <c r="C393" s="3"/>
      <c r="D393" s="3"/>
      <c r="E393" s="3"/>
      <c r="F393" s="89"/>
      <c r="G393" s="3"/>
      <c r="H393" s="89"/>
      <c r="I393" s="90"/>
      <c r="K393" s="31"/>
    </row>
    <row r="394" spans="2:11" s="13" customFormat="1" x14ac:dyDescent="0.2">
      <c r="B394" s="3"/>
      <c r="C394" s="3"/>
      <c r="D394" s="3"/>
      <c r="E394" s="3"/>
      <c r="F394" s="89"/>
      <c r="G394" s="3"/>
      <c r="H394" s="89"/>
      <c r="I394" s="90"/>
      <c r="K394" s="31"/>
    </row>
    <row r="395" spans="2:11" s="13" customFormat="1" x14ac:dyDescent="0.2">
      <c r="B395" s="3"/>
      <c r="C395" s="3"/>
      <c r="D395" s="3"/>
      <c r="E395" s="3"/>
      <c r="F395" s="89"/>
      <c r="G395" s="3"/>
      <c r="H395" s="89"/>
      <c r="I395" s="90"/>
      <c r="K395" s="31"/>
    </row>
    <row r="396" spans="2:11" s="13" customFormat="1" x14ac:dyDescent="0.2">
      <c r="B396" s="3"/>
      <c r="C396" s="3"/>
      <c r="D396" s="3"/>
      <c r="E396" s="3"/>
      <c r="F396" s="89"/>
      <c r="G396" s="3"/>
      <c r="H396" s="89"/>
      <c r="I396" s="90"/>
      <c r="K396" s="31"/>
    </row>
    <row r="397" spans="2:11" s="13" customFormat="1" x14ac:dyDescent="0.2">
      <c r="B397" s="3"/>
      <c r="C397" s="3"/>
      <c r="D397" s="3"/>
      <c r="E397" s="3"/>
      <c r="F397" s="89"/>
      <c r="G397" s="3"/>
      <c r="H397" s="89"/>
      <c r="I397" s="90"/>
      <c r="K397" s="31"/>
    </row>
    <row r="398" spans="2:11" s="13" customFormat="1" x14ac:dyDescent="0.2">
      <c r="B398" s="3"/>
      <c r="C398" s="3"/>
      <c r="D398" s="3"/>
      <c r="E398" s="3"/>
      <c r="F398" s="89"/>
      <c r="G398" s="3"/>
      <c r="H398" s="89"/>
      <c r="I398" s="90"/>
      <c r="K398" s="31"/>
    </row>
    <row r="399" spans="2:11" s="13" customFormat="1" x14ac:dyDescent="0.2">
      <c r="B399" s="3"/>
      <c r="C399" s="3"/>
      <c r="D399" s="3"/>
      <c r="E399" s="3"/>
      <c r="F399" s="89"/>
      <c r="G399" s="3"/>
      <c r="H399" s="89"/>
      <c r="I399" s="90"/>
      <c r="K399" s="31"/>
    </row>
    <row r="400" spans="2:11" s="13" customFormat="1" x14ac:dyDescent="0.2">
      <c r="B400" s="3"/>
      <c r="C400" s="3"/>
      <c r="D400" s="3"/>
      <c r="E400" s="3"/>
      <c r="F400" s="89"/>
      <c r="G400" s="3"/>
      <c r="H400" s="89"/>
      <c r="I400" s="90"/>
      <c r="K400" s="31"/>
    </row>
    <row r="401" spans="2:11" s="13" customFormat="1" x14ac:dyDescent="0.2">
      <c r="B401" s="3"/>
      <c r="C401" s="3"/>
      <c r="D401" s="3"/>
      <c r="E401" s="3"/>
      <c r="F401" s="89"/>
      <c r="G401" s="3"/>
      <c r="H401" s="89"/>
      <c r="I401" s="90"/>
      <c r="K401" s="31"/>
    </row>
    <row r="402" spans="2:11" s="13" customFormat="1" x14ac:dyDescent="0.2">
      <c r="B402" s="3"/>
      <c r="C402" s="3"/>
      <c r="D402" s="3"/>
      <c r="E402" s="3"/>
      <c r="F402" s="89"/>
      <c r="G402" s="3"/>
      <c r="H402" s="89"/>
      <c r="I402" s="90"/>
      <c r="K402" s="31"/>
    </row>
    <row r="403" spans="2:11" s="13" customFormat="1" x14ac:dyDescent="0.2">
      <c r="B403" s="3"/>
      <c r="C403" s="3"/>
      <c r="D403" s="3"/>
      <c r="E403" s="3"/>
      <c r="F403" s="89"/>
      <c r="G403" s="3"/>
      <c r="H403" s="89"/>
      <c r="I403" s="90"/>
      <c r="K403" s="31"/>
    </row>
    <row r="404" spans="2:11" s="13" customFormat="1" x14ac:dyDescent="0.2">
      <c r="B404" s="3"/>
      <c r="C404" s="3"/>
      <c r="D404" s="3"/>
      <c r="E404" s="3"/>
      <c r="F404" s="89"/>
      <c r="G404" s="3"/>
      <c r="H404" s="89"/>
      <c r="I404" s="90"/>
      <c r="K404" s="31"/>
    </row>
    <row r="405" spans="2:11" s="13" customFormat="1" x14ac:dyDescent="0.2">
      <c r="B405" s="3"/>
      <c r="C405" s="3"/>
      <c r="D405" s="3"/>
      <c r="E405" s="3"/>
      <c r="F405" s="89"/>
      <c r="G405" s="3"/>
      <c r="H405" s="89"/>
      <c r="I405" s="90"/>
      <c r="K405" s="31"/>
    </row>
    <row r="406" spans="2:11" s="13" customFormat="1" x14ac:dyDescent="0.2">
      <c r="B406" s="3"/>
      <c r="C406" s="3"/>
      <c r="D406" s="3"/>
      <c r="E406" s="3"/>
      <c r="F406" s="89"/>
      <c r="G406" s="3"/>
      <c r="H406" s="89"/>
      <c r="I406" s="90"/>
      <c r="K406" s="31"/>
    </row>
    <row r="407" spans="2:11" s="13" customFormat="1" x14ac:dyDescent="0.2">
      <c r="B407" s="3"/>
      <c r="C407" s="3"/>
      <c r="D407" s="3"/>
      <c r="E407" s="3"/>
      <c r="F407" s="89"/>
      <c r="G407" s="3"/>
      <c r="H407" s="89"/>
      <c r="I407" s="90"/>
      <c r="K407" s="31"/>
    </row>
    <row r="408" spans="2:11" s="13" customFormat="1" x14ac:dyDescent="0.2">
      <c r="B408" s="3"/>
      <c r="C408" s="3"/>
      <c r="D408" s="3"/>
      <c r="E408" s="3"/>
      <c r="F408" s="89"/>
      <c r="G408" s="3"/>
      <c r="H408" s="89"/>
      <c r="I408" s="90"/>
      <c r="K408" s="31"/>
    </row>
    <row r="409" spans="2:11" s="13" customFormat="1" x14ac:dyDescent="0.2">
      <c r="B409" s="3"/>
      <c r="C409" s="3"/>
      <c r="D409" s="3"/>
      <c r="E409" s="3"/>
      <c r="F409" s="89"/>
      <c r="G409" s="3"/>
      <c r="H409" s="89"/>
      <c r="I409" s="90"/>
      <c r="K409" s="31"/>
    </row>
    <row r="410" spans="2:11" s="13" customFormat="1" x14ac:dyDescent="0.2">
      <c r="B410" s="3"/>
      <c r="C410" s="3"/>
      <c r="D410" s="3"/>
      <c r="E410" s="3"/>
      <c r="F410" s="89"/>
      <c r="G410" s="3"/>
      <c r="H410" s="89"/>
      <c r="I410" s="90"/>
      <c r="K410" s="31"/>
    </row>
    <row r="411" spans="2:11" s="13" customFormat="1" x14ac:dyDescent="0.2">
      <c r="B411" s="3"/>
      <c r="C411" s="3"/>
      <c r="D411" s="3"/>
      <c r="E411" s="3"/>
      <c r="F411" s="89"/>
      <c r="G411" s="3"/>
      <c r="H411" s="89"/>
      <c r="I411" s="90"/>
      <c r="K411" s="31"/>
    </row>
    <row r="412" spans="2:11" s="13" customFormat="1" x14ac:dyDescent="0.2">
      <c r="B412" s="3"/>
      <c r="C412" s="3"/>
      <c r="D412" s="3"/>
      <c r="E412" s="3"/>
      <c r="F412" s="89"/>
      <c r="G412" s="3"/>
      <c r="H412" s="89"/>
      <c r="I412" s="90"/>
      <c r="K412" s="31"/>
    </row>
    <row r="413" spans="2:11" s="13" customFormat="1" x14ac:dyDescent="0.2">
      <c r="B413" s="3"/>
      <c r="C413" s="3"/>
      <c r="D413" s="3"/>
      <c r="E413" s="3"/>
      <c r="F413" s="89"/>
      <c r="G413" s="3"/>
      <c r="H413" s="89"/>
      <c r="I413" s="90"/>
      <c r="K413" s="31"/>
    </row>
    <row r="414" spans="2:11" s="13" customFormat="1" x14ac:dyDescent="0.2">
      <c r="B414" s="3"/>
      <c r="C414" s="3"/>
      <c r="D414" s="3"/>
      <c r="E414" s="3"/>
      <c r="F414" s="89"/>
      <c r="G414" s="3"/>
      <c r="H414" s="89"/>
      <c r="I414" s="90"/>
      <c r="K414" s="31"/>
    </row>
    <row r="415" spans="2:11" s="13" customFormat="1" x14ac:dyDescent="0.2">
      <c r="B415" s="3"/>
      <c r="C415" s="3"/>
      <c r="D415" s="3"/>
      <c r="E415" s="3"/>
      <c r="F415" s="89"/>
      <c r="G415" s="3"/>
      <c r="H415" s="89"/>
      <c r="I415" s="90"/>
      <c r="K415" s="31"/>
    </row>
    <row r="416" spans="2:11" s="13" customFormat="1" x14ac:dyDescent="0.2">
      <c r="B416" s="3"/>
      <c r="C416" s="3"/>
      <c r="D416" s="3"/>
      <c r="E416" s="3"/>
      <c r="F416" s="89"/>
      <c r="G416" s="3"/>
      <c r="H416" s="89"/>
      <c r="I416" s="90"/>
      <c r="K416" s="31"/>
    </row>
    <row r="417" spans="2:11" s="13" customFormat="1" x14ac:dyDescent="0.2">
      <c r="B417" s="3"/>
      <c r="C417" s="3"/>
      <c r="D417" s="3"/>
      <c r="E417" s="3"/>
      <c r="F417" s="89"/>
      <c r="G417" s="3"/>
      <c r="H417" s="89"/>
      <c r="I417" s="90"/>
      <c r="K417" s="31"/>
    </row>
    <row r="418" spans="2:11" s="13" customFormat="1" x14ac:dyDescent="0.2">
      <c r="B418" s="3"/>
      <c r="C418" s="3"/>
      <c r="D418" s="3"/>
      <c r="E418" s="3"/>
      <c r="F418" s="89"/>
      <c r="G418" s="3"/>
      <c r="H418" s="89"/>
      <c r="I418" s="90"/>
      <c r="K418" s="31"/>
    </row>
    <row r="419" spans="2:11" s="13" customFormat="1" x14ac:dyDescent="0.2">
      <c r="B419" s="3"/>
      <c r="C419" s="3"/>
      <c r="D419" s="3"/>
      <c r="E419" s="3"/>
      <c r="F419" s="89"/>
      <c r="G419" s="3"/>
      <c r="H419" s="89"/>
      <c r="I419" s="90"/>
      <c r="K419" s="31"/>
    </row>
    <row r="420" spans="2:11" s="13" customFormat="1" x14ac:dyDescent="0.2">
      <c r="B420" s="3"/>
      <c r="C420" s="3"/>
      <c r="D420" s="3"/>
      <c r="E420" s="3"/>
      <c r="F420" s="89"/>
      <c r="G420" s="3"/>
      <c r="H420" s="89"/>
      <c r="I420" s="90"/>
      <c r="K420" s="31"/>
    </row>
    <row r="421" spans="2:11" s="13" customFormat="1" x14ac:dyDescent="0.2">
      <c r="B421" s="3"/>
      <c r="C421" s="3"/>
      <c r="D421" s="3"/>
      <c r="E421" s="3"/>
      <c r="F421" s="89"/>
      <c r="G421" s="3"/>
      <c r="H421" s="89"/>
      <c r="I421" s="90"/>
      <c r="K421" s="31"/>
    </row>
    <row r="422" spans="2:11" s="13" customFormat="1" x14ac:dyDescent="0.2">
      <c r="B422" s="3"/>
      <c r="C422" s="3"/>
      <c r="D422" s="3"/>
      <c r="E422" s="3"/>
      <c r="F422" s="89"/>
      <c r="G422" s="3"/>
      <c r="H422" s="89"/>
      <c r="I422" s="90"/>
      <c r="K422" s="31"/>
    </row>
    <row r="423" spans="2:11" s="13" customFormat="1" x14ac:dyDescent="0.2">
      <c r="B423" s="3"/>
      <c r="C423" s="3"/>
      <c r="D423" s="3"/>
      <c r="E423" s="3"/>
      <c r="F423" s="89"/>
      <c r="G423" s="3"/>
      <c r="H423" s="89"/>
      <c r="I423" s="90"/>
      <c r="K423" s="31"/>
    </row>
    <row r="424" spans="2:11" s="13" customFormat="1" x14ac:dyDescent="0.2">
      <c r="B424" s="3"/>
      <c r="C424" s="3"/>
      <c r="D424" s="3"/>
      <c r="E424" s="3"/>
      <c r="F424" s="89"/>
      <c r="G424" s="3"/>
      <c r="H424" s="89"/>
      <c r="I424" s="90"/>
      <c r="K424" s="31"/>
    </row>
    <row r="425" spans="2:11" s="13" customFormat="1" x14ac:dyDescent="0.2">
      <c r="B425" s="3"/>
      <c r="C425" s="3"/>
      <c r="D425" s="3"/>
      <c r="E425" s="3"/>
      <c r="F425" s="89"/>
      <c r="G425" s="3"/>
      <c r="H425" s="89"/>
      <c r="I425" s="90"/>
      <c r="K425" s="31"/>
    </row>
    <row r="426" spans="2:11" s="13" customFormat="1" x14ac:dyDescent="0.2">
      <c r="B426" s="3"/>
      <c r="C426" s="3"/>
      <c r="D426" s="3"/>
      <c r="E426" s="3"/>
      <c r="F426" s="89"/>
      <c r="G426" s="3"/>
      <c r="H426" s="89"/>
      <c r="I426" s="90"/>
      <c r="K426" s="31"/>
    </row>
    <row r="427" spans="2:11" s="13" customFormat="1" x14ac:dyDescent="0.2">
      <c r="B427" s="3"/>
      <c r="C427" s="3"/>
      <c r="D427" s="3"/>
      <c r="E427" s="3"/>
      <c r="F427" s="89"/>
      <c r="G427" s="3"/>
      <c r="H427" s="89"/>
      <c r="I427" s="90"/>
      <c r="K427" s="31"/>
    </row>
    <row r="428" spans="2:11" s="13" customFormat="1" x14ac:dyDescent="0.2">
      <c r="B428" s="3"/>
      <c r="C428" s="3"/>
      <c r="D428" s="3"/>
      <c r="E428" s="3"/>
      <c r="F428" s="89"/>
      <c r="G428" s="3"/>
      <c r="H428" s="89"/>
      <c r="I428" s="90"/>
      <c r="K428" s="31"/>
    </row>
    <row r="429" spans="2:11" s="13" customFormat="1" x14ac:dyDescent="0.2">
      <c r="B429" s="3"/>
      <c r="C429" s="3"/>
      <c r="D429" s="3"/>
      <c r="E429" s="3"/>
      <c r="F429" s="89"/>
      <c r="G429" s="3"/>
      <c r="H429" s="89"/>
      <c r="I429" s="90"/>
      <c r="K429" s="31"/>
    </row>
    <row r="430" spans="2:11" s="13" customFormat="1" x14ac:dyDescent="0.2">
      <c r="B430" s="3"/>
      <c r="C430" s="3"/>
      <c r="D430" s="3"/>
      <c r="E430" s="3"/>
      <c r="F430" s="89"/>
      <c r="G430" s="3"/>
      <c r="H430" s="89"/>
      <c r="I430" s="90"/>
      <c r="K430" s="31"/>
    </row>
    <row r="431" spans="2:11" s="13" customFormat="1" x14ac:dyDescent="0.2">
      <c r="B431" s="3"/>
      <c r="C431" s="3"/>
      <c r="D431" s="3"/>
      <c r="E431" s="3"/>
      <c r="F431" s="89"/>
      <c r="G431" s="3"/>
      <c r="H431" s="89"/>
      <c r="I431" s="90"/>
      <c r="K431" s="31"/>
    </row>
    <row r="432" spans="2:11" s="13" customFormat="1" x14ac:dyDescent="0.2">
      <c r="B432" s="3"/>
      <c r="C432" s="3"/>
      <c r="D432" s="3"/>
      <c r="E432" s="3"/>
      <c r="F432" s="89"/>
      <c r="G432" s="3"/>
      <c r="H432" s="89"/>
      <c r="I432" s="90"/>
      <c r="K432" s="31"/>
    </row>
    <row r="433" spans="2:11" s="13" customFormat="1" x14ac:dyDescent="0.2">
      <c r="B433" s="3"/>
      <c r="C433" s="3"/>
      <c r="D433" s="3"/>
      <c r="E433" s="3"/>
      <c r="F433" s="89"/>
      <c r="G433" s="3"/>
      <c r="H433" s="89"/>
      <c r="I433" s="90"/>
      <c r="K433" s="31"/>
    </row>
    <row r="434" spans="2:11" s="13" customFormat="1" x14ac:dyDescent="0.2">
      <c r="B434" s="3"/>
      <c r="C434" s="3"/>
      <c r="D434" s="3"/>
      <c r="E434" s="3"/>
      <c r="F434" s="89"/>
      <c r="G434" s="3"/>
      <c r="H434" s="89"/>
      <c r="I434" s="90"/>
      <c r="K434" s="31"/>
    </row>
    <row r="435" spans="2:11" s="13" customFormat="1" x14ac:dyDescent="0.2">
      <c r="B435" s="3"/>
      <c r="C435" s="3"/>
      <c r="D435" s="3"/>
      <c r="E435" s="3"/>
      <c r="F435" s="89"/>
      <c r="G435" s="3"/>
      <c r="H435" s="89"/>
      <c r="I435" s="90"/>
      <c r="K435" s="31"/>
    </row>
    <row r="436" spans="2:11" s="13" customFormat="1" x14ac:dyDescent="0.2">
      <c r="B436" s="3"/>
      <c r="C436" s="3"/>
      <c r="D436" s="3"/>
      <c r="E436" s="3"/>
      <c r="F436" s="89"/>
      <c r="G436" s="3"/>
      <c r="H436" s="89"/>
      <c r="I436" s="90"/>
      <c r="K436" s="31"/>
    </row>
    <row r="437" spans="2:11" s="13" customFormat="1" x14ac:dyDescent="0.2">
      <c r="B437" s="3"/>
      <c r="C437" s="3"/>
      <c r="D437" s="3"/>
      <c r="E437" s="3"/>
      <c r="F437" s="89"/>
      <c r="G437" s="3"/>
      <c r="H437" s="89"/>
      <c r="I437" s="90"/>
      <c r="K437" s="31"/>
    </row>
    <row r="438" spans="2:11" s="13" customFormat="1" x14ac:dyDescent="0.2">
      <c r="B438" s="3"/>
      <c r="C438" s="3"/>
      <c r="D438" s="3"/>
      <c r="E438" s="3"/>
      <c r="F438" s="89"/>
      <c r="G438" s="3"/>
      <c r="H438" s="89"/>
      <c r="I438" s="90"/>
      <c r="K438" s="31"/>
    </row>
    <row r="439" spans="2:11" s="13" customFormat="1" x14ac:dyDescent="0.2">
      <c r="B439" s="3"/>
      <c r="C439" s="3"/>
      <c r="D439" s="3"/>
      <c r="E439" s="3"/>
      <c r="F439" s="89"/>
      <c r="G439" s="3"/>
      <c r="H439" s="89"/>
      <c r="I439" s="90"/>
      <c r="K439" s="31"/>
    </row>
    <row r="440" spans="2:11" s="13" customFormat="1" x14ac:dyDescent="0.2">
      <c r="B440" s="3"/>
      <c r="C440" s="3"/>
      <c r="D440" s="3"/>
      <c r="E440" s="3"/>
      <c r="F440" s="89"/>
      <c r="G440" s="3"/>
      <c r="H440" s="89"/>
      <c r="I440" s="90"/>
      <c r="K440" s="31"/>
    </row>
    <row r="441" spans="2:11" s="13" customFormat="1" x14ac:dyDescent="0.2">
      <c r="B441" s="3"/>
      <c r="C441" s="3"/>
      <c r="D441" s="3"/>
      <c r="E441" s="3"/>
      <c r="F441" s="89"/>
      <c r="G441" s="3"/>
      <c r="H441" s="89"/>
      <c r="I441" s="90"/>
      <c r="K441" s="31"/>
    </row>
    <row r="442" spans="2:11" s="13" customFormat="1" x14ac:dyDescent="0.2">
      <c r="B442" s="3"/>
      <c r="C442" s="3"/>
      <c r="D442" s="3"/>
      <c r="E442" s="3"/>
      <c r="F442" s="89"/>
      <c r="G442" s="3"/>
      <c r="H442" s="89"/>
      <c r="I442" s="90"/>
      <c r="K442" s="31"/>
    </row>
    <row r="443" spans="2:11" s="13" customFormat="1" x14ac:dyDescent="0.2">
      <c r="B443" s="3"/>
      <c r="C443" s="3"/>
      <c r="D443" s="3"/>
      <c r="E443" s="3"/>
      <c r="F443" s="89"/>
      <c r="G443" s="3"/>
      <c r="H443" s="89"/>
      <c r="I443" s="90"/>
      <c r="K443" s="31"/>
    </row>
    <row r="444" spans="2:11" s="13" customFormat="1" x14ac:dyDescent="0.2">
      <c r="B444" s="3"/>
      <c r="C444" s="3"/>
      <c r="D444" s="3"/>
      <c r="E444" s="3"/>
      <c r="F444" s="89"/>
      <c r="G444" s="3"/>
      <c r="H444" s="89"/>
      <c r="I444" s="90"/>
      <c r="K444" s="31"/>
    </row>
    <row r="445" spans="2:11" s="13" customFormat="1" x14ac:dyDescent="0.2">
      <c r="B445" s="3"/>
      <c r="C445" s="3"/>
      <c r="D445" s="3"/>
      <c r="E445" s="3"/>
      <c r="F445" s="89"/>
      <c r="G445" s="3"/>
      <c r="H445" s="89"/>
      <c r="I445" s="90"/>
      <c r="K445" s="31"/>
    </row>
    <row r="446" spans="2:11" s="13" customFormat="1" x14ac:dyDescent="0.2">
      <c r="B446" s="3"/>
      <c r="C446" s="3"/>
      <c r="D446" s="3"/>
      <c r="E446" s="3"/>
      <c r="F446" s="89"/>
      <c r="G446" s="3"/>
      <c r="H446" s="89"/>
      <c r="I446" s="90"/>
      <c r="K446" s="31"/>
    </row>
    <row r="447" spans="2:11" s="13" customFormat="1" x14ac:dyDescent="0.2">
      <c r="B447" s="3"/>
      <c r="C447" s="3"/>
      <c r="D447" s="3"/>
      <c r="E447" s="3"/>
      <c r="F447" s="89"/>
      <c r="G447" s="3"/>
      <c r="H447" s="89"/>
      <c r="I447" s="90"/>
      <c r="K447" s="31"/>
    </row>
    <row r="448" spans="2:11" s="13" customFormat="1" x14ac:dyDescent="0.2">
      <c r="B448" s="3"/>
      <c r="C448" s="3"/>
      <c r="D448" s="3"/>
      <c r="E448" s="3"/>
      <c r="F448" s="89"/>
      <c r="G448" s="3"/>
      <c r="H448" s="89"/>
      <c r="I448" s="90"/>
      <c r="K448" s="31"/>
    </row>
    <row r="449" spans="2:11" s="13" customFormat="1" x14ac:dyDescent="0.2">
      <c r="B449" s="3"/>
      <c r="C449" s="3"/>
      <c r="D449" s="3"/>
      <c r="E449" s="3"/>
      <c r="F449" s="89"/>
      <c r="G449" s="3"/>
      <c r="H449" s="89"/>
      <c r="I449" s="90"/>
      <c r="K449" s="31"/>
    </row>
    <row r="450" spans="2:11" s="13" customFormat="1" x14ac:dyDescent="0.2">
      <c r="B450" s="3"/>
      <c r="C450" s="3"/>
      <c r="D450" s="3"/>
      <c r="E450" s="3"/>
      <c r="F450" s="89"/>
      <c r="G450" s="3"/>
      <c r="H450" s="89"/>
      <c r="I450" s="90"/>
      <c r="K450" s="31"/>
    </row>
    <row r="451" spans="2:11" s="13" customFormat="1" x14ac:dyDescent="0.2">
      <c r="B451" s="3"/>
      <c r="C451" s="3"/>
      <c r="D451" s="3"/>
      <c r="E451" s="3"/>
      <c r="F451" s="89"/>
      <c r="G451" s="3"/>
      <c r="H451" s="89"/>
      <c r="I451" s="90"/>
      <c r="K451" s="31"/>
    </row>
    <row r="452" spans="2:11" s="13" customFormat="1" x14ac:dyDescent="0.2">
      <c r="B452" s="3"/>
      <c r="C452" s="3"/>
      <c r="D452" s="3"/>
      <c r="E452" s="3"/>
      <c r="F452" s="89"/>
      <c r="G452" s="3"/>
      <c r="H452" s="89"/>
      <c r="I452" s="90"/>
      <c r="K452" s="31"/>
    </row>
    <row r="453" spans="2:11" s="13" customFormat="1" x14ac:dyDescent="0.2">
      <c r="B453" s="3"/>
      <c r="C453" s="3"/>
      <c r="D453" s="3"/>
      <c r="E453" s="3"/>
      <c r="F453" s="89"/>
      <c r="G453" s="3"/>
      <c r="H453" s="89"/>
      <c r="I453" s="90"/>
      <c r="K453" s="31"/>
    </row>
    <row r="454" spans="2:11" s="13" customFormat="1" x14ac:dyDescent="0.2">
      <c r="B454" s="3"/>
      <c r="C454" s="3"/>
      <c r="D454" s="3"/>
      <c r="E454" s="3"/>
      <c r="F454" s="89"/>
      <c r="G454" s="3"/>
      <c r="H454" s="89"/>
      <c r="I454" s="90"/>
      <c r="K454" s="31"/>
    </row>
    <row r="455" spans="2:11" s="13" customFormat="1" x14ac:dyDescent="0.2">
      <c r="B455" s="3"/>
      <c r="C455" s="3"/>
      <c r="D455" s="3"/>
      <c r="E455" s="3"/>
      <c r="F455" s="89"/>
      <c r="G455" s="3"/>
      <c r="H455" s="89"/>
      <c r="I455" s="90"/>
      <c r="K455" s="31"/>
    </row>
    <row r="456" spans="2:11" s="13" customFormat="1" x14ac:dyDescent="0.2">
      <c r="B456" s="3"/>
      <c r="C456" s="3"/>
      <c r="D456" s="3"/>
      <c r="E456" s="3"/>
      <c r="F456" s="89"/>
      <c r="G456" s="3"/>
      <c r="H456" s="89"/>
      <c r="I456" s="90"/>
      <c r="K456" s="31"/>
    </row>
    <row r="457" spans="2:11" s="13" customFormat="1" x14ac:dyDescent="0.2">
      <c r="B457" s="3"/>
      <c r="C457" s="3"/>
      <c r="D457" s="3"/>
      <c r="E457" s="3"/>
      <c r="F457" s="89"/>
      <c r="G457" s="3"/>
      <c r="H457" s="89"/>
      <c r="I457" s="90"/>
      <c r="K457" s="31"/>
    </row>
    <row r="458" spans="2:11" s="13" customFormat="1" x14ac:dyDescent="0.2">
      <c r="B458" s="3"/>
      <c r="C458" s="3"/>
      <c r="D458" s="3"/>
      <c r="E458" s="3"/>
      <c r="F458" s="89"/>
      <c r="G458" s="3"/>
      <c r="H458" s="89"/>
      <c r="I458" s="90"/>
      <c r="K458" s="31"/>
    </row>
    <row r="459" spans="2:11" s="13" customFormat="1" x14ac:dyDescent="0.2">
      <c r="B459" s="3"/>
      <c r="C459" s="3"/>
      <c r="D459" s="3"/>
      <c r="E459" s="3"/>
      <c r="F459" s="89"/>
      <c r="G459" s="3"/>
      <c r="H459" s="89"/>
      <c r="I459" s="90"/>
      <c r="K459" s="31"/>
    </row>
    <row r="460" spans="2:11" s="13" customFormat="1" x14ac:dyDescent="0.2">
      <c r="B460" s="3"/>
      <c r="C460" s="3"/>
      <c r="D460" s="3"/>
      <c r="E460" s="3"/>
      <c r="F460" s="89"/>
      <c r="G460" s="3"/>
      <c r="H460" s="89"/>
      <c r="I460" s="90"/>
      <c r="K460" s="31"/>
    </row>
    <row r="461" spans="2:11" s="13" customFormat="1" x14ac:dyDescent="0.2">
      <c r="B461" s="3"/>
      <c r="C461" s="3"/>
      <c r="D461" s="3"/>
      <c r="E461" s="3"/>
      <c r="F461" s="89"/>
      <c r="G461" s="3"/>
      <c r="H461" s="89"/>
      <c r="I461" s="90"/>
      <c r="K461" s="31"/>
    </row>
    <row r="462" spans="2:11" s="13" customFormat="1" x14ac:dyDescent="0.2">
      <c r="B462" s="3"/>
      <c r="C462" s="3"/>
      <c r="D462" s="3"/>
      <c r="E462" s="3"/>
      <c r="F462" s="89"/>
      <c r="G462" s="3"/>
      <c r="H462" s="89"/>
      <c r="I462" s="90"/>
      <c r="K462" s="31"/>
    </row>
    <row r="463" spans="2:11" s="13" customFormat="1" x14ac:dyDescent="0.2">
      <c r="B463" s="3"/>
      <c r="C463" s="3"/>
      <c r="D463" s="3"/>
      <c r="E463" s="3"/>
      <c r="F463" s="89"/>
      <c r="G463" s="3"/>
      <c r="H463" s="89"/>
      <c r="I463" s="90"/>
      <c r="K463" s="31"/>
    </row>
    <row r="464" spans="2:11" s="13" customFormat="1" x14ac:dyDescent="0.2">
      <c r="B464" s="3"/>
      <c r="C464" s="3"/>
      <c r="D464" s="3"/>
      <c r="E464" s="3"/>
      <c r="F464" s="89"/>
      <c r="G464" s="3"/>
      <c r="H464" s="89"/>
      <c r="I464" s="90"/>
      <c r="K464" s="31"/>
    </row>
    <row r="465" spans="2:11" s="13" customFormat="1" x14ac:dyDescent="0.2">
      <c r="B465" s="3"/>
      <c r="C465" s="3"/>
      <c r="D465" s="3"/>
      <c r="E465" s="3"/>
      <c r="F465" s="89"/>
      <c r="G465" s="3"/>
      <c r="H465" s="89"/>
      <c r="I465" s="90"/>
      <c r="K465" s="31"/>
    </row>
    <row r="466" spans="2:11" s="13" customFormat="1" x14ac:dyDescent="0.2">
      <c r="B466" s="3"/>
      <c r="C466" s="3"/>
      <c r="D466" s="3"/>
      <c r="E466" s="3"/>
      <c r="F466" s="89"/>
      <c r="G466" s="3"/>
      <c r="H466" s="89"/>
      <c r="I466" s="90"/>
      <c r="K466" s="31"/>
    </row>
    <row r="467" spans="2:11" s="13" customFormat="1" x14ac:dyDescent="0.2">
      <c r="B467" s="3"/>
      <c r="C467" s="3"/>
      <c r="D467" s="3"/>
      <c r="E467" s="3"/>
      <c r="F467" s="89"/>
      <c r="G467" s="3"/>
      <c r="H467" s="89"/>
      <c r="I467" s="90"/>
      <c r="K467" s="31"/>
    </row>
    <row r="468" spans="2:11" s="13" customFormat="1" x14ac:dyDescent="0.2">
      <c r="B468" s="3"/>
      <c r="C468" s="3"/>
      <c r="D468" s="3"/>
      <c r="E468" s="3"/>
      <c r="F468" s="89"/>
      <c r="G468" s="3"/>
      <c r="H468" s="89"/>
      <c r="I468" s="90"/>
      <c r="K468" s="31"/>
    </row>
    <row r="469" spans="2:11" s="13" customFormat="1" x14ac:dyDescent="0.2">
      <c r="B469" s="3"/>
      <c r="C469" s="3"/>
      <c r="D469" s="3"/>
      <c r="E469" s="3"/>
      <c r="F469" s="89"/>
      <c r="G469" s="3"/>
      <c r="H469" s="89"/>
      <c r="I469" s="90"/>
      <c r="K469" s="31"/>
    </row>
    <row r="470" spans="2:11" s="13" customFormat="1" x14ac:dyDescent="0.2">
      <c r="B470" s="3"/>
      <c r="C470" s="3"/>
      <c r="D470" s="3"/>
      <c r="E470" s="3"/>
      <c r="F470" s="89"/>
      <c r="G470" s="3"/>
      <c r="H470" s="89"/>
      <c r="I470" s="90"/>
      <c r="K470" s="31"/>
    </row>
    <row r="471" spans="2:11" s="13" customFormat="1" x14ac:dyDescent="0.2">
      <c r="B471" s="3"/>
      <c r="C471" s="3"/>
      <c r="D471" s="3"/>
      <c r="E471" s="3"/>
      <c r="F471" s="89"/>
      <c r="G471" s="3"/>
      <c r="H471" s="89"/>
      <c r="I471" s="90"/>
      <c r="K471" s="31"/>
    </row>
    <row r="472" spans="2:11" s="13" customFormat="1" x14ac:dyDescent="0.2">
      <c r="B472" s="3"/>
      <c r="C472" s="3"/>
      <c r="D472" s="3"/>
      <c r="E472" s="3"/>
      <c r="F472" s="89"/>
      <c r="G472" s="3"/>
      <c r="H472" s="89"/>
      <c r="I472" s="90"/>
      <c r="K472" s="31"/>
    </row>
    <row r="473" spans="2:11" s="13" customFormat="1" x14ac:dyDescent="0.2">
      <c r="B473" s="3"/>
      <c r="C473" s="3"/>
      <c r="D473" s="3"/>
      <c r="E473" s="3"/>
      <c r="F473" s="89"/>
      <c r="G473" s="3"/>
      <c r="H473" s="89"/>
      <c r="I473" s="90"/>
      <c r="K473" s="31"/>
    </row>
    <row r="474" spans="2:11" s="13" customFormat="1" x14ac:dyDescent="0.2">
      <c r="B474" s="3"/>
      <c r="C474" s="3"/>
      <c r="D474" s="3"/>
      <c r="E474" s="3"/>
      <c r="F474" s="89"/>
      <c r="G474" s="3"/>
      <c r="H474" s="89"/>
      <c r="I474" s="90"/>
      <c r="K474" s="31"/>
    </row>
    <row r="475" spans="2:11" s="13" customFormat="1" x14ac:dyDescent="0.2">
      <c r="B475" s="3"/>
      <c r="C475" s="3"/>
      <c r="D475" s="3"/>
      <c r="E475" s="3"/>
      <c r="F475" s="89"/>
      <c r="G475" s="3"/>
      <c r="H475" s="89"/>
      <c r="I475" s="90"/>
      <c r="K475" s="31"/>
    </row>
    <row r="476" spans="2:11" s="13" customFormat="1" x14ac:dyDescent="0.2">
      <c r="B476" s="3"/>
      <c r="C476" s="3"/>
      <c r="D476" s="3"/>
      <c r="E476" s="3"/>
      <c r="F476" s="89"/>
      <c r="G476" s="3"/>
      <c r="H476" s="89"/>
      <c r="I476" s="90"/>
      <c r="K476" s="31"/>
    </row>
    <row r="477" spans="2:11" s="13" customFormat="1" x14ac:dyDescent="0.2">
      <c r="B477" s="3"/>
      <c r="C477" s="3"/>
      <c r="D477" s="3"/>
      <c r="E477" s="3"/>
      <c r="F477" s="89"/>
      <c r="G477" s="3"/>
      <c r="H477" s="89"/>
      <c r="I477" s="90"/>
      <c r="K477" s="31"/>
    </row>
    <row r="478" spans="2:11" s="13" customFormat="1" x14ac:dyDescent="0.2">
      <c r="B478" s="3"/>
      <c r="C478" s="3"/>
      <c r="D478" s="3"/>
      <c r="E478" s="3"/>
      <c r="F478" s="89"/>
      <c r="G478" s="3"/>
      <c r="H478" s="89"/>
      <c r="I478" s="90"/>
      <c r="K478" s="31"/>
    </row>
    <row r="479" spans="2:11" s="13" customFormat="1" x14ac:dyDescent="0.2">
      <c r="B479" s="3"/>
      <c r="C479" s="3"/>
      <c r="D479" s="3"/>
      <c r="E479" s="3"/>
      <c r="F479" s="89"/>
      <c r="G479" s="3"/>
      <c r="H479" s="89"/>
      <c r="I479" s="90"/>
      <c r="K479" s="31"/>
    </row>
    <row r="480" spans="2:11" s="13" customFormat="1" x14ac:dyDescent="0.2">
      <c r="B480" s="3"/>
      <c r="C480" s="3"/>
      <c r="D480" s="3"/>
      <c r="E480" s="3"/>
      <c r="F480" s="89"/>
      <c r="G480" s="3"/>
      <c r="H480" s="89"/>
      <c r="I480" s="90"/>
      <c r="K480" s="31"/>
    </row>
    <row r="481" spans="2:11" s="13" customFormat="1" x14ac:dyDescent="0.2">
      <c r="B481" s="3"/>
      <c r="C481" s="3"/>
      <c r="D481" s="3"/>
      <c r="E481" s="3"/>
      <c r="F481" s="89"/>
      <c r="G481" s="3"/>
      <c r="H481" s="89"/>
      <c r="I481" s="90"/>
      <c r="K481" s="31"/>
    </row>
    <row r="482" spans="2:11" s="13" customFormat="1" x14ac:dyDescent="0.2">
      <c r="B482" s="3"/>
      <c r="C482" s="3"/>
      <c r="D482" s="3"/>
      <c r="E482" s="3"/>
      <c r="F482" s="89"/>
      <c r="G482" s="3"/>
      <c r="H482" s="89"/>
      <c r="I482" s="90"/>
      <c r="K482" s="31"/>
    </row>
    <row r="483" spans="2:11" s="13" customFormat="1" x14ac:dyDescent="0.2">
      <c r="B483" s="3"/>
      <c r="C483" s="3"/>
      <c r="D483" s="3"/>
      <c r="E483" s="3"/>
      <c r="F483" s="89"/>
      <c r="G483" s="3"/>
      <c r="H483" s="89"/>
      <c r="I483" s="90"/>
      <c r="K483" s="31"/>
    </row>
    <row r="484" spans="2:11" s="13" customFormat="1" x14ac:dyDescent="0.2">
      <c r="B484" s="3"/>
      <c r="C484" s="3"/>
      <c r="D484" s="3"/>
      <c r="E484" s="3"/>
      <c r="F484" s="89"/>
      <c r="G484" s="3"/>
      <c r="H484" s="89"/>
      <c r="I484" s="90"/>
      <c r="K484" s="31"/>
    </row>
    <row r="485" spans="2:11" s="13" customFormat="1" x14ac:dyDescent="0.2">
      <c r="B485" s="3"/>
      <c r="C485" s="3"/>
      <c r="D485" s="3"/>
      <c r="E485" s="3"/>
      <c r="F485" s="89"/>
      <c r="G485" s="3"/>
      <c r="H485" s="89"/>
      <c r="I485" s="90"/>
      <c r="K485" s="31"/>
    </row>
    <row r="486" spans="2:11" s="13" customFormat="1" x14ac:dyDescent="0.2">
      <c r="B486" s="3"/>
      <c r="C486" s="3"/>
      <c r="D486" s="3"/>
      <c r="E486" s="3"/>
      <c r="F486" s="89"/>
      <c r="G486" s="3"/>
      <c r="H486" s="89"/>
      <c r="I486" s="90"/>
      <c r="K486" s="31"/>
    </row>
    <row r="487" spans="2:11" s="13" customFormat="1" x14ac:dyDescent="0.2">
      <c r="B487" s="3"/>
      <c r="C487" s="3"/>
      <c r="D487" s="3"/>
      <c r="E487" s="3"/>
      <c r="F487" s="89"/>
      <c r="G487" s="3"/>
      <c r="H487" s="89"/>
      <c r="I487" s="90"/>
      <c r="K487" s="31"/>
    </row>
    <row r="488" spans="2:11" s="13" customFormat="1" x14ac:dyDescent="0.2">
      <c r="B488" s="3"/>
      <c r="C488" s="3"/>
      <c r="D488" s="3"/>
      <c r="E488" s="3"/>
      <c r="F488" s="89"/>
      <c r="G488" s="3"/>
      <c r="H488" s="89"/>
      <c r="I488" s="90"/>
      <c r="K488" s="31"/>
    </row>
    <row r="489" spans="2:11" s="13" customFormat="1" x14ac:dyDescent="0.2">
      <c r="B489" s="3"/>
      <c r="C489" s="3"/>
      <c r="D489" s="3"/>
      <c r="E489" s="3"/>
      <c r="F489" s="89"/>
      <c r="G489" s="3"/>
      <c r="H489" s="89"/>
      <c r="I489" s="90"/>
      <c r="K489" s="31"/>
    </row>
    <row r="490" spans="2:11" s="13" customFormat="1" x14ac:dyDescent="0.2">
      <c r="B490" s="3"/>
      <c r="C490" s="3"/>
      <c r="D490" s="3"/>
      <c r="E490" s="3"/>
      <c r="F490" s="89"/>
      <c r="G490" s="3"/>
      <c r="H490" s="89"/>
      <c r="I490" s="90"/>
      <c r="K490" s="31"/>
    </row>
    <row r="491" spans="2:11" s="13" customFormat="1" x14ac:dyDescent="0.2">
      <c r="B491" s="3"/>
      <c r="C491" s="3"/>
      <c r="D491" s="3"/>
      <c r="E491" s="3"/>
      <c r="F491" s="89"/>
      <c r="G491" s="3"/>
      <c r="H491" s="89"/>
      <c r="I491" s="90"/>
      <c r="K491" s="31"/>
    </row>
    <row r="492" spans="2:11" s="13" customFormat="1" x14ac:dyDescent="0.2">
      <c r="B492" s="3"/>
      <c r="C492" s="3"/>
      <c r="D492" s="3"/>
      <c r="E492" s="3"/>
      <c r="F492" s="89"/>
      <c r="G492" s="3"/>
      <c r="H492" s="89"/>
      <c r="I492" s="90"/>
      <c r="K492" s="31"/>
    </row>
    <row r="493" spans="2:11" s="13" customFormat="1" x14ac:dyDescent="0.2">
      <c r="B493" s="3"/>
      <c r="C493" s="3"/>
      <c r="D493" s="3"/>
      <c r="E493" s="3"/>
      <c r="F493" s="89"/>
      <c r="G493" s="3"/>
      <c r="H493" s="89"/>
      <c r="I493" s="90"/>
      <c r="K493" s="31"/>
    </row>
    <row r="494" spans="2:11" s="13" customFormat="1" x14ac:dyDescent="0.2">
      <c r="B494" s="3"/>
      <c r="C494" s="3"/>
      <c r="D494" s="3"/>
      <c r="E494" s="3"/>
      <c r="F494" s="89"/>
      <c r="G494" s="3"/>
      <c r="H494" s="89"/>
      <c r="I494" s="90"/>
      <c r="K494" s="31"/>
    </row>
    <row r="495" spans="2:11" s="13" customFormat="1" x14ac:dyDescent="0.2">
      <c r="B495" s="3"/>
      <c r="C495" s="3"/>
      <c r="D495" s="3"/>
      <c r="E495" s="3"/>
      <c r="F495" s="89"/>
      <c r="G495" s="3"/>
      <c r="H495" s="89"/>
      <c r="I495" s="90"/>
      <c r="K495" s="31"/>
    </row>
    <row r="496" spans="2:11" s="13" customFormat="1" x14ac:dyDescent="0.2">
      <c r="B496" s="3"/>
      <c r="C496" s="3"/>
      <c r="D496" s="3"/>
      <c r="E496" s="3"/>
      <c r="F496" s="89"/>
      <c r="G496" s="3"/>
      <c r="H496" s="89"/>
      <c r="I496" s="90"/>
      <c r="K496" s="31"/>
    </row>
    <row r="497" spans="2:11" s="13" customFormat="1" x14ac:dyDescent="0.2">
      <c r="B497" s="3"/>
      <c r="C497" s="3"/>
      <c r="D497" s="3"/>
      <c r="E497" s="3"/>
      <c r="F497" s="89"/>
      <c r="G497" s="3"/>
      <c r="H497" s="89"/>
      <c r="I497" s="90"/>
      <c r="K497" s="31"/>
    </row>
    <row r="498" spans="2:11" s="13" customFormat="1" x14ac:dyDescent="0.2">
      <c r="B498" s="3"/>
      <c r="C498" s="3"/>
      <c r="D498" s="3"/>
      <c r="E498" s="3"/>
      <c r="F498" s="89"/>
      <c r="G498" s="3"/>
      <c r="H498" s="89"/>
      <c r="I498" s="90"/>
      <c r="K498" s="31"/>
    </row>
    <row r="499" spans="2:11" s="13" customFormat="1" x14ac:dyDescent="0.2">
      <c r="B499" s="3"/>
      <c r="C499" s="3"/>
      <c r="D499" s="3"/>
      <c r="E499" s="3"/>
      <c r="F499" s="89"/>
      <c r="G499" s="3"/>
      <c r="H499" s="89"/>
      <c r="I499" s="90"/>
      <c r="K499" s="31"/>
    </row>
    <row r="500" spans="2:11" s="13" customFormat="1" x14ac:dyDescent="0.2">
      <c r="B500" s="3"/>
      <c r="C500" s="3"/>
      <c r="D500" s="3"/>
      <c r="E500" s="3"/>
      <c r="F500" s="89"/>
      <c r="G500" s="3"/>
      <c r="H500" s="89"/>
      <c r="I500" s="90"/>
      <c r="K500" s="31"/>
    </row>
    <row r="501" spans="2:11" s="13" customFormat="1" x14ac:dyDescent="0.2">
      <c r="B501" s="3"/>
      <c r="C501" s="3"/>
      <c r="D501" s="3"/>
      <c r="E501" s="3"/>
      <c r="F501" s="89"/>
      <c r="G501" s="3"/>
      <c r="H501" s="89"/>
      <c r="I501" s="90"/>
      <c r="K501" s="31"/>
    </row>
    <row r="502" spans="2:11" s="13" customFormat="1" x14ac:dyDescent="0.2">
      <c r="B502" s="3"/>
      <c r="C502" s="3"/>
      <c r="D502" s="3"/>
      <c r="E502" s="3"/>
      <c r="F502" s="89"/>
      <c r="G502" s="3"/>
      <c r="H502" s="89"/>
      <c r="I502" s="90"/>
      <c r="K502" s="31"/>
    </row>
    <row r="503" spans="2:11" s="13" customFormat="1" x14ac:dyDescent="0.2">
      <c r="B503" s="3"/>
      <c r="C503" s="3"/>
      <c r="D503" s="3"/>
      <c r="E503" s="3"/>
      <c r="F503" s="89"/>
      <c r="G503" s="3"/>
      <c r="H503" s="89"/>
      <c r="I503" s="90"/>
      <c r="K503" s="31"/>
    </row>
    <row r="504" spans="2:11" s="13" customFormat="1" x14ac:dyDescent="0.2">
      <c r="B504" s="3"/>
      <c r="C504" s="3"/>
      <c r="D504" s="3"/>
      <c r="E504" s="3"/>
      <c r="F504" s="89"/>
      <c r="G504" s="3"/>
      <c r="H504" s="89"/>
      <c r="I504" s="90"/>
      <c r="K504" s="31"/>
    </row>
    <row r="505" spans="2:11" s="13" customFormat="1" x14ac:dyDescent="0.2">
      <c r="B505" s="3"/>
      <c r="C505" s="3"/>
      <c r="D505" s="3"/>
      <c r="E505" s="3"/>
      <c r="F505" s="89"/>
      <c r="G505" s="3"/>
      <c r="H505" s="89"/>
      <c r="I505" s="90"/>
      <c r="K505" s="31"/>
    </row>
    <row r="506" spans="2:11" s="13" customFormat="1" x14ac:dyDescent="0.2">
      <c r="B506" s="3"/>
      <c r="C506" s="3"/>
      <c r="D506" s="3"/>
      <c r="E506" s="3"/>
      <c r="F506" s="89"/>
      <c r="G506" s="3"/>
      <c r="H506" s="89"/>
      <c r="I506" s="90"/>
      <c r="K506" s="31"/>
    </row>
    <row r="507" spans="2:11" s="13" customFormat="1" x14ac:dyDescent="0.2">
      <c r="B507" s="3"/>
      <c r="C507" s="3"/>
      <c r="D507" s="3"/>
      <c r="E507" s="3"/>
      <c r="F507" s="89"/>
      <c r="G507" s="3"/>
      <c r="H507" s="89"/>
      <c r="I507" s="90"/>
      <c r="K507" s="31"/>
    </row>
    <row r="508" spans="2:11" s="13" customFormat="1" x14ac:dyDescent="0.2">
      <c r="B508" s="3"/>
      <c r="C508" s="3"/>
      <c r="D508" s="3"/>
      <c r="E508" s="3"/>
      <c r="F508" s="89"/>
      <c r="G508" s="3"/>
      <c r="H508" s="89"/>
      <c r="I508" s="90"/>
      <c r="K508" s="31"/>
    </row>
    <row r="509" spans="2:11" s="13" customFormat="1" x14ac:dyDescent="0.2">
      <c r="B509" s="3"/>
      <c r="C509" s="3"/>
      <c r="D509" s="3"/>
      <c r="E509" s="3"/>
      <c r="F509" s="89"/>
      <c r="G509" s="3"/>
      <c r="H509" s="89"/>
      <c r="I509" s="90"/>
      <c r="K509" s="31"/>
    </row>
    <row r="510" spans="2:11" s="13" customFormat="1" x14ac:dyDescent="0.2">
      <c r="B510" s="3"/>
      <c r="C510" s="3"/>
      <c r="D510" s="3"/>
      <c r="E510" s="3"/>
      <c r="F510" s="89"/>
      <c r="G510" s="3"/>
      <c r="H510" s="89"/>
      <c r="I510" s="90"/>
      <c r="K510" s="31"/>
    </row>
    <row r="511" spans="2:11" s="13" customFormat="1" x14ac:dyDescent="0.2">
      <c r="B511" s="3"/>
      <c r="C511" s="3"/>
      <c r="D511" s="3"/>
      <c r="E511" s="3"/>
      <c r="F511" s="89"/>
      <c r="G511" s="3"/>
      <c r="H511" s="89"/>
      <c r="I511" s="90"/>
      <c r="K511" s="31"/>
    </row>
    <row r="512" spans="2:11" s="13" customFormat="1" x14ac:dyDescent="0.2">
      <c r="B512" s="3"/>
      <c r="C512" s="3"/>
      <c r="D512" s="3"/>
      <c r="E512" s="3"/>
      <c r="F512" s="89"/>
      <c r="G512" s="3"/>
      <c r="H512" s="89"/>
      <c r="I512" s="90"/>
      <c r="K512" s="31"/>
    </row>
    <row r="513" spans="2:11" s="13" customFormat="1" x14ac:dyDescent="0.2">
      <c r="B513" s="3"/>
      <c r="C513" s="3"/>
      <c r="D513" s="3"/>
      <c r="E513" s="3"/>
      <c r="F513" s="89"/>
      <c r="G513" s="3"/>
      <c r="H513" s="89"/>
      <c r="I513" s="90"/>
      <c r="K513" s="31"/>
    </row>
    <row r="514" spans="2:11" s="13" customFormat="1" x14ac:dyDescent="0.2">
      <c r="B514" s="3"/>
      <c r="C514" s="3"/>
      <c r="D514" s="3"/>
      <c r="E514" s="3"/>
      <c r="F514" s="89"/>
      <c r="G514" s="3"/>
      <c r="H514" s="89"/>
      <c r="I514" s="90"/>
      <c r="K514" s="31"/>
    </row>
    <row r="515" spans="2:11" s="13" customFormat="1" x14ac:dyDescent="0.2">
      <c r="B515" s="3"/>
      <c r="C515" s="3"/>
      <c r="D515" s="3"/>
      <c r="E515" s="3"/>
      <c r="F515" s="89"/>
      <c r="G515" s="3"/>
      <c r="H515" s="89"/>
      <c r="I515" s="90"/>
      <c r="K515" s="31"/>
    </row>
    <row r="516" spans="2:11" s="13" customFormat="1" x14ac:dyDescent="0.2">
      <c r="B516" s="3"/>
      <c r="C516" s="3"/>
      <c r="D516" s="3"/>
      <c r="E516" s="3"/>
      <c r="F516" s="89"/>
      <c r="G516" s="3"/>
      <c r="H516" s="89"/>
      <c r="I516" s="90"/>
      <c r="K516" s="31"/>
    </row>
    <row r="517" spans="2:11" s="13" customFormat="1" x14ac:dyDescent="0.2">
      <c r="B517" s="3"/>
      <c r="C517" s="3"/>
      <c r="D517" s="3"/>
      <c r="E517" s="3"/>
      <c r="F517" s="89"/>
      <c r="G517" s="3"/>
      <c r="H517" s="89"/>
      <c r="I517" s="90"/>
      <c r="K517" s="31"/>
    </row>
    <row r="518" spans="2:11" s="13" customFormat="1" x14ac:dyDescent="0.2">
      <c r="B518" s="3"/>
      <c r="C518" s="3"/>
      <c r="D518" s="3"/>
      <c r="E518" s="3"/>
      <c r="F518" s="89"/>
      <c r="G518" s="3"/>
      <c r="H518" s="89"/>
      <c r="I518" s="90"/>
      <c r="K518" s="31"/>
    </row>
    <row r="519" spans="2:11" s="13" customFormat="1" x14ac:dyDescent="0.2">
      <c r="B519" s="3"/>
      <c r="C519" s="3"/>
      <c r="D519" s="3"/>
      <c r="E519" s="3"/>
      <c r="F519" s="89"/>
      <c r="G519" s="3"/>
      <c r="H519" s="89"/>
      <c r="I519" s="90"/>
      <c r="K519" s="31"/>
    </row>
    <row r="520" spans="2:11" s="13" customFormat="1" x14ac:dyDescent="0.2">
      <c r="B520" s="3"/>
      <c r="C520" s="3"/>
      <c r="D520" s="3"/>
      <c r="E520" s="3"/>
      <c r="F520" s="89"/>
      <c r="G520" s="3"/>
      <c r="H520" s="89"/>
      <c r="I520" s="90"/>
      <c r="K520" s="31"/>
    </row>
    <row r="521" spans="2:11" s="13" customFormat="1" x14ac:dyDescent="0.2">
      <c r="B521" s="3"/>
      <c r="C521" s="3"/>
      <c r="D521" s="3"/>
      <c r="E521" s="3"/>
      <c r="F521" s="89"/>
      <c r="G521" s="3"/>
      <c r="H521" s="89"/>
      <c r="I521" s="90"/>
      <c r="K521" s="31"/>
    </row>
    <row r="522" spans="2:11" s="13" customFormat="1" x14ac:dyDescent="0.2">
      <c r="B522" s="3"/>
      <c r="C522" s="3"/>
      <c r="D522" s="3"/>
      <c r="E522" s="3"/>
      <c r="F522" s="89"/>
      <c r="G522" s="3"/>
      <c r="H522" s="89"/>
      <c r="I522" s="90"/>
      <c r="K522" s="31"/>
    </row>
    <row r="523" spans="2:11" s="13" customFormat="1" x14ac:dyDescent="0.2">
      <c r="B523" s="3"/>
      <c r="C523" s="3"/>
      <c r="D523" s="3"/>
      <c r="E523" s="3"/>
      <c r="F523" s="89"/>
      <c r="G523" s="3"/>
      <c r="H523" s="89"/>
      <c r="I523" s="90"/>
      <c r="K523" s="31"/>
    </row>
    <row r="524" spans="2:11" s="13" customFormat="1" x14ac:dyDescent="0.2">
      <c r="B524" s="3"/>
      <c r="C524" s="3"/>
      <c r="D524" s="3"/>
      <c r="E524" s="3"/>
      <c r="F524" s="89"/>
      <c r="G524" s="3"/>
      <c r="H524" s="89"/>
      <c r="I524" s="90"/>
      <c r="K524" s="31"/>
    </row>
    <row r="525" spans="2:11" s="13" customFormat="1" x14ac:dyDescent="0.2">
      <c r="B525" s="3"/>
      <c r="C525" s="3"/>
      <c r="D525" s="3"/>
      <c r="E525" s="3"/>
      <c r="F525" s="89"/>
      <c r="G525" s="3"/>
      <c r="H525" s="89"/>
      <c r="I525" s="90"/>
      <c r="K525" s="31"/>
    </row>
    <row r="526" spans="2:11" s="13" customFormat="1" x14ac:dyDescent="0.2">
      <c r="B526" s="3"/>
      <c r="C526" s="3"/>
      <c r="D526" s="3"/>
      <c r="E526" s="3"/>
      <c r="F526" s="89"/>
      <c r="G526" s="3"/>
      <c r="H526" s="89"/>
      <c r="I526" s="90"/>
      <c r="K526" s="31"/>
    </row>
    <row r="527" spans="2:11" s="13" customFormat="1" x14ac:dyDescent="0.2">
      <c r="B527" s="3"/>
      <c r="C527" s="3"/>
      <c r="D527" s="3"/>
      <c r="E527" s="3"/>
      <c r="F527" s="89"/>
      <c r="G527" s="3"/>
      <c r="H527" s="89"/>
      <c r="I527" s="90"/>
      <c r="K527" s="31"/>
    </row>
    <row r="528" spans="2:11" s="13" customFormat="1" x14ac:dyDescent="0.2">
      <c r="B528" s="3"/>
      <c r="C528" s="3"/>
      <c r="D528" s="3"/>
      <c r="E528" s="3"/>
      <c r="F528" s="89"/>
      <c r="G528" s="3"/>
      <c r="H528" s="89"/>
      <c r="I528" s="90"/>
      <c r="K528" s="31"/>
    </row>
    <row r="529" spans="2:11" s="13" customFormat="1" x14ac:dyDescent="0.2">
      <c r="B529" s="3"/>
      <c r="C529" s="3"/>
      <c r="D529" s="3"/>
      <c r="E529" s="3"/>
      <c r="F529" s="89"/>
      <c r="G529" s="3"/>
      <c r="H529" s="89"/>
      <c r="I529" s="90"/>
      <c r="K529" s="31"/>
    </row>
    <row r="530" spans="2:11" s="13" customFormat="1" x14ac:dyDescent="0.2">
      <c r="B530" s="3"/>
      <c r="C530" s="3"/>
      <c r="D530" s="3"/>
      <c r="E530" s="3"/>
      <c r="F530" s="89"/>
      <c r="G530" s="3"/>
      <c r="H530" s="89"/>
      <c r="I530" s="90"/>
      <c r="K530" s="31"/>
    </row>
    <row r="531" spans="2:11" s="13" customFormat="1" x14ac:dyDescent="0.2">
      <c r="B531" s="3"/>
      <c r="C531" s="3"/>
      <c r="D531" s="3"/>
      <c r="E531" s="3"/>
      <c r="F531" s="89"/>
      <c r="G531" s="3"/>
      <c r="H531" s="89"/>
      <c r="I531" s="90"/>
      <c r="K531" s="31"/>
    </row>
    <row r="532" spans="2:11" s="13" customFormat="1" x14ac:dyDescent="0.2">
      <c r="B532" s="3"/>
      <c r="C532" s="3"/>
      <c r="D532" s="3"/>
      <c r="E532" s="3"/>
      <c r="F532" s="89"/>
      <c r="G532" s="3"/>
      <c r="H532" s="89"/>
      <c r="I532" s="90"/>
      <c r="K532" s="31"/>
    </row>
    <row r="533" spans="2:11" s="13" customFormat="1" x14ac:dyDescent="0.2">
      <c r="B533" s="3"/>
      <c r="C533" s="3"/>
      <c r="D533" s="3"/>
      <c r="E533" s="3"/>
      <c r="F533" s="89"/>
      <c r="G533" s="3"/>
      <c r="H533" s="89"/>
      <c r="I533" s="90"/>
      <c r="K533" s="31"/>
    </row>
    <row r="534" spans="2:11" s="13" customFormat="1" x14ac:dyDescent="0.2">
      <c r="B534" s="3"/>
      <c r="C534" s="3"/>
      <c r="D534" s="3"/>
      <c r="E534" s="3"/>
      <c r="F534" s="89"/>
      <c r="G534" s="3"/>
      <c r="H534" s="89"/>
      <c r="I534" s="90"/>
      <c r="K534" s="31"/>
    </row>
    <row r="535" spans="2:11" s="13" customFormat="1" x14ac:dyDescent="0.2">
      <c r="B535" s="3"/>
      <c r="C535" s="3"/>
      <c r="D535" s="3"/>
      <c r="E535" s="3"/>
      <c r="F535" s="89"/>
      <c r="G535" s="3"/>
      <c r="H535" s="89"/>
      <c r="I535" s="90"/>
      <c r="K535" s="31"/>
    </row>
    <row r="536" spans="2:11" s="13" customFormat="1" x14ac:dyDescent="0.2">
      <c r="B536" s="3"/>
      <c r="C536" s="3"/>
      <c r="D536" s="3"/>
      <c r="E536" s="3"/>
      <c r="F536" s="89"/>
      <c r="G536" s="3"/>
      <c r="H536" s="89"/>
      <c r="I536" s="90"/>
      <c r="K536" s="31"/>
    </row>
    <row r="537" spans="2:11" s="13" customFormat="1" x14ac:dyDescent="0.2">
      <c r="B537" s="3"/>
      <c r="C537" s="3"/>
      <c r="D537" s="3"/>
      <c r="E537" s="3"/>
      <c r="F537" s="89"/>
      <c r="G537" s="3"/>
      <c r="H537" s="89"/>
      <c r="I537" s="90"/>
      <c r="K537" s="31"/>
    </row>
    <row r="538" spans="2:11" s="13" customFormat="1" x14ac:dyDescent="0.2">
      <c r="B538" s="3"/>
      <c r="C538" s="3"/>
      <c r="D538" s="3"/>
      <c r="E538" s="3"/>
      <c r="F538" s="89"/>
      <c r="G538" s="3"/>
      <c r="H538" s="89"/>
      <c r="I538" s="90"/>
      <c r="K538" s="31"/>
    </row>
    <row r="539" spans="2:11" s="13" customFormat="1" x14ac:dyDescent="0.2">
      <c r="B539" s="3"/>
      <c r="C539" s="3"/>
      <c r="D539" s="3"/>
      <c r="E539" s="3"/>
      <c r="F539" s="89"/>
      <c r="G539" s="3"/>
      <c r="H539" s="89"/>
      <c r="I539" s="90"/>
      <c r="K539" s="31"/>
    </row>
    <row r="540" spans="2:11" s="13" customFormat="1" x14ac:dyDescent="0.2">
      <c r="B540" s="3"/>
      <c r="C540" s="3"/>
      <c r="D540" s="3"/>
      <c r="E540" s="3"/>
      <c r="F540" s="89"/>
      <c r="G540" s="3"/>
      <c r="H540" s="89"/>
      <c r="I540" s="90"/>
      <c r="K540" s="31"/>
    </row>
    <row r="541" spans="2:11" s="13" customFormat="1" x14ac:dyDescent="0.2">
      <c r="B541" s="3"/>
      <c r="C541" s="3"/>
      <c r="D541" s="3"/>
      <c r="E541" s="3"/>
      <c r="F541" s="89"/>
      <c r="G541" s="3"/>
      <c r="H541" s="89"/>
      <c r="I541" s="90"/>
      <c r="K541" s="31"/>
    </row>
    <row r="542" spans="2:11" s="13" customFormat="1" x14ac:dyDescent="0.2">
      <c r="B542" s="3"/>
      <c r="C542" s="3"/>
      <c r="D542" s="3"/>
      <c r="E542" s="3"/>
      <c r="F542" s="89"/>
      <c r="G542" s="3"/>
      <c r="H542" s="89"/>
      <c r="I542" s="90"/>
      <c r="K542" s="31"/>
    </row>
    <row r="543" spans="2:11" s="13" customFormat="1" x14ac:dyDescent="0.2">
      <c r="B543" s="3"/>
      <c r="C543" s="3"/>
      <c r="D543" s="3"/>
      <c r="E543" s="3"/>
      <c r="F543" s="89"/>
      <c r="G543" s="3"/>
      <c r="H543" s="89"/>
      <c r="I543" s="90"/>
      <c r="K543" s="31"/>
    </row>
    <row r="544" spans="2:11" s="13" customFormat="1" x14ac:dyDescent="0.2">
      <c r="B544" s="3"/>
      <c r="C544" s="3"/>
      <c r="D544" s="3"/>
      <c r="E544" s="3"/>
      <c r="F544" s="89"/>
      <c r="G544" s="3"/>
      <c r="H544" s="89"/>
      <c r="I544" s="90"/>
      <c r="K544" s="31"/>
    </row>
    <row r="545" spans="2:11" s="13" customFormat="1" x14ac:dyDescent="0.2">
      <c r="B545" s="3"/>
      <c r="C545" s="3"/>
      <c r="D545" s="3"/>
      <c r="E545" s="3"/>
      <c r="F545" s="89"/>
      <c r="G545" s="3"/>
      <c r="H545" s="89"/>
      <c r="I545" s="90"/>
      <c r="K545" s="31"/>
    </row>
    <row r="546" spans="2:11" s="13" customFormat="1" x14ac:dyDescent="0.2">
      <c r="B546" s="3"/>
      <c r="C546" s="3"/>
      <c r="D546" s="3"/>
      <c r="E546" s="3"/>
      <c r="F546" s="89"/>
      <c r="G546" s="3"/>
      <c r="H546" s="89"/>
      <c r="I546" s="90"/>
      <c r="K546" s="31"/>
    </row>
    <row r="547" spans="2:11" s="13" customFormat="1" x14ac:dyDescent="0.2">
      <c r="B547" s="3"/>
      <c r="C547" s="3"/>
      <c r="D547" s="3"/>
      <c r="E547" s="3"/>
      <c r="F547" s="89"/>
      <c r="G547" s="3"/>
      <c r="H547" s="89"/>
      <c r="I547" s="90"/>
      <c r="K547" s="31"/>
    </row>
    <row r="548" spans="2:11" s="13" customFormat="1" x14ac:dyDescent="0.2">
      <c r="B548" s="3"/>
      <c r="C548" s="3"/>
      <c r="D548" s="3"/>
      <c r="E548" s="3"/>
      <c r="F548" s="89"/>
      <c r="G548" s="3"/>
      <c r="H548" s="89"/>
      <c r="I548" s="90"/>
      <c r="K548" s="31"/>
    </row>
    <row r="549" spans="2:11" s="13" customFormat="1" x14ac:dyDescent="0.2">
      <c r="B549" s="3"/>
      <c r="C549" s="3"/>
      <c r="D549" s="3"/>
      <c r="E549" s="3"/>
      <c r="F549" s="89"/>
      <c r="G549" s="3"/>
      <c r="H549" s="89"/>
      <c r="I549" s="90"/>
      <c r="K549" s="31"/>
    </row>
    <row r="550" spans="2:11" s="13" customFormat="1" x14ac:dyDescent="0.2">
      <c r="B550" s="3"/>
      <c r="C550" s="3"/>
      <c r="D550" s="3"/>
      <c r="E550" s="3"/>
      <c r="F550" s="89"/>
      <c r="G550" s="3"/>
      <c r="H550" s="89"/>
      <c r="I550" s="90"/>
      <c r="K550" s="31"/>
    </row>
    <row r="551" spans="2:11" s="13" customFormat="1" x14ac:dyDescent="0.2">
      <c r="B551" s="3"/>
      <c r="C551" s="3"/>
      <c r="D551" s="3"/>
      <c r="E551" s="3"/>
      <c r="F551" s="89"/>
      <c r="G551" s="3"/>
      <c r="H551" s="89"/>
      <c r="I551" s="90"/>
      <c r="K551" s="31"/>
    </row>
    <row r="552" spans="2:11" s="13" customFormat="1" x14ac:dyDescent="0.2">
      <c r="B552" s="3"/>
      <c r="C552" s="3"/>
      <c r="D552" s="3"/>
      <c r="E552" s="3"/>
      <c r="F552" s="89"/>
      <c r="G552" s="3"/>
      <c r="H552" s="89"/>
      <c r="I552" s="90"/>
      <c r="K552" s="31"/>
    </row>
    <row r="553" spans="2:11" s="13" customFormat="1" x14ac:dyDescent="0.2">
      <c r="B553" s="3"/>
      <c r="C553" s="3"/>
      <c r="D553" s="3"/>
      <c r="E553" s="3"/>
      <c r="F553" s="89"/>
      <c r="G553" s="3"/>
      <c r="H553" s="89"/>
      <c r="I553" s="90"/>
      <c r="K553" s="31"/>
    </row>
    <row r="554" spans="2:11" s="13" customFormat="1" x14ac:dyDescent="0.2">
      <c r="B554" s="3"/>
      <c r="C554" s="3"/>
      <c r="D554" s="3"/>
      <c r="E554" s="3"/>
      <c r="F554" s="89"/>
      <c r="G554" s="3"/>
      <c r="H554" s="89"/>
      <c r="I554" s="90"/>
      <c r="K554" s="31"/>
    </row>
    <row r="555" spans="2:11" s="13" customFormat="1" x14ac:dyDescent="0.2">
      <c r="B555" s="3"/>
      <c r="C555" s="3"/>
      <c r="D555" s="3"/>
      <c r="E555" s="3"/>
      <c r="F555" s="89"/>
      <c r="G555" s="3"/>
      <c r="H555" s="89"/>
      <c r="I555" s="90"/>
      <c r="K555" s="31"/>
    </row>
    <row r="556" spans="2:11" s="13" customFormat="1" x14ac:dyDescent="0.2">
      <c r="B556" s="3"/>
      <c r="C556" s="3"/>
      <c r="D556" s="3"/>
      <c r="E556" s="3"/>
      <c r="F556" s="89"/>
      <c r="G556" s="3"/>
      <c r="H556" s="89"/>
      <c r="I556" s="90"/>
      <c r="K556" s="31"/>
    </row>
    <row r="557" spans="2:11" s="13" customFormat="1" x14ac:dyDescent="0.2">
      <c r="B557" s="3"/>
      <c r="C557" s="3"/>
      <c r="D557" s="3"/>
      <c r="E557" s="3"/>
      <c r="F557" s="89"/>
      <c r="G557" s="3"/>
      <c r="H557" s="89"/>
      <c r="I557" s="90"/>
      <c r="K557" s="31"/>
    </row>
    <row r="558" spans="2:11" s="13" customFormat="1" x14ac:dyDescent="0.2">
      <c r="B558" s="3"/>
      <c r="C558" s="3"/>
      <c r="D558" s="3"/>
      <c r="E558" s="3"/>
      <c r="F558" s="89"/>
      <c r="G558" s="3"/>
      <c r="H558" s="89"/>
      <c r="I558" s="90"/>
      <c r="K558" s="31"/>
    </row>
    <row r="559" spans="2:11" s="13" customFormat="1" x14ac:dyDescent="0.2">
      <c r="B559" s="3"/>
      <c r="C559" s="3"/>
      <c r="D559" s="3"/>
      <c r="E559" s="3"/>
      <c r="F559" s="89"/>
      <c r="G559" s="3"/>
      <c r="H559" s="89"/>
      <c r="I559" s="90"/>
      <c r="K559" s="31"/>
    </row>
    <row r="560" spans="2:11" s="13" customFormat="1" x14ac:dyDescent="0.2">
      <c r="B560" s="3"/>
      <c r="C560" s="3"/>
      <c r="D560" s="3"/>
      <c r="E560" s="3"/>
      <c r="F560" s="89"/>
      <c r="G560" s="3"/>
      <c r="H560" s="89"/>
      <c r="I560" s="90"/>
      <c r="K560" s="31"/>
    </row>
    <row r="561" spans="2:11" s="13" customFormat="1" x14ac:dyDescent="0.2">
      <c r="B561" s="3"/>
      <c r="C561" s="3"/>
      <c r="D561" s="3"/>
      <c r="E561" s="3"/>
      <c r="F561" s="89"/>
      <c r="G561" s="3"/>
      <c r="H561" s="89"/>
      <c r="I561" s="90"/>
      <c r="K561" s="31"/>
    </row>
    <row r="562" spans="2:11" s="13" customFormat="1" x14ac:dyDescent="0.2">
      <c r="B562" s="3"/>
      <c r="C562" s="3"/>
      <c r="D562" s="3"/>
      <c r="E562" s="3"/>
      <c r="F562" s="89"/>
      <c r="G562" s="3"/>
      <c r="H562" s="89"/>
      <c r="I562" s="90"/>
      <c r="K562" s="31"/>
    </row>
    <row r="563" spans="2:11" s="13" customFormat="1" x14ac:dyDescent="0.2">
      <c r="B563" s="3"/>
      <c r="C563" s="3"/>
      <c r="D563" s="3"/>
      <c r="E563" s="3"/>
      <c r="F563" s="89"/>
      <c r="G563" s="3"/>
      <c r="H563" s="89"/>
      <c r="I563" s="90"/>
      <c r="K563" s="31"/>
    </row>
    <row r="564" spans="2:11" s="13" customFormat="1" x14ac:dyDescent="0.2">
      <c r="B564" s="3"/>
      <c r="C564" s="3"/>
      <c r="D564" s="3"/>
      <c r="E564" s="3"/>
      <c r="F564" s="89"/>
      <c r="G564" s="3"/>
      <c r="H564" s="89"/>
      <c r="I564" s="90"/>
      <c r="K564" s="31"/>
    </row>
    <row r="565" spans="2:11" s="13" customFormat="1" x14ac:dyDescent="0.2">
      <c r="B565" s="3"/>
      <c r="C565" s="3"/>
      <c r="D565" s="3"/>
      <c r="E565" s="3"/>
      <c r="F565" s="89"/>
      <c r="G565" s="3"/>
      <c r="H565" s="89"/>
      <c r="I565" s="90"/>
      <c r="K565" s="31"/>
    </row>
    <row r="566" spans="2:11" s="13" customFormat="1" x14ac:dyDescent="0.2">
      <c r="B566" s="3"/>
      <c r="C566" s="3"/>
      <c r="D566" s="3"/>
      <c r="E566" s="3"/>
      <c r="F566" s="89"/>
      <c r="G566" s="3"/>
      <c r="H566" s="89"/>
      <c r="I566" s="90"/>
      <c r="K566" s="31"/>
    </row>
    <row r="567" spans="2:11" s="13" customFormat="1" x14ac:dyDescent="0.2">
      <c r="B567" s="3"/>
      <c r="C567" s="3"/>
      <c r="D567" s="3"/>
      <c r="E567" s="3"/>
      <c r="F567" s="89"/>
      <c r="G567" s="3"/>
      <c r="H567" s="89"/>
      <c r="I567" s="90"/>
      <c r="K567" s="31"/>
    </row>
    <row r="568" spans="2:11" s="13" customFormat="1" x14ac:dyDescent="0.2">
      <c r="B568" s="3"/>
      <c r="C568" s="3"/>
      <c r="D568" s="3"/>
      <c r="E568" s="3"/>
      <c r="F568" s="89"/>
      <c r="G568" s="3"/>
      <c r="H568" s="89"/>
      <c r="I568" s="90"/>
      <c r="K568" s="31"/>
    </row>
    <row r="569" spans="2:11" s="13" customFormat="1" x14ac:dyDescent="0.2">
      <c r="B569" s="3"/>
      <c r="C569" s="3"/>
      <c r="D569" s="3"/>
      <c r="E569" s="3"/>
      <c r="F569" s="89"/>
      <c r="G569" s="3"/>
      <c r="H569" s="89"/>
      <c r="I569" s="90"/>
      <c r="K569" s="31"/>
    </row>
    <row r="570" spans="2:11" s="13" customFormat="1" x14ac:dyDescent="0.2">
      <c r="B570" s="3"/>
      <c r="C570" s="3"/>
      <c r="D570" s="3"/>
      <c r="E570" s="3"/>
      <c r="F570" s="89"/>
      <c r="G570" s="3"/>
      <c r="H570" s="89"/>
      <c r="I570" s="90"/>
      <c r="K570" s="31"/>
    </row>
    <row r="571" spans="2:11" s="13" customFormat="1" x14ac:dyDescent="0.2">
      <c r="B571" s="3"/>
      <c r="C571" s="3"/>
      <c r="D571" s="3"/>
      <c r="E571" s="3"/>
      <c r="F571" s="89"/>
      <c r="G571" s="3"/>
      <c r="H571" s="89"/>
      <c r="I571" s="90"/>
      <c r="K571" s="31"/>
    </row>
    <row r="572" spans="2:11" s="13" customFormat="1" x14ac:dyDescent="0.2">
      <c r="B572" s="3"/>
      <c r="C572" s="3"/>
      <c r="D572" s="3"/>
      <c r="E572" s="3"/>
      <c r="F572" s="89"/>
      <c r="G572" s="3"/>
      <c r="H572" s="89"/>
      <c r="I572" s="90"/>
      <c r="K572" s="31"/>
    </row>
    <row r="573" spans="2:11" s="13" customFormat="1" x14ac:dyDescent="0.2">
      <c r="B573" s="3"/>
      <c r="C573" s="3"/>
      <c r="D573" s="3"/>
      <c r="E573" s="3"/>
      <c r="F573" s="89"/>
      <c r="G573" s="3"/>
      <c r="H573" s="89"/>
      <c r="I573" s="90"/>
      <c r="K573" s="31"/>
    </row>
    <row r="574" spans="2:11" s="13" customFormat="1" x14ac:dyDescent="0.2">
      <c r="B574" s="3"/>
      <c r="C574" s="3"/>
      <c r="D574" s="3"/>
      <c r="E574" s="3"/>
      <c r="F574" s="89"/>
      <c r="G574" s="3"/>
      <c r="H574" s="89"/>
      <c r="I574" s="90"/>
      <c r="K574" s="31"/>
    </row>
    <row r="575" spans="2:11" s="13" customFormat="1" x14ac:dyDescent="0.2">
      <c r="B575" s="3"/>
      <c r="C575" s="3"/>
      <c r="D575" s="3"/>
      <c r="E575" s="3"/>
      <c r="F575" s="89"/>
      <c r="G575" s="3"/>
      <c r="H575" s="89"/>
      <c r="I575" s="90"/>
      <c r="K575" s="31"/>
    </row>
    <row r="576" spans="2:11" s="13" customFormat="1" x14ac:dyDescent="0.2">
      <c r="B576" s="3"/>
      <c r="C576" s="3"/>
      <c r="D576" s="3"/>
      <c r="E576" s="3"/>
      <c r="F576" s="89"/>
      <c r="G576" s="3"/>
      <c r="H576" s="89"/>
      <c r="I576" s="90"/>
      <c r="K576" s="31"/>
    </row>
    <row r="577" spans="2:11" s="13" customFormat="1" x14ac:dyDescent="0.2">
      <c r="B577" s="3"/>
      <c r="C577" s="3"/>
      <c r="D577" s="3"/>
      <c r="E577" s="3"/>
      <c r="F577" s="89"/>
      <c r="G577" s="3"/>
      <c r="H577" s="89"/>
      <c r="I577" s="90"/>
      <c r="K577" s="31"/>
    </row>
    <row r="578" spans="2:11" s="13" customFormat="1" x14ac:dyDescent="0.2">
      <c r="B578" s="3"/>
      <c r="C578" s="3"/>
      <c r="D578" s="3"/>
      <c r="E578" s="3"/>
      <c r="F578" s="89"/>
      <c r="G578" s="3"/>
      <c r="H578" s="89"/>
      <c r="I578" s="90"/>
      <c r="K578" s="31"/>
    </row>
    <row r="579" spans="2:11" s="13" customFormat="1" x14ac:dyDescent="0.2">
      <c r="B579" s="3"/>
      <c r="C579" s="3"/>
      <c r="D579" s="3"/>
      <c r="E579" s="3"/>
      <c r="F579" s="89"/>
      <c r="G579" s="3"/>
      <c r="H579" s="89"/>
      <c r="I579" s="90"/>
      <c r="K579" s="31"/>
    </row>
    <row r="580" spans="2:11" s="13" customFormat="1" x14ac:dyDescent="0.2">
      <c r="B580" s="3"/>
      <c r="C580" s="3"/>
      <c r="D580" s="3"/>
      <c r="E580" s="3"/>
      <c r="F580" s="89"/>
      <c r="G580" s="3"/>
      <c r="H580" s="89"/>
      <c r="I580" s="90"/>
      <c r="K580" s="31"/>
    </row>
    <row r="581" spans="2:11" s="13" customFormat="1" x14ac:dyDescent="0.2">
      <c r="B581" s="3"/>
      <c r="C581" s="3"/>
      <c r="D581" s="3"/>
      <c r="E581" s="3"/>
      <c r="F581" s="89"/>
      <c r="G581" s="3"/>
      <c r="H581" s="89"/>
      <c r="I581" s="90"/>
      <c r="K581" s="31"/>
    </row>
    <row r="582" spans="2:11" s="13" customFormat="1" x14ac:dyDescent="0.2">
      <c r="B582" s="3"/>
      <c r="C582" s="3"/>
      <c r="D582" s="3"/>
      <c r="E582" s="3"/>
      <c r="F582" s="89"/>
      <c r="G582" s="3"/>
      <c r="H582" s="89"/>
      <c r="I582" s="90"/>
      <c r="K582" s="31"/>
    </row>
    <row r="583" spans="2:11" s="13" customFormat="1" x14ac:dyDescent="0.2">
      <c r="B583" s="3"/>
      <c r="C583" s="3"/>
      <c r="D583" s="3"/>
      <c r="E583" s="3"/>
      <c r="F583" s="89"/>
      <c r="G583" s="3"/>
      <c r="H583" s="89"/>
      <c r="I583" s="90"/>
      <c r="K583" s="31"/>
    </row>
    <row r="584" spans="2:11" s="13" customFormat="1" x14ac:dyDescent="0.2">
      <c r="B584" s="3"/>
      <c r="C584" s="3"/>
      <c r="D584" s="3"/>
      <c r="E584" s="3"/>
      <c r="F584" s="89"/>
      <c r="G584" s="3"/>
      <c r="H584" s="89"/>
      <c r="I584" s="90"/>
      <c r="K584" s="31"/>
    </row>
    <row r="585" spans="2:11" s="13" customFormat="1" x14ac:dyDescent="0.2">
      <c r="B585" s="3"/>
      <c r="C585" s="3"/>
      <c r="D585" s="3"/>
      <c r="E585" s="3"/>
      <c r="F585" s="89"/>
      <c r="G585" s="3"/>
      <c r="H585" s="89"/>
      <c r="I585" s="90"/>
      <c r="K585" s="31"/>
    </row>
    <row r="586" spans="2:11" s="13" customFormat="1" x14ac:dyDescent="0.2">
      <c r="B586" s="3"/>
      <c r="C586" s="3"/>
      <c r="D586" s="3"/>
      <c r="E586" s="3"/>
      <c r="F586" s="89"/>
      <c r="G586" s="3"/>
      <c r="H586" s="89"/>
      <c r="I586" s="90"/>
      <c r="K586" s="31"/>
    </row>
    <row r="587" spans="2:11" s="13" customFormat="1" x14ac:dyDescent="0.2">
      <c r="B587" s="3"/>
      <c r="C587" s="3"/>
      <c r="D587" s="3"/>
      <c r="E587" s="3"/>
      <c r="F587" s="89"/>
      <c r="G587" s="3"/>
      <c r="H587" s="89"/>
      <c r="I587" s="90"/>
      <c r="K587" s="31"/>
    </row>
    <row r="588" spans="2:11" s="13" customFormat="1" x14ac:dyDescent="0.2">
      <c r="B588" s="3"/>
      <c r="C588" s="3"/>
      <c r="D588" s="3"/>
      <c r="E588" s="3"/>
      <c r="F588" s="89"/>
      <c r="G588" s="3"/>
      <c r="H588" s="89"/>
      <c r="I588" s="90"/>
      <c r="K588" s="31"/>
    </row>
    <row r="589" spans="2:11" s="13" customFormat="1" x14ac:dyDescent="0.2">
      <c r="B589" s="3"/>
      <c r="C589" s="3"/>
      <c r="D589" s="3"/>
      <c r="E589" s="3"/>
      <c r="F589" s="89"/>
      <c r="G589" s="3"/>
      <c r="H589" s="89"/>
      <c r="I589" s="90"/>
      <c r="K589" s="31"/>
    </row>
    <row r="590" spans="2:11" s="13" customFormat="1" x14ac:dyDescent="0.2">
      <c r="B590" s="3"/>
      <c r="C590" s="3"/>
      <c r="D590" s="3"/>
      <c r="E590" s="3"/>
      <c r="F590" s="89"/>
      <c r="G590" s="3"/>
      <c r="H590" s="89"/>
      <c r="I590" s="90"/>
      <c r="K590" s="31"/>
    </row>
    <row r="591" spans="2:11" s="13" customFormat="1" x14ac:dyDescent="0.2">
      <c r="B591" s="3"/>
      <c r="C591" s="3"/>
      <c r="D591" s="3"/>
      <c r="E591" s="3"/>
      <c r="F591" s="89"/>
      <c r="G591" s="3"/>
      <c r="H591" s="89"/>
      <c r="I591" s="90"/>
      <c r="K591" s="31"/>
    </row>
    <row r="592" spans="2:11" s="13" customFormat="1" x14ac:dyDescent="0.2">
      <c r="B592" s="3"/>
      <c r="C592" s="3"/>
      <c r="D592" s="3"/>
      <c r="E592" s="3"/>
      <c r="F592" s="89"/>
      <c r="G592" s="3"/>
      <c r="H592" s="89"/>
      <c r="I592" s="90"/>
      <c r="K592" s="31"/>
    </row>
    <row r="593" spans="2:11" s="13" customFormat="1" x14ac:dyDescent="0.2">
      <c r="B593" s="3"/>
      <c r="C593" s="3"/>
      <c r="D593" s="3"/>
      <c r="E593" s="3"/>
      <c r="F593" s="89"/>
      <c r="G593" s="3"/>
      <c r="H593" s="89"/>
      <c r="I593" s="90"/>
      <c r="K593" s="31"/>
    </row>
    <row r="594" spans="2:11" s="13" customFormat="1" x14ac:dyDescent="0.2">
      <c r="B594" s="3"/>
      <c r="C594" s="3"/>
      <c r="D594" s="3"/>
      <c r="E594" s="3"/>
      <c r="F594" s="89"/>
      <c r="G594" s="3"/>
      <c r="H594" s="89"/>
      <c r="I594" s="90"/>
      <c r="K594" s="31"/>
    </row>
    <row r="595" spans="2:11" s="13" customFormat="1" x14ac:dyDescent="0.2">
      <c r="B595" s="3"/>
      <c r="C595" s="3"/>
      <c r="D595" s="3"/>
      <c r="E595" s="3"/>
      <c r="F595" s="89"/>
      <c r="G595" s="3"/>
      <c r="H595" s="89"/>
      <c r="I595" s="90"/>
      <c r="K595" s="31"/>
    </row>
    <row r="596" spans="2:11" s="13" customFormat="1" x14ac:dyDescent="0.2">
      <c r="B596" s="3"/>
      <c r="C596" s="3"/>
      <c r="D596" s="3"/>
      <c r="E596" s="3"/>
      <c r="F596" s="89"/>
      <c r="G596" s="3"/>
      <c r="H596" s="89"/>
      <c r="I596" s="90"/>
      <c r="K596" s="31"/>
    </row>
    <row r="597" spans="2:11" s="13" customFormat="1" x14ac:dyDescent="0.2">
      <c r="B597" s="3"/>
      <c r="C597" s="3"/>
      <c r="D597" s="3"/>
      <c r="E597" s="3"/>
      <c r="F597" s="89"/>
      <c r="G597" s="3"/>
      <c r="H597" s="89"/>
      <c r="I597" s="90"/>
      <c r="K597" s="31"/>
    </row>
    <row r="598" spans="2:11" s="13" customFormat="1" x14ac:dyDescent="0.2">
      <c r="B598" s="3"/>
      <c r="C598" s="3"/>
      <c r="D598" s="3"/>
      <c r="E598" s="3"/>
      <c r="F598" s="89"/>
      <c r="G598" s="3"/>
      <c r="H598" s="89"/>
      <c r="I598" s="90"/>
      <c r="K598" s="31"/>
    </row>
    <row r="599" spans="2:11" s="13" customFormat="1" x14ac:dyDescent="0.2">
      <c r="B599" s="3"/>
      <c r="C599" s="3"/>
      <c r="D599" s="3"/>
      <c r="E599" s="3"/>
      <c r="F599" s="89"/>
      <c r="G599" s="3"/>
      <c r="H599" s="89"/>
      <c r="I599" s="90"/>
      <c r="K599" s="31"/>
    </row>
    <row r="600" spans="2:11" s="13" customFormat="1" x14ac:dyDescent="0.2">
      <c r="B600" s="3"/>
      <c r="C600" s="3"/>
      <c r="D600" s="3"/>
      <c r="E600" s="3"/>
      <c r="F600" s="89"/>
      <c r="G600" s="3"/>
      <c r="H600" s="89"/>
      <c r="I600" s="90"/>
      <c r="K600" s="31"/>
    </row>
    <row r="601" spans="2:11" s="13" customFormat="1" x14ac:dyDescent="0.2">
      <c r="B601" s="3"/>
      <c r="C601" s="3"/>
      <c r="D601" s="3"/>
      <c r="E601" s="3"/>
      <c r="F601" s="89"/>
      <c r="G601" s="3"/>
      <c r="H601" s="89"/>
      <c r="I601" s="90"/>
      <c r="K601" s="31"/>
    </row>
    <row r="602" spans="2:11" s="13" customFormat="1" x14ac:dyDescent="0.2">
      <c r="B602" s="3"/>
      <c r="C602" s="3"/>
      <c r="D602" s="3"/>
      <c r="E602" s="3"/>
      <c r="F602" s="89"/>
      <c r="G602" s="3"/>
      <c r="H602" s="89"/>
      <c r="I602" s="90"/>
      <c r="K602" s="31"/>
    </row>
    <row r="603" spans="2:11" s="13" customFormat="1" x14ac:dyDescent="0.2">
      <c r="B603" s="3"/>
      <c r="C603" s="3"/>
      <c r="D603" s="3"/>
      <c r="E603" s="3"/>
      <c r="F603" s="89"/>
      <c r="G603" s="3"/>
      <c r="H603" s="89"/>
      <c r="I603" s="90"/>
      <c r="K603" s="31"/>
    </row>
    <row r="604" spans="2:11" s="13" customFormat="1" x14ac:dyDescent="0.2">
      <c r="B604" s="3"/>
      <c r="C604" s="3"/>
      <c r="D604" s="3"/>
      <c r="E604" s="3"/>
      <c r="F604" s="89"/>
      <c r="G604" s="3"/>
      <c r="H604" s="89"/>
      <c r="I604" s="90"/>
      <c r="K604" s="31"/>
    </row>
    <row r="605" spans="2:11" s="13" customFormat="1" x14ac:dyDescent="0.2">
      <c r="B605" s="3"/>
      <c r="C605" s="3"/>
      <c r="D605" s="3"/>
      <c r="E605" s="3"/>
      <c r="F605" s="89"/>
      <c r="G605" s="3"/>
      <c r="H605" s="89"/>
      <c r="I605" s="90"/>
      <c r="K605" s="31"/>
    </row>
    <row r="606" spans="2:11" s="13" customFormat="1" x14ac:dyDescent="0.2">
      <c r="B606" s="3"/>
      <c r="C606" s="3"/>
      <c r="D606" s="3"/>
      <c r="E606" s="3"/>
      <c r="F606" s="89"/>
      <c r="G606" s="3"/>
      <c r="H606" s="89"/>
      <c r="I606" s="90"/>
      <c r="K606" s="31"/>
    </row>
    <row r="607" spans="2:11" s="13" customFormat="1" x14ac:dyDescent="0.2">
      <c r="B607" s="3"/>
      <c r="C607" s="3"/>
      <c r="D607" s="3"/>
      <c r="E607" s="3"/>
      <c r="F607" s="89"/>
      <c r="G607" s="3"/>
      <c r="H607" s="89"/>
      <c r="I607" s="90"/>
      <c r="K607" s="31"/>
    </row>
    <row r="608" spans="2:11" s="13" customFormat="1" x14ac:dyDescent="0.2">
      <c r="B608" s="3"/>
      <c r="C608" s="3"/>
      <c r="D608" s="3"/>
      <c r="E608" s="3"/>
      <c r="F608" s="89"/>
      <c r="G608" s="3"/>
      <c r="H608" s="89"/>
      <c r="I608" s="90"/>
      <c r="K608" s="31"/>
    </row>
    <row r="609" spans="2:11" s="13" customFormat="1" x14ac:dyDescent="0.2">
      <c r="B609" s="3"/>
      <c r="C609" s="3"/>
      <c r="D609" s="3"/>
      <c r="E609" s="3"/>
      <c r="F609" s="89"/>
      <c r="G609" s="3"/>
      <c r="H609" s="89"/>
      <c r="I609" s="90"/>
      <c r="K609" s="31"/>
    </row>
    <row r="610" spans="2:11" s="13" customFormat="1" x14ac:dyDescent="0.2">
      <c r="B610" s="3"/>
      <c r="C610" s="3"/>
      <c r="D610" s="3"/>
      <c r="E610" s="3"/>
      <c r="F610" s="89"/>
      <c r="G610" s="3"/>
      <c r="H610" s="89"/>
      <c r="I610" s="90"/>
      <c r="K610" s="31"/>
    </row>
    <row r="611" spans="2:11" s="13" customFormat="1" x14ac:dyDescent="0.2">
      <c r="B611" s="3"/>
      <c r="C611" s="3"/>
      <c r="D611" s="3"/>
      <c r="E611" s="3"/>
      <c r="F611" s="89"/>
      <c r="G611" s="3"/>
      <c r="H611" s="89"/>
      <c r="I611" s="90"/>
      <c r="K611" s="31"/>
    </row>
    <row r="612" spans="2:11" s="13" customFormat="1" x14ac:dyDescent="0.2">
      <c r="B612" s="3"/>
      <c r="C612" s="3"/>
      <c r="D612" s="3"/>
      <c r="E612" s="3"/>
      <c r="F612" s="89"/>
      <c r="G612" s="3"/>
      <c r="H612" s="89"/>
      <c r="I612" s="90"/>
      <c r="K612" s="31"/>
    </row>
    <row r="613" spans="2:11" s="13" customFormat="1" x14ac:dyDescent="0.2">
      <c r="B613" s="3"/>
      <c r="C613" s="3"/>
      <c r="D613" s="3"/>
      <c r="E613" s="3"/>
      <c r="F613" s="89"/>
      <c r="G613" s="3"/>
      <c r="H613" s="89"/>
      <c r="I613" s="90"/>
      <c r="K613" s="31"/>
    </row>
    <row r="614" spans="2:11" s="13" customFormat="1" x14ac:dyDescent="0.2">
      <c r="B614" s="3"/>
      <c r="C614" s="3"/>
      <c r="D614" s="3"/>
      <c r="E614" s="3"/>
      <c r="F614" s="89"/>
      <c r="G614" s="3"/>
      <c r="H614" s="89"/>
      <c r="I614" s="90"/>
      <c r="K614" s="31"/>
    </row>
    <row r="615" spans="2:11" s="13" customFormat="1" x14ac:dyDescent="0.2">
      <c r="B615" s="3"/>
      <c r="C615" s="3"/>
      <c r="D615" s="3"/>
      <c r="E615" s="3"/>
      <c r="F615" s="89"/>
      <c r="G615" s="3"/>
      <c r="H615" s="89"/>
      <c r="I615" s="90"/>
      <c r="K615" s="31"/>
    </row>
    <row r="616" spans="2:11" s="13" customFormat="1" x14ac:dyDescent="0.2">
      <c r="B616" s="3"/>
      <c r="C616" s="3"/>
      <c r="D616" s="3"/>
      <c r="E616" s="3"/>
      <c r="F616" s="89"/>
      <c r="G616" s="3"/>
      <c r="H616" s="89"/>
      <c r="I616" s="90"/>
      <c r="K616" s="31"/>
    </row>
    <row r="617" spans="2:11" s="13" customFormat="1" x14ac:dyDescent="0.2">
      <c r="B617" s="3"/>
      <c r="C617" s="3"/>
      <c r="D617" s="3"/>
      <c r="E617" s="3"/>
      <c r="F617" s="89"/>
      <c r="G617" s="3"/>
      <c r="H617" s="89"/>
      <c r="I617" s="90"/>
      <c r="K617" s="31"/>
    </row>
    <row r="618" spans="2:11" s="13" customFormat="1" x14ac:dyDescent="0.2">
      <c r="B618" s="3"/>
      <c r="C618" s="3"/>
      <c r="D618" s="3"/>
      <c r="E618" s="3"/>
      <c r="F618" s="89"/>
      <c r="G618" s="3"/>
      <c r="H618" s="89"/>
      <c r="I618" s="90"/>
      <c r="K618" s="31"/>
    </row>
    <row r="619" spans="2:11" s="13" customFormat="1" x14ac:dyDescent="0.2">
      <c r="B619" s="3"/>
      <c r="C619" s="3"/>
      <c r="D619" s="3"/>
      <c r="E619" s="3"/>
      <c r="F619" s="89"/>
      <c r="G619" s="3"/>
      <c r="H619" s="89"/>
      <c r="I619" s="90"/>
      <c r="K619" s="31"/>
    </row>
    <row r="620" spans="2:11" s="13" customFormat="1" x14ac:dyDescent="0.2">
      <c r="B620" s="3"/>
      <c r="C620" s="3"/>
      <c r="D620" s="3"/>
      <c r="E620" s="3"/>
      <c r="F620" s="89"/>
      <c r="G620" s="3"/>
      <c r="H620" s="89"/>
      <c r="I620" s="90"/>
      <c r="K620" s="31"/>
    </row>
    <row r="621" spans="2:11" s="13" customFormat="1" x14ac:dyDescent="0.2">
      <c r="B621" s="3"/>
      <c r="C621" s="3"/>
      <c r="D621" s="3"/>
      <c r="E621" s="3"/>
      <c r="F621" s="89"/>
      <c r="G621" s="3"/>
      <c r="H621" s="89"/>
      <c r="I621" s="90"/>
      <c r="K621" s="31"/>
    </row>
    <row r="622" spans="2:11" s="13" customFormat="1" x14ac:dyDescent="0.2">
      <c r="B622" s="3"/>
      <c r="C622" s="3"/>
      <c r="D622" s="3"/>
      <c r="E622" s="3"/>
      <c r="F622" s="89"/>
      <c r="G622" s="3"/>
      <c r="H622" s="89"/>
      <c r="I622" s="90"/>
      <c r="K622" s="31"/>
    </row>
    <row r="623" spans="2:11" s="13" customFormat="1" x14ac:dyDescent="0.2">
      <c r="B623" s="3"/>
      <c r="C623" s="3"/>
      <c r="D623" s="3"/>
      <c r="E623" s="3"/>
      <c r="F623" s="89"/>
      <c r="G623" s="3"/>
      <c r="H623" s="89"/>
      <c r="I623" s="90"/>
      <c r="K623" s="31"/>
    </row>
    <row r="624" spans="2:11" s="13" customFormat="1" x14ac:dyDescent="0.2">
      <c r="B624" s="3"/>
      <c r="C624" s="3"/>
      <c r="D624" s="3"/>
      <c r="E624" s="3"/>
      <c r="F624" s="89"/>
      <c r="G624" s="3"/>
      <c r="H624" s="89"/>
      <c r="I624" s="90"/>
      <c r="K624" s="31"/>
    </row>
    <row r="625" spans="2:11" s="13" customFormat="1" x14ac:dyDescent="0.2">
      <c r="B625" s="3"/>
      <c r="C625" s="3"/>
      <c r="D625" s="3"/>
      <c r="E625" s="3"/>
      <c r="F625" s="89"/>
      <c r="G625" s="3"/>
      <c r="H625" s="89"/>
      <c r="I625" s="90"/>
      <c r="K625" s="31"/>
    </row>
    <row r="626" spans="2:11" s="13" customFormat="1" x14ac:dyDescent="0.2">
      <c r="B626" s="3"/>
      <c r="C626" s="3"/>
      <c r="D626" s="3"/>
      <c r="E626" s="3"/>
      <c r="F626" s="89"/>
      <c r="G626" s="3"/>
      <c r="H626" s="89"/>
      <c r="I626" s="90"/>
      <c r="K626" s="31"/>
    </row>
    <row r="627" spans="2:11" s="13" customFormat="1" x14ac:dyDescent="0.2">
      <c r="B627" s="3"/>
      <c r="C627" s="3"/>
      <c r="D627" s="3"/>
      <c r="E627" s="3"/>
      <c r="F627" s="89"/>
      <c r="G627" s="3"/>
      <c r="H627" s="89"/>
      <c r="I627" s="90"/>
      <c r="K627" s="31"/>
    </row>
    <row r="628" spans="2:11" s="13" customFormat="1" x14ac:dyDescent="0.2">
      <c r="B628" s="3"/>
      <c r="C628" s="3"/>
      <c r="D628" s="3"/>
      <c r="E628" s="3"/>
      <c r="F628" s="89"/>
      <c r="G628" s="3"/>
      <c r="H628" s="89"/>
      <c r="I628" s="90"/>
      <c r="K628" s="31"/>
    </row>
    <row r="629" spans="2:11" s="13" customFormat="1" x14ac:dyDescent="0.2">
      <c r="B629" s="3"/>
      <c r="C629" s="3"/>
      <c r="D629" s="3"/>
      <c r="E629" s="3"/>
      <c r="F629" s="89"/>
      <c r="G629" s="3"/>
      <c r="H629" s="89"/>
      <c r="I629" s="90"/>
      <c r="K629" s="31"/>
    </row>
    <row r="630" spans="2:11" s="13" customFormat="1" x14ac:dyDescent="0.2">
      <c r="B630" s="3"/>
      <c r="C630" s="3"/>
      <c r="D630" s="3"/>
      <c r="E630" s="3"/>
      <c r="F630" s="89"/>
      <c r="G630" s="3"/>
      <c r="H630" s="89"/>
      <c r="I630" s="90"/>
      <c r="K630" s="31"/>
    </row>
    <row r="631" spans="2:11" s="13" customFormat="1" x14ac:dyDescent="0.2">
      <c r="B631" s="3"/>
      <c r="C631" s="3"/>
      <c r="D631" s="3"/>
      <c r="E631" s="3"/>
      <c r="F631" s="89"/>
      <c r="G631" s="3"/>
      <c r="H631" s="89"/>
      <c r="I631" s="90"/>
      <c r="K631" s="31"/>
    </row>
    <row r="632" spans="2:11" s="13" customFormat="1" x14ac:dyDescent="0.2">
      <c r="B632" s="3"/>
      <c r="C632" s="3"/>
      <c r="D632" s="3"/>
      <c r="E632" s="3"/>
      <c r="F632" s="89"/>
      <c r="G632" s="3"/>
      <c r="H632" s="89"/>
      <c r="I632" s="90"/>
      <c r="K632" s="31"/>
    </row>
    <row r="633" spans="2:11" s="13" customFormat="1" x14ac:dyDescent="0.2">
      <c r="B633" s="3"/>
      <c r="C633" s="3"/>
      <c r="D633" s="3"/>
      <c r="E633" s="3"/>
      <c r="F633" s="89"/>
      <c r="G633" s="3"/>
      <c r="H633" s="89"/>
      <c r="I633" s="90"/>
      <c r="K633" s="31"/>
    </row>
    <row r="634" spans="2:11" s="13" customFormat="1" x14ac:dyDescent="0.2">
      <c r="B634" s="3"/>
      <c r="C634" s="3"/>
      <c r="D634" s="3"/>
      <c r="E634" s="3"/>
      <c r="F634" s="89"/>
      <c r="G634" s="3"/>
      <c r="H634" s="89"/>
      <c r="I634" s="90"/>
      <c r="K634" s="31"/>
    </row>
    <row r="635" spans="2:11" s="13" customFormat="1" x14ac:dyDescent="0.2">
      <c r="B635" s="3"/>
      <c r="C635" s="3"/>
      <c r="D635" s="3"/>
      <c r="E635" s="3"/>
      <c r="F635" s="89"/>
      <c r="G635" s="3"/>
      <c r="H635" s="89"/>
      <c r="I635" s="90"/>
      <c r="K635" s="31"/>
    </row>
    <row r="636" spans="2:11" s="13" customFormat="1" x14ac:dyDescent="0.2">
      <c r="B636" s="3"/>
      <c r="C636" s="3"/>
      <c r="D636" s="3"/>
      <c r="E636" s="3"/>
      <c r="F636" s="89"/>
      <c r="G636" s="3"/>
      <c r="H636" s="89"/>
      <c r="I636" s="90"/>
      <c r="K636" s="31"/>
    </row>
    <row r="637" spans="2:11" s="13" customFormat="1" x14ac:dyDescent="0.2">
      <c r="B637" s="3"/>
      <c r="C637" s="3"/>
      <c r="D637" s="3"/>
      <c r="E637" s="3"/>
      <c r="F637" s="89"/>
      <c r="G637" s="3"/>
      <c r="H637" s="89"/>
      <c r="I637" s="90"/>
      <c r="K637" s="31"/>
    </row>
    <row r="638" spans="2:11" s="13" customFormat="1" x14ac:dyDescent="0.2">
      <c r="B638" s="3"/>
      <c r="C638" s="3"/>
      <c r="D638" s="3"/>
      <c r="E638" s="3"/>
      <c r="F638" s="89"/>
      <c r="G638" s="3"/>
      <c r="H638" s="89"/>
      <c r="I638" s="90"/>
      <c r="K638" s="31"/>
    </row>
    <row r="639" spans="2:11" s="13" customFormat="1" x14ac:dyDescent="0.2">
      <c r="B639" s="3"/>
      <c r="C639" s="3"/>
      <c r="D639" s="3"/>
      <c r="E639" s="3"/>
      <c r="F639" s="89"/>
      <c r="G639" s="3"/>
      <c r="H639" s="89"/>
      <c r="I639" s="90"/>
      <c r="K639" s="31"/>
    </row>
    <row r="640" spans="2:11" s="13" customFormat="1" x14ac:dyDescent="0.2">
      <c r="B640" s="3"/>
      <c r="C640" s="3"/>
      <c r="D640" s="3"/>
      <c r="E640" s="3"/>
      <c r="F640" s="89"/>
      <c r="G640" s="3"/>
      <c r="H640" s="89"/>
      <c r="I640" s="90"/>
      <c r="K640" s="31"/>
    </row>
    <row r="641" spans="2:11" s="13" customFormat="1" x14ac:dyDescent="0.2">
      <c r="B641" s="3"/>
      <c r="C641" s="3"/>
      <c r="D641" s="3"/>
      <c r="E641" s="3"/>
      <c r="F641" s="89"/>
      <c r="G641" s="3"/>
      <c r="H641" s="89"/>
      <c r="I641" s="90"/>
      <c r="K641" s="31"/>
    </row>
    <row r="642" spans="2:11" s="13" customFormat="1" x14ac:dyDescent="0.2">
      <c r="B642" s="3"/>
      <c r="C642" s="3"/>
      <c r="D642" s="3"/>
      <c r="E642" s="3"/>
      <c r="F642" s="89"/>
      <c r="G642" s="3"/>
      <c r="H642" s="89"/>
      <c r="I642" s="90"/>
      <c r="K642" s="31"/>
    </row>
    <row r="643" spans="2:11" s="13" customFormat="1" x14ac:dyDescent="0.2">
      <c r="B643" s="3"/>
      <c r="C643" s="3"/>
      <c r="D643" s="3"/>
      <c r="E643" s="3"/>
      <c r="F643" s="89"/>
      <c r="G643" s="3"/>
      <c r="H643" s="89"/>
      <c r="I643" s="90"/>
      <c r="K643" s="31"/>
    </row>
    <row r="644" spans="2:11" s="13" customFormat="1" x14ac:dyDescent="0.2">
      <c r="B644" s="3"/>
      <c r="C644" s="3"/>
      <c r="D644" s="3"/>
      <c r="E644" s="3"/>
      <c r="F644" s="89"/>
      <c r="G644" s="3"/>
      <c r="H644" s="89"/>
      <c r="I644" s="90"/>
      <c r="K644" s="31"/>
    </row>
    <row r="645" spans="2:11" s="13" customFormat="1" x14ac:dyDescent="0.2">
      <c r="B645" s="3"/>
      <c r="C645" s="3"/>
      <c r="D645" s="3"/>
      <c r="E645" s="3"/>
      <c r="F645" s="89"/>
      <c r="G645" s="3"/>
      <c r="H645" s="89"/>
      <c r="I645" s="90"/>
      <c r="K645" s="31"/>
    </row>
    <row r="646" spans="2:11" s="13" customFormat="1" x14ac:dyDescent="0.2">
      <c r="B646" s="3"/>
      <c r="C646" s="3"/>
      <c r="D646" s="3"/>
      <c r="E646" s="3"/>
      <c r="F646" s="89"/>
      <c r="G646" s="3"/>
      <c r="H646" s="89"/>
      <c r="I646" s="90"/>
      <c r="K646" s="31"/>
    </row>
    <row r="647" spans="2:11" s="13" customFormat="1" x14ac:dyDescent="0.2">
      <c r="B647" s="3"/>
      <c r="C647" s="3"/>
      <c r="D647" s="3"/>
      <c r="E647" s="3"/>
      <c r="F647" s="89"/>
      <c r="G647" s="3"/>
      <c r="H647" s="89"/>
      <c r="I647" s="90"/>
      <c r="K647" s="31"/>
    </row>
    <row r="648" spans="2:11" s="13" customFormat="1" x14ac:dyDescent="0.2">
      <c r="B648" s="3"/>
      <c r="C648" s="3"/>
      <c r="D648" s="3"/>
      <c r="E648" s="3"/>
      <c r="F648" s="89"/>
      <c r="G648" s="3"/>
      <c r="H648" s="89"/>
      <c r="I648" s="90"/>
      <c r="K648" s="31"/>
    </row>
    <row r="649" spans="2:11" s="13" customFormat="1" x14ac:dyDescent="0.2">
      <c r="B649" s="3"/>
      <c r="C649" s="3"/>
      <c r="D649" s="3"/>
      <c r="E649" s="3"/>
      <c r="F649" s="89"/>
      <c r="G649" s="3"/>
      <c r="H649" s="89"/>
      <c r="I649" s="90"/>
      <c r="K649" s="31"/>
    </row>
    <row r="650" spans="2:11" s="13" customFormat="1" x14ac:dyDescent="0.2">
      <c r="B650" s="3"/>
      <c r="C650" s="3"/>
      <c r="D650" s="3"/>
      <c r="E650" s="3"/>
      <c r="F650" s="89"/>
      <c r="G650" s="3"/>
      <c r="H650" s="89"/>
      <c r="I650" s="90"/>
      <c r="K650" s="31"/>
    </row>
    <row r="651" spans="2:11" s="13" customFormat="1" x14ac:dyDescent="0.2">
      <c r="B651" s="3"/>
      <c r="C651" s="3"/>
      <c r="D651" s="3"/>
      <c r="E651" s="3"/>
      <c r="F651" s="89"/>
      <c r="G651" s="3"/>
      <c r="H651" s="89"/>
      <c r="I651" s="90"/>
      <c r="K651" s="31"/>
    </row>
    <row r="652" spans="2:11" s="13" customFormat="1" x14ac:dyDescent="0.2">
      <c r="B652" s="3"/>
      <c r="C652" s="3"/>
      <c r="D652" s="3"/>
      <c r="E652" s="3"/>
      <c r="F652" s="89"/>
      <c r="G652" s="3"/>
      <c r="H652" s="89"/>
      <c r="I652" s="90"/>
      <c r="K652" s="31"/>
    </row>
    <row r="653" spans="2:11" s="13" customFormat="1" x14ac:dyDescent="0.2">
      <c r="B653" s="3"/>
      <c r="C653" s="3"/>
      <c r="D653" s="3"/>
      <c r="E653" s="3"/>
      <c r="F653" s="89"/>
      <c r="G653" s="3"/>
      <c r="H653" s="89"/>
      <c r="I653" s="90"/>
      <c r="K653" s="31"/>
    </row>
    <row r="654" spans="2:11" s="13" customFormat="1" x14ac:dyDescent="0.2">
      <c r="B654" s="3"/>
      <c r="C654" s="3"/>
      <c r="D654" s="3"/>
      <c r="E654" s="3"/>
      <c r="F654" s="89"/>
      <c r="G654" s="3"/>
      <c r="H654" s="89"/>
      <c r="I654" s="90"/>
      <c r="K654" s="31"/>
    </row>
    <row r="655" spans="2:11" s="13" customFormat="1" x14ac:dyDescent="0.2">
      <c r="B655" s="3"/>
      <c r="C655" s="3"/>
      <c r="D655" s="3"/>
      <c r="E655" s="3"/>
      <c r="F655" s="89"/>
      <c r="G655" s="3"/>
      <c r="H655" s="89"/>
      <c r="I655" s="90"/>
      <c r="K655" s="31"/>
    </row>
    <row r="656" spans="2:11" s="13" customFormat="1" x14ac:dyDescent="0.2">
      <c r="B656" s="3"/>
      <c r="C656" s="3"/>
      <c r="D656" s="3"/>
      <c r="E656" s="3"/>
      <c r="F656" s="89"/>
      <c r="G656" s="3"/>
      <c r="H656" s="89"/>
      <c r="I656" s="90"/>
      <c r="K656" s="31"/>
    </row>
    <row r="657" spans="2:11" s="13" customFormat="1" x14ac:dyDescent="0.2">
      <c r="B657" s="3"/>
      <c r="C657" s="3"/>
      <c r="D657" s="3"/>
      <c r="E657" s="3"/>
      <c r="F657" s="89"/>
      <c r="G657" s="3"/>
      <c r="H657" s="89"/>
      <c r="I657" s="90"/>
      <c r="K657" s="31"/>
    </row>
    <row r="658" spans="2:11" s="13" customFormat="1" x14ac:dyDescent="0.2">
      <c r="B658" s="3"/>
      <c r="C658" s="3"/>
      <c r="D658" s="3"/>
      <c r="E658" s="3"/>
      <c r="F658" s="89"/>
      <c r="G658" s="3"/>
      <c r="H658" s="89"/>
      <c r="I658" s="90"/>
      <c r="K658" s="31"/>
    </row>
    <row r="659" spans="2:11" s="13" customFormat="1" x14ac:dyDescent="0.2">
      <c r="B659" s="3"/>
      <c r="C659" s="3"/>
      <c r="D659" s="3"/>
      <c r="E659" s="3"/>
      <c r="F659" s="89"/>
      <c r="G659" s="3"/>
      <c r="H659" s="89"/>
      <c r="I659" s="90"/>
      <c r="K659" s="31"/>
    </row>
    <row r="660" spans="2:11" s="13" customFormat="1" x14ac:dyDescent="0.2">
      <c r="B660" s="3"/>
      <c r="C660" s="3"/>
      <c r="D660" s="3"/>
      <c r="E660" s="3"/>
      <c r="F660" s="89"/>
      <c r="G660" s="3"/>
      <c r="H660" s="89"/>
      <c r="I660" s="90"/>
      <c r="K660" s="31"/>
    </row>
    <row r="661" spans="2:11" s="13" customFormat="1" x14ac:dyDescent="0.2">
      <c r="B661" s="3"/>
      <c r="C661" s="3"/>
      <c r="D661" s="3"/>
      <c r="E661" s="3"/>
      <c r="F661" s="89"/>
      <c r="G661" s="3"/>
      <c r="H661" s="89"/>
      <c r="I661" s="90"/>
      <c r="K661" s="31"/>
    </row>
    <row r="662" spans="2:11" s="13" customFormat="1" x14ac:dyDescent="0.2">
      <c r="B662" s="3"/>
      <c r="C662" s="3"/>
      <c r="D662" s="3"/>
      <c r="E662" s="3"/>
      <c r="F662" s="89"/>
      <c r="G662" s="3"/>
      <c r="H662" s="89"/>
      <c r="I662" s="90"/>
      <c r="K662" s="31"/>
    </row>
    <row r="663" spans="2:11" s="13" customFormat="1" x14ac:dyDescent="0.2">
      <c r="B663" s="3"/>
      <c r="C663" s="3"/>
      <c r="D663" s="3"/>
      <c r="E663" s="3"/>
      <c r="F663" s="89"/>
      <c r="G663" s="3"/>
      <c r="H663" s="89"/>
      <c r="I663" s="90"/>
      <c r="K663" s="31"/>
    </row>
    <row r="664" spans="2:11" s="13" customFormat="1" x14ac:dyDescent="0.2">
      <c r="B664" s="3"/>
      <c r="C664" s="3"/>
      <c r="D664" s="3"/>
      <c r="E664" s="3"/>
      <c r="F664" s="89"/>
      <c r="G664" s="3"/>
      <c r="H664" s="89"/>
      <c r="I664" s="90"/>
      <c r="K664" s="31"/>
    </row>
    <row r="665" spans="2:11" s="13" customFormat="1" x14ac:dyDescent="0.2">
      <c r="B665" s="3"/>
      <c r="C665" s="3"/>
      <c r="D665" s="3"/>
      <c r="E665" s="3"/>
      <c r="F665" s="89"/>
      <c r="G665" s="3"/>
      <c r="H665" s="89"/>
      <c r="I665" s="90"/>
      <c r="K665" s="31"/>
    </row>
    <row r="666" spans="2:11" s="13" customFormat="1" x14ac:dyDescent="0.2">
      <c r="B666" s="3"/>
      <c r="C666" s="3"/>
      <c r="D666" s="3"/>
      <c r="E666" s="3"/>
      <c r="F666" s="89"/>
      <c r="G666" s="3"/>
      <c r="H666" s="89"/>
      <c r="I666" s="90"/>
      <c r="K666" s="31"/>
    </row>
    <row r="667" spans="2:11" s="13" customFormat="1" x14ac:dyDescent="0.2">
      <c r="B667" s="3"/>
      <c r="C667" s="3"/>
      <c r="D667" s="3"/>
      <c r="E667" s="3"/>
      <c r="F667" s="89"/>
      <c r="G667" s="3"/>
      <c r="H667" s="89"/>
      <c r="I667" s="90"/>
      <c r="K667" s="31"/>
    </row>
    <row r="668" spans="2:11" s="13" customFormat="1" x14ac:dyDescent="0.2">
      <c r="B668" s="3"/>
      <c r="C668" s="3"/>
      <c r="D668" s="3"/>
      <c r="E668" s="3"/>
      <c r="F668" s="89"/>
      <c r="G668" s="3"/>
      <c r="H668" s="89"/>
      <c r="I668" s="90"/>
      <c r="K668" s="31"/>
    </row>
    <row r="669" spans="2:11" s="13" customFormat="1" x14ac:dyDescent="0.2">
      <c r="B669" s="3"/>
      <c r="C669" s="3"/>
      <c r="D669" s="3"/>
      <c r="E669" s="3"/>
      <c r="F669" s="89"/>
      <c r="G669" s="3"/>
      <c r="H669" s="89"/>
      <c r="I669" s="90"/>
      <c r="K669" s="31"/>
    </row>
    <row r="670" spans="2:11" s="13" customFormat="1" x14ac:dyDescent="0.2">
      <c r="B670" s="3"/>
      <c r="C670" s="3"/>
      <c r="D670" s="3"/>
      <c r="E670" s="3"/>
      <c r="F670" s="89"/>
      <c r="G670" s="3"/>
      <c r="H670" s="89"/>
      <c r="I670" s="90"/>
      <c r="K670" s="31"/>
    </row>
    <row r="671" spans="2:11" s="13" customFormat="1" x14ac:dyDescent="0.2">
      <c r="B671" s="3"/>
      <c r="C671" s="3"/>
      <c r="D671" s="3"/>
      <c r="E671" s="3"/>
      <c r="F671" s="89"/>
      <c r="G671" s="3"/>
      <c r="H671" s="89"/>
      <c r="I671" s="90"/>
      <c r="K671" s="31"/>
    </row>
    <row r="672" spans="2:11" s="13" customFormat="1" x14ac:dyDescent="0.2">
      <c r="B672" s="3"/>
      <c r="C672" s="3"/>
      <c r="D672" s="3"/>
      <c r="E672" s="3"/>
      <c r="F672" s="89"/>
      <c r="G672" s="3"/>
      <c r="H672" s="89"/>
      <c r="I672" s="90"/>
      <c r="K672" s="31"/>
    </row>
    <row r="673" spans="2:11" s="13" customFormat="1" x14ac:dyDescent="0.2">
      <c r="B673" s="3"/>
      <c r="C673" s="3"/>
      <c r="D673" s="3"/>
      <c r="E673" s="3"/>
      <c r="F673" s="89"/>
      <c r="G673" s="3"/>
      <c r="H673" s="89"/>
      <c r="I673" s="90"/>
      <c r="K673" s="31"/>
    </row>
    <row r="674" spans="2:11" s="13" customFormat="1" x14ac:dyDescent="0.2">
      <c r="B674" s="3"/>
      <c r="C674" s="3"/>
      <c r="D674" s="3"/>
      <c r="E674" s="3"/>
      <c r="F674" s="89"/>
      <c r="G674" s="3"/>
      <c r="H674" s="89"/>
      <c r="I674" s="90"/>
      <c r="K674" s="31"/>
    </row>
    <row r="675" spans="2:11" s="13" customFormat="1" x14ac:dyDescent="0.2">
      <c r="B675" s="3"/>
      <c r="C675" s="3"/>
      <c r="D675" s="3"/>
      <c r="E675" s="3"/>
      <c r="F675" s="89"/>
      <c r="G675" s="3"/>
      <c r="H675" s="89"/>
      <c r="I675" s="90"/>
      <c r="K675" s="31"/>
    </row>
    <row r="676" spans="2:11" s="13" customFormat="1" x14ac:dyDescent="0.2">
      <c r="B676" s="3"/>
      <c r="C676" s="3"/>
      <c r="D676" s="3"/>
      <c r="E676" s="3"/>
      <c r="F676" s="89"/>
      <c r="G676" s="3"/>
      <c r="H676" s="89"/>
      <c r="I676" s="90"/>
      <c r="K676" s="31"/>
    </row>
    <row r="677" spans="2:11" s="13" customFormat="1" x14ac:dyDescent="0.2">
      <c r="B677" s="3"/>
      <c r="C677" s="3"/>
      <c r="D677" s="3"/>
      <c r="E677" s="3"/>
      <c r="F677" s="89"/>
      <c r="G677" s="3"/>
      <c r="H677" s="89"/>
      <c r="I677" s="90"/>
      <c r="K677" s="31"/>
    </row>
    <row r="678" spans="2:11" s="13" customFormat="1" x14ac:dyDescent="0.2">
      <c r="B678" s="3"/>
      <c r="C678" s="3"/>
      <c r="D678" s="3"/>
      <c r="E678" s="3"/>
      <c r="F678" s="89"/>
      <c r="G678" s="3"/>
      <c r="H678" s="89"/>
      <c r="I678" s="90"/>
      <c r="K678" s="31"/>
    </row>
    <row r="679" spans="2:11" s="13" customFormat="1" x14ac:dyDescent="0.2">
      <c r="B679" s="3"/>
      <c r="C679" s="3"/>
      <c r="D679" s="3"/>
      <c r="E679" s="3"/>
      <c r="F679" s="89"/>
      <c r="G679" s="3"/>
      <c r="H679" s="89"/>
      <c r="I679" s="90"/>
      <c r="K679" s="31"/>
    </row>
    <row r="680" spans="2:11" s="13" customFormat="1" x14ac:dyDescent="0.2">
      <c r="B680" s="3"/>
      <c r="C680" s="3"/>
      <c r="D680" s="3"/>
      <c r="E680" s="3"/>
      <c r="F680" s="89"/>
      <c r="G680" s="3"/>
      <c r="H680" s="89"/>
      <c r="I680" s="90"/>
      <c r="K680" s="31"/>
    </row>
    <row r="681" spans="2:11" s="13" customFormat="1" x14ac:dyDescent="0.2">
      <c r="B681" s="3"/>
      <c r="C681" s="3"/>
      <c r="D681" s="3"/>
      <c r="E681" s="3"/>
      <c r="F681" s="89"/>
      <c r="G681" s="3"/>
      <c r="H681" s="89"/>
      <c r="I681" s="90"/>
      <c r="K681" s="31"/>
    </row>
    <row r="682" spans="2:11" s="13" customFormat="1" x14ac:dyDescent="0.2">
      <c r="B682" s="3"/>
      <c r="C682" s="3"/>
      <c r="D682" s="3"/>
      <c r="E682" s="3"/>
      <c r="F682" s="89"/>
      <c r="G682" s="3"/>
      <c r="H682" s="89"/>
      <c r="I682" s="90"/>
      <c r="K682" s="31"/>
    </row>
    <row r="683" spans="2:11" s="13" customFormat="1" x14ac:dyDescent="0.2">
      <c r="B683" s="3"/>
      <c r="C683" s="3"/>
      <c r="D683" s="3"/>
      <c r="E683" s="3"/>
      <c r="F683" s="89"/>
      <c r="G683" s="3"/>
      <c r="H683" s="89"/>
      <c r="I683" s="90"/>
      <c r="K683" s="31"/>
    </row>
    <row r="684" spans="2:11" s="13" customFormat="1" x14ac:dyDescent="0.2">
      <c r="B684" s="3"/>
      <c r="C684" s="3"/>
      <c r="D684" s="3"/>
      <c r="E684" s="3"/>
      <c r="F684" s="89"/>
      <c r="G684" s="3"/>
      <c r="H684" s="89"/>
      <c r="I684" s="90"/>
      <c r="K684" s="31"/>
    </row>
    <row r="685" spans="2:11" s="13" customFormat="1" x14ac:dyDescent="0.2">
      <c r="B685" s="3"/>
      <c r="C685" s="3"/>
      <c r="D685" s="3"/>
      <c r="E685" s="3"/>
      <c r="F685" s="89"/>
      <c r="G685" s="3"/>
      <c r="H685" s="89"/>
      <c r="I685" s="90"/>
      <c r="K685" s="31"/>
    </row>
    <row r="686" spans="2:11" s="13" customFormat="1" x14ac:dyDescent="0.2">
      <c r="B686" s="3"/>
      <c r="C686" s="3"/>
      <c r="D686" s="3"/>
      <c r="E686" s="3"/>
      <c r="F686" s="89"/>
      <c r="G686" s="3"/>
      <c r="H686" s="89"/>
      <c r="I686" s="90"/>
      <c r="K686" s="31"/>
    </row>
    <row r="687" spans="2:11" s="13" customFormat="1" x14ac:dyDescent="0.2">
      <c r="B687" s="3"/>
      <c r="C687" s="3"/>
      <c r="D687" s="3"/>
      <c r="E687" s="3"/>
      <c r="F687" s="89"/>
      <c r="G687" s="3"/>
      <c r="H687" s="89"/>
      <c r="I687" s="90"/>
      <c r="K687" s="31"/>
    </row>
    <row r="688" spans="2:11" s="13" customFormat="1" x14ac:dyDescent="0.2">
      <c r="B688" s="3"/>
      <c r="C688" s="3"/>
      <c r="D688" s="3"/>
      <c r="E688" s="3"/>
      <c r="F688" s="89"/>
      <c r="G688" s="3"/>
      <c r="H688" s="89"/>
      <c r="I688" s="90"/>
      <c r="K688" s="31"/>
    </row>
    <row r="689" spans="2:11" s="13" customFormat="1" x14ac:dyDescent="0.2">
      <c r="B689" s="3"/>
      <c r="C689" s="3"/>
      <c r="D689" s="3"/>
      <c r="E689" s="3"/>
      <c r="F689" s="89"/>
      <c r="G689" s="3"/>
      <c r="H689" s="89"/>
      <c r="I689" s="90"/>
      <c r="K689" s="31"/>
    </row>
    <row r="690" spans="2:11" s="13" customFormat="1" x14ac:dyDescent="0.2">
      <c r="B690" s="3"/>
      <c r="C690" s="3"/>
      <c r="D690" s="3"/>
      <c r="E690" s="3"/>
      <c r="F690" s="89"/>
      <c r="G690" s="3"/>
      <c r="H690" s="89"/>
      <c r="I690" s="90"/>
      <c r="K690" s="31"/>
    </row>
    <row r="691" spans="2:11" s="13" customFormat="1" x14ac:dyDescent="0.2">
      <c r="B691" s="3"/>
      <c r="C691" s="3"/>
      <c r="D691" s="3"/>
      <c r="E691" s="3"/>
      <c r="F691" s="89"/>
      <c r="G691" s="3"/>
      <c r="H691" s="89"/>
      <c r="I691" s="90"/>
      <c r="K691" s="31"/>
    </row>
    <row r="692" spans="2:11" s="13" customFormat="1" x14ac:dyDescent="0.2">
      <c r="B692" s="3"/>
      <c r="C692" s="3"/>
      <c r="D692" s="3"/>
      <c r="E692" s="3"/>
      <c r="F692" s="89"/>
      <c r="G692" s="3"/>
      <c r="H692" s="89"/>
      <c r="I692" s="90"/>
      <c r="K692" s="31"/>
    </row>
    <row r="693" spans="2:11" s="13" customFormat="1" x14ac:dyDescent="0.2">
      <c r="B693" s="3"/>
      <c r="C693" s="3"/>
      <c r="D693" s="3"/>
      <c r="E693" s="3"/>
      <c r="F693" s="89"/>
      <c r="G693" s="3"/>
      <c r="H693" s="89"/>
      <c r="I693" s="90"/>
      <c r="K693" s="31"/>
    </row>
    <row r="694" spans="2:11" s="13" customFormat="1" x14ac:dyDescent="0.2">
      <c r="B694" s="3"/>
      <c r="C694" s="3"/>
      <c r="D694" s="3"/>
      <c r="E694" s="3"/>
      <c r="F694" s="89"/>
      <c r="G694" s="3"/>
      <c r="H694" s="89"/>
      <c r="I694" s="90"/>
      <c r="K694" s="31"/>
    </row>
    <row r="695" spans="2:11" s="13" customFormat="1" x14ac:dyDescent="0.2">
      <c r="B695" s="3"/>
      <c r="C695" s="3"/>
      <c r="D695" s="3"/>
      <c r="E695" s="3"/>
      <c r="F695" s="89"/>
      <c r="G695" s="3"/>
      <c r="H695" s="89"/>
      <c r="I695" s="90"/>
      <c r="K695" s="31"/>
    </row>
    <row r="696" spans="2:11" s="13" customFormat="1" x14ac:dyDescent="0.2">
      <c r="B696" s="3"/>
      <c r="C696" s="3"/>
      <c r="D696" s="3"/>
      <c r="E696" s="3"/>
      <c r="F696" s="89"/>
      <c r="G696" s="3"/>
      <c r="H696" s="89"/>
      <c r="I696" s="90"/>
      <c r="K696" s="31"/>
    </row>
    <row r="697" spans="2:11" s="13" customFormat="1" x14ac:dyDescent="0.2">
      <c r="B697" s="3"/>
      <c r="C697" s="3"/>
      <c r="D697" s="3"/>
      <c r="E697" s="3"/>
      <c r="F697" s="89"/>
      <c r="G697" s="3"/>
      <c r="H697" s="89"/>
      <c r="I697" s="90"/>
      <c r="K697" s="31"/>
    </row>
    <row r="698" spans="2:11" s="13" customFormat="1" x14ac:dyDescent="0.2">
      <c r="B698" s="3"/>
      <c r="C698" s="3"/>
      <c r="D698" s="3"/>
      <c r="E698" s="3"/>
      <c r="F698" s="89"/>
      <c r="G698" s="3"/>
      <c r="H698" s="89"/>
      <c r="I698" s="90"/>
      <c r="K698" s="31"/>
    </row>
    <row r="699" spans="2:11" s="13" customFormat="1" x14ac:dyDescent="0.2">
      <c r="B699" s="3"/>
      <c r="C699" s="3"/>
      <c r="D699" s="3"/>
      <c r="E699" s="3"/>
      <c r="F699" s="89"/>
      <c r="G699" s="3"/>
      <c r="H699" s="89"/>
      <c r="I699" s="90"/>
      <c r="K699" s="31"/>
    </row>
    <row r="700" spans="2:11" s="13" customFormat="1" x14ac:dyDescent="0.2">
      <c r="B700" s="3"/>
      <c r="C700" s="3"/>
      <c r="D700" s="3"/>
      <c r="E700" s="3"/>
      <c r="F700" s="89"/>
      <c r="G700" s="3"/>
      <c r="H700" s="89"/>
      <c r="I700" s="90"/>
      <c r="K700" s="31"/>
    </row>
    <row r="701" spans="2:11" s="13" customFormat="1" x14ac:dyDescent="0.2">
      <c r="B701" s="3"/>
      <c r="C701" s="3"/>
      <c r="D701" s="3"/>
      <c r="E701" s="3"/>
      <c r="F701" s="89"/>
      <c r="G701" s="3"/>
      <c r="H701" s="89"/>
      <c r="I701" s="90"/>
      <c r="K701" s="31"/>
    </row>
    <row r="702" spans="2:11" s="13" customFormat="1" x14ac:dyDescent="0.2">
      <c r="B702" s="3"/>
      <c r="C702" s="3"/>
      <c r="D702" s="3"/>
      <c r="E702" s="3"/>
      <c r="F702" s="89"/>
      <c r="G702" s="3"/>
      <c r="H702" s="89"/>
      <c r="I702" s="90"/>
      <c r="K702" s="31"/>
    </row>
    <row r="703" spans="2:11" s="13" customFormat="1" x14ac:dyDescent="0.2">
      <c r="B703" s="3"/>
      <c r="C703" s="3"/>
      <c r="D703" s="3"/>
      <c r="E703" s="3"/>
      <c r="F703" s="89"/>
      <c r="G703" s="3"/>
      <c r="H703" s="89"/>
      <c r="I703" s="90"/>
      <c r="K703" s="31"/>
    </row>
    <row r="704" spans="2:11" s="13" customFormat="1" x14ac:dyDescent="0.2">
      <c r="B704" s="3"/>
      <c r="C704" s="3"/>
      <c r="D704" s="3"/>
      <c r="E704" s="3"/>
      <c r="F704" s="89"/>
      <c r="G704" s="3"/>
      <c r="H704" s="89"/>
      <c r="I704" s="90"/>
      <c r="K704" s="31"/>
    </row>
    <row r="705" spans="2:11" s="13" customFormat="1" x14ac:dyDescent="0.2">
      <c r="B705" s="3"/>
      <c r="C705" s="3"/>
      <c r="D705" s="3"/>
      <c r="E705" s="3"/>
      <c r="F705" s="89"/>
      <c r="G705" s="3"/>
      <c r="H705" s="89"/>
      <c r="I705" s="90"/>
      <c r="K705" s="31"/>
    </row>
    <row r="706" spans="2:11" s="13" customFormat="1" x14ac:dyDescent="0.2">
      <c r="B706" s="3"/>
      <c r="C706" s="3"/>
      <c r="D706" s="3"/>
      <c r="E706" s="3"/>
      <c r="F706" s="89"/>
      <c r="G706" s="3"/>
      <c r="H706" s="89"/>
      <c r="I706" s="90"/>
      <c r="K706" s="31"/>
    </row>
    <row r="707" spans="2:11" s="13" customFormat="1" x14ac:dyDescent="0.2">
      <c r="B707" s="3"/>
      <c r="C707" s="3"/>
      <c r="D707" s="3"/>
      <c r="E707" s="3"/>
      <c r="F707" s="89"/>
      <c r="G707" s="3"/>
      <c r="H707" s="89"/>
      <c r="I707" s="90"/>
      <c r="K707" s="31"/>
    </row>
    <row r="708" spans="2:11" s="13" customFormat="1" x14ac:dyDescent="0.2">
      <c r="B708" s="3"/>
      <c r="C708" s="3"/>
      <c r="D708" s="3"/>
      <c r="E708" s="3"/>
      <c r="F708" s="89"/>
      <c r="G708" s="3"/>
      <c r="H708" s="89"/>
      <c r="I708" s="90"/>
      <c r="K708" s="31"/>
    </row>
    <row r="709" spans="2:11" s="13" customFormat="1" x14ac:dyDescent="0.2">
      <c r="B709" s="3"/>
      <c r="C709" s="3"/>
      <c r="D709" s="3"/>
      <c r="E709" s="3"/>
      <c r="F709" s="89"/>
      <c r="G709" s="3"/>
      <c r="H709" s="89"/>
      <c r="I709" s="90"/>
      <c r="K709" s="31"/>
    </row>
    <row r="710" spans="2:11" s="13" customFormat="1" x14ac:dyDescent="0.2">
      <c r="B710" s="3"/>
      <c r="C710" s="3"/>
      <c r="D710" s="3"/>
      <c r="E710" s="3"/>
      <c r="F710" s="89"/>
      <c r="G710" s="3"/>
      <c r="H710" s="89"/>
      <c r="I710" s="90"/>
      <c r="K710" s="31"/>
    </row>
    <row r="711" spans="2:11" s="13" customFormat="1" x14ac:dyDescent="0.2">
      <c r="B711" s="3"/>
      <c r="C711" s="3"/>
      <c r="D711" s="3"/>
      <c r="E711" s="3"/>
      <c r="F711" s="89"/>
      <c r="G711" s="3"/>
      <c r="H711" s="89"/>
      <c r="I711" s="90"/>
      <c r="K711" s="31"/>
    </row>
    <row r="712" spans="2:11" s="13" customFormat="1" x14ac:dyDescent="0.2">
      <c r="B712" s="3"/>
      <c r="C712" s="3"/>
      <c r="D712" s="3"/>
      <c r="E712" s="3"/>
      <c r="F712" s="89"/>
      <c r="G712" s="3"/>
      <c r="H712" s="89"/>
      <c r="I712" s="90"/>
      <c r="K712" s="31"/>
    </row>
    <row r="713" spans="2:11" s="13" customFormat="1" x14ac:dyDescent="0.2">
      <c r="B713" s="3"/>
      <c r="C713" s="3"/>
      <c r="D713" s="3"/>
      <c r="E713" s="3"/>
      <c r="F713" s="89"/>
      <c r="G713" s="3"/>
      <c r="H713" s="89"/>
      <c r="I713" s="90"/>
      <c r="K713" s="31"/>
    </row>
    <row r="714" spans="2:11" s="13" customFormat="1" x14ac:dyDescent="0.2">
      <c r="B714" s="3"/>
      <c r="C714" s="3"/>
      <c r="D714" s="3"/>
      <c r="E714" s="3"/>
      <c r="F714" s="89"/>
      <c r="G714" s="3"/>
      <c r="H714" s="89"/>
      <c r="I714" s="90"/>
      <c r="K714" s="31"/>
    </row>
    <row r="715" spans="2:11" s="13" customFormat="1" x14ac:dyDescent="0.2">
      <c r="B715" s="3"/>
      <c r="C715" s="3"/>
      <c r="D715" s="3"/>
      <c r="E715" s="3"/>
      <c r="F715" s="89"/>
      <c r="G715" s="3"/>
      <c r="H715" s="89"/>
      <c r="I715" s="90"/>
      <c r="K715" s="31"/>
    </row>
    <row r="716" spans="2:11" s="13" customFormat="1" x14ac:dyDescent="0.2">
      <c r="B716" s="3"/>
      <c r="C716" s="3"/>
      <c r="D716" s="3"/>
      <c r="E716" s="3"/>
      <c r="F716" s="89"/>
      <c r="G716" s="3"/>
      <c r="H716" s="89"/>
      <c r="I716" s="90"/>
      <c r="K716" s="31"/>
    </row>
    <row r="717" spans="2:11" s="13" customFormat="1" x14ac:dyDescent="0.2">
      <c r="B717" s="3"/>
      <c r="C717" s="3"/>
      <c r="D717" s="3"/>
      <c r="E717" s="3"/>
      <c r="F717" s="89"/>
      <c r="G717" s="3"/>
      <c r="H717" s="89"/>
      <c r="I717" s="90"/>
      <c r="K717" s="31"/>
    </row>
    <row r="718" spans="2:11" s="13" customFormat="1" x14ac:dyDescent="0.2">
      <c r="B718" s="3"/>
      <c r="C718" s="3"/>
      <c r="D718" s="3"/>
      <c r="E718" s="3"/>
      <c r="F718" s="89"/>
      <c r="G718" s="3"/>
      <c r="H718" s="89"/>
      <c r="I718" s="90"/>
      <c r="K718" s="31"/>
    </row>
    <row r="719" spans="2:11" s="13" customFormat="1" x14ac:dyDescent="0.2">
      <c r="B719" s="3"/>
      <c r="C719" s="3"/>
      <c r="D719" s="3"/>
      <c r="E719" s="3"/>
      <c r="F719" s="89"/>
      <c r="G719" s="3"/>
      <c r="H719" s="89"/>
      <c r="I719" s="90"/>
      <c r="K719" s="31"/>
    </row>
    <row r="720" spans="2:11" s="13" customFormat="1" x14ac:dyDescent="0.2">
      <c r="B720" s="3"/>
      <c r="C720" s="3"/>
      <c r="D720" s="3"/>
      <c r="E720" s="3"/>
      <c r="F720" s="89"/>
      <c r="G720" s="3"/>
      <c r="H720" s="89"/>
      <c r="I720" s="90"/>
      <c r="K720" s="31"/>
    </row>
    <row r="721" spans="2:11" s="13" customFormat="1" x14ac:dyDescent="0.2">
      <c r="B721" s="3"/>
      <c r="C721" s="3"/>
      <c r="D721" s="3"/>
      <c r="E721" s="3"/>
      <c r="F721" s="89"/>
      <c r="G721" s="3"/>
      <c r="H721" s="89"/>
      <c r="I721" s="90"/>
      <c r="K721" s="31"/>
    </row>
    <row r="722" spans="2:11" s="13" customFormat="1" x14ac:dyDescent="0.2">
      <c r="B722" s="3"/>
      <c r="C722" s="3"/>
      <c r="D722" s="3"/>
      <c r="E722" s="3"/>
      <c r="F722" s="89"/>
      <c r="G722" s="3"/>
      <c r="H722" s="89"/>
      <c r="I722" s="90"/>
      <c r="K722" s="31"/>
    </row>
    <row r="723" spans="2:11" s="13" customFormat="1" x14ac:dyDescent="0.2">
      <c r="B723" s="3"/>
      <c r="C723" s="3"/>
      <c r="D723" s="3"/>
      <c r="E723" s="3"/>
      <c r="F723" s="89"/>
      <c r="G723" s="3"/>
      <c r="H723" s="89"/>
      <c r="I723" s="90"/>
      <c r="K723" s="31"/>
    </row>
    <row r="724" spans="2:11" s="13" customFormat="1" x14ac:dyDescent="0.2">
      <c r="B724" s="3"/>
      <c r="C724" s="3"/>
      <c r="D724" s="3"/>
      <c r="E724" s="3"/>
      <c r="F724" s="89"/>
      <c r="G724" s="3"/>
      <c r="H724" s="89"/>
      <c r="I724" s="90"/>
      <c r="K724" s="31"/>
    </row>
    <row r="725" spans="2:11" s="13" customFormat="1" x14ac:dyDescent="0.2">
      <c r="B725" s="3"/>
      <c r="C725" s="3"/>
      <c r="D725" s="3"/>
      <c r="E725" s="3"/>
      <c r="F725" s="89"/>
      <c r="G725" s="3"/>
      <c r="H725" s="89"/>
      <c r="I725" s="90"/>
      <c r="K725" s="31"/>
    </row>
    <row r="726" spans="2:11" s="13" customFormat="1" x14ac:dyDescent="0.2">
      <c r="B726" s="3"/>
      <c r="C726" s="3"/>
      <c r="D726" s="3"/>
      <c r="E726" s="3"/>
      <c r="F726" s="89"/>
      <c r="G726" s="3"/>
      <c r="H726" s="89"/>
      <c r="I726" s="90"/>
      <c r="K726" s="31"/>
    </row>
    <row r="727" spans="2:11" s="13" customFormat="1" x14ac:dyDescent="0.2">
      <c r="B727" s="3"/>
      <c r="C727" s="3"/>
      <c r="D727" s="3"/>
      <c r="E727" s="3"/>
      <c r="F727" s="89"/>
      <c r="G727" s="3"/>
      <c r="H727" s="89"/>
      <c r="I727" s="90"/>
      <c r="K727" s="31"/>
    </row>
    <row r="728" spans="2:11" s="13" customFormat="1" x14ac:dyDescent="0.2">
      <c r="B728" s="3"/>
      <c r="C728" s="3"/>
      <c r="D728" s="3"/>
      <c r="E728" s="3"/>
      <c r="F728" s="89"/>
      <c r="G728" s="3"/>
      <c r="H728" s="89"/>
      <c r="I728" s="90"/>
      <c r="K728" s="31"/>
    </row>
    <row r="729" spans="2:11" s="13" customFormat="1" x14ac:dyDescent="0.2">
      <c r="B729" s="3"/>
      <c r="C729" s="3"/>
      <c r="D729" s="3"/>
      <c r="E729" s="3"/>
      <c r="F729" s="89"/>
      <c r="G729" s="3"/>
      <c r="H729" s="89"/>
      <c r="I729" s="90"/>
      <c r="K729" s="31"/>
    </row>
    <row r="730" spans="2:11" s="13" customFormat="1" x14ac:dyDescent="0.2">
      <c r="B730" s="3"/>
      <c r="C730" s="3"/>
      <c r="D730" s="3"/>
      <c r="E730" s="3"/>
      <c r="F730" s="89"/>
      <c r="G730" s="3"/>
      <c r="H730" s="89"/>
      <c r="I730" s="90"/>
      <c r="K730" s="31"/>
    </row>
    <row r="731" spans="2:11" s="13" customFormat="1" x14ac:dyDescent="0.2">
      <c r="B731" s="3"/>
      <c r="C731" s="3"/>
      <c r="D731" s="3"/>
      <c r="E731" s="3"/>
      <c r="F731" s="89"/>
      <c r="G731" s="3"/>
      <c r="H731" s="89"/>
      <c r="I731" s="90"/>
      <c r="K731" s="31"/>
    </row>
    <row r="732" spans="2:11" s="13" customFormat="1" x14ac:dyDescent="0.2">
      <c r="B732" s="3"/>
      <c r="C732" s="3"/>
      <c r="D732" s="3"/>
      <c r="E732" s="3"/>
      <c r="F732" s="89"/>
      <c r="G732" s="3"/>
      <c r="H732" s="89"/>
      <c r="I732" s="90"/>
      <c r="K732" s="31"/>
    </row>
    <row r="733" spans="2:11" s="13" customFormat="1" x14ac:dyDescent="0.2">
      <c r="B733" s="3"/>
      <c r="C733" s="3"/>
      <c r="D733" s="3"/>
      <c r="E733" s="3"/>
      <c r="F733" s="89"/>
      <c r="G733" s="3"/>
      <c r="H733" s="89"/>
      <c r="I733" s="90"/>
      <c r="K733" s="31"/>
    </row>
    <row r="734" spans="2:11" s="13" customFormat="1" x14ac:dyDescent="0.2">
      <c r="B734" s="3"/>
      <c r="C734" s="3"/>
      <c r="D734" s="3"/>
      <c r="E734" s="3"/>
      <c r="F734" s="89"/>
      <c r="G734" s="3"/>
      <c r="H734" s="89"/>
      <c r="I734" s="90"/>
      <c r="K734" s="31"/>
    </row>
    <row r="735" spans="2:11" s="13" customFormat="1" x14ac:dyDescent="0.2">
      <c r="B735" s="3"/>
      <c r="C735" s="3"/>
      <c r="D735" s="3"/>
      <c r="E735" s="3"/>
      <c r="F735" s="89"/>
      <c r="G735" s="3"/>
      <c r="H735" s="89"/>
      <c r="I735" s="90"/>
      <c r="K735" s="31"/>
    </row>
    <row r="736" spans="2:11" s="13" customFormat="1" x14ac:dyDescent="0.2">
      <c r="B736" s="3"/>
      <c r="C736" s="3"/>
      <c r="D736" s="3"/>
      <c r="E736" s="3"/>
      <c r="F736" s="89"/>
      <c r="G736" s="3"/>
      <c r="H736" s="89"/>
      <c r="I736" s="90"/>
      <c r="K736" s="31"/>
    </row>
    <row r="737" spans="2:11" s="13" customFormat="1" x14ac:dyDescent="0.2">
      <c r="B737" s="3"/>
      <c r="C737" s="3"/>
      <c r="D737" s="3"/>
      <c r="E737" s="3"/>
      <c r="F737" s="89"/>
      <c r="G737" s="3"/>
      <c r="H737" s="89"/>
      <c r="I737" s="90"/>
      <c r="K737" s="31"/>
    </row>
    <row r="738" spans="2:11" s="13" customFormat="1" x14ac:dyDescent="0.2">
      <c r="B738" s="3"/>
      <c r="C738" s="3"/>
      <c r="D738" s="3"/>
      <c r="E738" s="3"/>
      <c r="F738" s="89"/>
      <c r="G738" s="3"/>
      <c r="H738" s="89"/>
      <c r="I738" s="90"/>
      <c r="K738" s="31"/>
    </row>
    <row r="739" spans="2:11" s="13" customFormat="1" x14ac:dyDescent="0.2">
      <c r="B739" s="3"/>
      <c r="C739" s="3"/>
      <c r="D739" s="3"/>
      <c r="E739" s="3"/>
      <c r="F739" s="89"/>
      <c r="G739" s="3"/>
      <c r="H739" s="89"/>
      <c r="I739" s="90"/>
      <c r="K739" s="31"/>
    </row>
    <row r="740" spans="2:11" s="13" customFormat="1" x14ac:dyDescent="0.2">
      <c r="B740" s="3"/>
      <c r="C740" s="3"/>
      <c r="D740" s="3"/>
      <c r="E740" s="3"/>
      <c r="F740" s="89"/>
      <c r="G740" s="3"/>
      <c r="H740" s="89"/>
      <c r="I740" s="90"/>
      <c r="K740" s="31"/>
    </row>
    <row r="741" spans="2:11" s="13" customFormat="1" x14ac:dyDescent="0.2">
      <c r="B741" s="3"/>
      <c r="C741" s="3"/>
      <c r="D741" s="3"/>
      <c r="E741" s="3"/>
      <c r="F741" s="89"/>
      <c r="G741" s="3"/>
      <c r="H741" s="89"/>
      <c r="I741" s="90"/>
      <c r="K741" s="31"/>
    </row>
    <row r="742" spans="2:11" s="13" customFormat="1" x14ac:dyDescent="0.2">
      <c r="B742" s="3"/>
      <c r="C742" s="3"/>
      <c r="D742" s="3"/>
      <c r="E742" s="3"/>
      <c r="F742" s="89"/>
      <c r="G742" s="3"/>
      <c r="H742" s="89"/>
      <c r="I742" s="90"/>
      <c r="K742" s="31"/>
    </row>
    <row r="743" spans="2:11" s="13" customFormat="1" x14ac:dyDescent="0.2">
      <c r="B743" s="3"/>
      <c r="C743" s="3"/>
      <c r="D743" s="3"/>
      <c r="E743" s="3"/>
      <c r="F743" s="89"/>
      <c r="G743" s="3"/>
      <c r="H743" s="89"/>
      <c r="I743" s="90"/>
      <c r="K743" s="31"/>
    </row>
    <row r="744" spans="2:11" s="13" customFormat="1" x14ac:dyDescent="0.2">
      <c r="B744" s="3"/>
      <c r="C744" s="3"/>
      <c r="D744" s="3"/>
      <c r="E744" s="3"/>
      <c r="F744" s="89"/>
      <c r="G744" s="3"/>
      <c r="H744" s="89"/>
      <c r="I744" s="90"/>
      <c r="K744" s="31"/>
    </row>
    <row r="745" spans="2:11" s="13" customFormat="1" x14ac:dyDescent="0.2">
      <c r="B745" s="3"/>
      <c r="C745" s="3"/>
      <c r="D745" s="3"/>
      <c r="E745" s="3"/>
      <c r="F745" s="89"/>
      <c r="G745" s="3"/>
      <c r="H745" s="89"/>
      <c r="I745" s="90"/>
      <c r="K745" s="31"/>
    </row>
    <row r="746" spans="2:11" s="13" customFormat="1" x14ac:dyDescent="0.2">
      <c r="B746" s="3"/>
      <c r="C746" s="3"/>
      <c r="D746" s="3"/>
      <c r="E746" s="3"/>
      <c r="F746" s="89"/>
      <c r="G746" s="3"/>
      <c r="H746" s="89"/>
      <c r="I746" s="90"/>
      <c r="K746" s="31"/>
    </row>
    <row r="747" spans="2:11" s="13" customFormat="1" x14ac:dyDescent="0.2">
      <c r="B747" s="3"/>
      <c r="C747" s="3"/>
      <c r="D747" s="3"/>
      <c r="E747" s="3"/>
      <c r="F747" s="89"/>
      <c r="G747" s="3"/>
      <c r="H747" s="89"/>
      <c r="I747" s="90"/>
      <c r="K747" s="31"/>
    </row>
    <row r="748" spans="2:11" s="13" customFormat="1" x14ac:dyDescent="0.2">
      <c r="B748" s="3"/>
      <c r="C748" s="3"/>
      <c r="D748" s="3"/>
      <c r="E748" s="3"/>
      <c r="F748" s="89"/>
      <c r="G748" s="3"/>
      <c r="H748" s="89"/>
      <c r="I748" s="90"/>
      <c r="K748" s="31"/>
    </row>
    <row r="749" spans="2:11" s="13" customFormat="1" x14ac:dyDescent="0.2">
      <c r="B749" s="3"/>
      <c r="C749" s="3"/>
      <c r="D749" s="3"/>
      <c r="E749" s="3"/>
      <c r="F749" s="89"/>
      <c r="G749" s="3"/>
      <c r="H749" s="89"/>
      <c r="I749" s="90"/>
      <c r="K749" s="31"/>
    </row>
    <row r="750" spans="2:11" s="13" customFormat="1" x14ac:dyDescent="0.2">
      <c r="B750" s="3"/>
      <c r="C750" s="3"/>
      <c r="D750" s="3"/>
      <c r="E750" s="3"/>
      <c r="F750" s="89"/>
      <c r="G750" s="3"/>
      <c r="H750" s="89"/>
      <c r="I750" s="90"/>
      <c r="K750" s="31"/>
    </row>
    <row r="751" spans="2:11" s="13" customFormat="1" x14ac:dyDescent="0.2">
      <c r="B751" s="3"/>
      <c r="C751" s="3"/>
      <c r="D751" s="3"/>
      <c r="E751" s="3"/>
      <c r="F751" s="89"/>
      <c r="G751" s="3"/>
      <c r="H751" s="89"/>
      <c r="I751" s="90"/>
      <c r="K751" s="31"/>
    </row>
    <row r="752" spans="2:11" s="13" customFormat="1" x14ac:dyDescent="0.2">
      <c r="B752" s="3"/>
      <c r="C752" s="3"/>
      <c r="D752" s="3"/>
      <c r="E752" s="3"/>
      <c r="F752" s="89"/>
      <c r="G752" s="3"/>
      <c r="H752" s="89"/>
      <c r="I752" s="90"/>
      <c r="K752" s="31"/>
    </row>
    <row r="753" spans="2:11" s="13" customFormat="1" x14ac:dyDescent="0.2">
      <c r="B753" s="3"/>
      <c r="C753" s="3"/>
      <c r="D753" s="3"/>
      <c r="E753" s="3"/>
      <c r="F753" s="89"/>
      <c r="G753" s="3"/>
      <c r="H753" s="89"/>
      <c r="I753" s="90"/>
      <c r="K753" s="31"/>
    </row>
    <row r="754" spans="2:11" s="13" customFormat="1" x14ac:dyDescent="0.2">
      <c r="B754" s="3"/>
      <c r="C754" s="3"/>
      <c r="D754" s="3"/>
      <c r="E754" s="3"/>
      <c r="F754" s="89"/>
      <c r="G754" s="3"/>
      <c r="H754" s="89"/>
      <c r="I754" s="90"/>
      <c r="K754" s="31"/>
    </row>
    <row r="755" spans="2:11" s="13" customFormat="1" x14ac:dyDescent="0.2">
      <c r="B755" s="3"/>
      <c r="C755" s="3"/>
      <c r="D755" s="3"/>
      <c r="E755" s="3"/>
      <c r="F755" s="89"/>
      <c r="G755" s="3"/>
      <c r="H755" s="89"/>
      <c r="I755" s="90"/>
      <c r="K755" s="31"/>
    </row>
    <row r="756" spans="2:11" s="13" customFormat="1" x14ac:dyDescent="0.2">
      <c r="B756" s="3"/>
      <c r="C756" s="3"/>
      <c r="D756" s="3"/>
      <c r="E756" s="3"/>
      <c r="F756" s="89"/>
      <c r="G756" s="3"/>
      <c r="H756" s="89"/>
      <c r="I756" s="90"/>
      <c r="K756" s="31"/>
    </row>
    <row r="757" spans="2:11" s="13" customFormat="1" x14ac:dyDescent="0.2">
      <c r="B757" s="3"/>
      <c r="C757" s="3"/>
      <c r="D757" s="3"/>
      <c r="E757" s="3"/>
      <c r="F757" s="89"/>
      <c r="G757" s="3"/>
      <c r="H757" s="89"/>
      <c r="I757" s="90"/>
      <c r="K757" s="31"/>
    </row>
    <row r="758" spans="2:11" s="13" customFormat="1" x14ac:dyDescent="0.2">
      <c r="B758" s="3"/>
      <c r="C758" s="3"/>
      <c r="D758" s="3"/>
      <c r="E758" s="3"/>
      <c r="F758" s="89"/>
      <c r="G758" s="3"/>
      <c r="H758" s="89"/>
      <c r="I758" s="90"/>
      <c r="K758" s="31"/>
    </row>
    <row r="759" spans="2:11" s="13" customFormat="1" x14ac:dyDescent="0.2">
      <c r="B759" s="3"/>
      <c r="C759" s="3"/>
      <c r="D759" s="3"/>
      <c r="E759" s="3"/>
      <c r="F759" s="89"/>
      <c r="G759" s="3"/>
      <c r="H759" s="89"/>
      <c r="I759" s="90"/>
      <c r="K759" s="31"/>
    </row>
    <row r="760" spans="2:11" s="13" customFormat="1" x14ac:dyDescent="0.2">
      <c r="B760" s="3"/>
      <c r="C760" s="3"/>
      <c r="D760" s="3"/>
      <c r="E760" s="3"/>
      <c r="F760" s="89"/>
      <c r="G760" s="3"/>
      <c r="H760" s="89"/>
      <c r="I760" s="90"/>
      <c r="K760" s="31"/>
    </row>
    <row r="761" spans="2:11" s="13" customFormat="1" x14ac:dyDescent="0.2">
      <c r="B761" s="3"/>
      <c r="C761" s="3"/>
      <c r="D761" s="3"/>
      <c r="E761" s="3"/>
      <c r="F761" s="89"/>
      <c r="G761" s="3"/>
      <c r="H761" s="89"/>
      <c r="I761" s="90"/>
      <c r="K761" s="31"/>
    </row>
    <row r="762" spans="2:11" s="13" customFormat="1" x14ac:dyDescent="0.2">
      <c r="B762" s="3"/>
      <c r="C762" s="3"/>
      <c r="D762" s="3"/>
      <c r="E762" s="3"/>
      <c r="F762" s="89"/>
      <c r="G762" s="3"/>
      <c r="H762" s="89"/>
      <c r="I762" s="90"/>
      <c r="K762" s="31"/>
    </row>
    <row r="763" spans="2:11" s="13" customFormat="1" x14ac:dyDescent="0.2">
      <c r="B763" s="3"/>
      <c r="C763" s="3"/>
      <c r="D763" s="3"/>
      <c r="E763" s="3"/>
      <c r="F763" s="89"/>
      <c r="G763" s="3"/>
      <c r="H763" s="89"/>
      <c r="I763" s="90"/>
      <c r="K763" s="31"/>
    </row>
    <row r="764" spans="2:11" s="13" customFormat="1" x14ac:dyDescent="0.2">
      <c r="B764" s="3"/>
      <c r="C764" s="3"/>
      <c r="D764" s="3"/>
      <c r="E764" s="3"/>
      <c r="F764" s="89"/>
      <c r="G764" s="3"/>
      <c r="H764" s="89"/>
      <c r="I764" s="90"/>
      <c r="K764" s="31"/>
    </row>
    <row r="765" spans="2:11" s="13" customFormat="1" x14ac:dyDescent="0.2">
      <c r="B765" s="3"/>
      <c r="C765" s="3"/>
      <c r="D765" s="3"/>
      <c r="E765" s="3"/>
      <c r="F765" s="89"/>
      <c r="G765" s="3"/>
      <c r="H765" s="89"/>
      <c r="I765" s="90"/>
      <c r="K765" s="31"/>
    </row>
    <row r="766" spans="2:11" s="13" customFormat="1" x14ac:dyDescent="0.2">
      <c r="B766" s="3"/>
      <c r="C766" s="3"/>
      <c r="D766" s="3"/>
      <c r="E766" s="3"/>
      <c r="F766" s="89"/>
      <c r="G766" s="3"/>
      <c r="H766" s="89"/>
      <c r="I766" s="90"/>
      <c r="K766" s="31"/>
    </row>
    <row r="767" spans="2:11" s="13" customFormat="1" x14ac:dyDescent="0.2">
      <c r="B767" s="3"/>
      <c r="C767" s="3"/>
      <c r="D767" s="3"/>
      <c r="E767" s="3"/>
      <c r="F767" s="89"/>
      <c r="G767" s="3"/>
      <c r="H767" s="89"/>
      <c r="I767" s="90"/>
      <c r="K767" s="31"/>
    </row>
    <row r="768" spans="2:11" s="13" customFormat="1" x14ac:dyDescent="0.2">
      <c r="B768" s="3"/>
      <c r="C768" s="3"/>
      <c r="D768" s="3"/>
      <c r="E768" s="3"/>
      <c r="F768" s="89"/>
      <c r="G768" s="3"/>
      <c r="H768" s="89"/>
      <c r="I768" s="90"/>
      <c r="K768" s="31"/>
    </row>
    <row r="769" spans="2:11" s="13" customFormat="1" x14ac:dyDescent="0.2">
      <c r="B769" s="3"/>
      <c r="C769" s="3"/>
      <c r="D769" s="3"/>
      <c r="E769" s="3"/>
      <c r="F769" s="89"/>
      <c r="G769" s="3"/>
      <c r="H769" s="89"/>
      <c r="I769" s="90"/>
      <c r="K769" s="31"/>
    </row>
    <row r="770" spans="2:11" s="13" customFormat="1" x14ac:dyDescent="0.2">
      <c r="B770" s="3"/>
      <c r="C770" s="3"/>
      <c r="D770" s="3"/>
      <c r="E770" s="3"/>
      <c r="F770" s="89"/>
      <c r="G770" s="3"/>
      <c r="H770" s="89"/>
      <c r="I770" s="90"/>
      <c r="K770" s="31"/>
    </row>
    <row r="771" spans="2:11" s="13" customFormat="1" x14ac:dyDescent="0.2">
      <c r="B771" s="3"/>
      <c r="C771" s="3"/>
      <c r="D771" s="3"/>
      <c r="E771" s="3"/>
      <c r="F771" s="89"/>
      <c r="G771" s="3"/>
      <c r="H771" s="89"/>
      <c r="I771" s="90"/>
      <c r="K771" s="31"/>
    </row>
    <row r="772" spans="2:11" s="13" customFormat="1" x14ac:dyDescent="0.2">
      <c r="B772" s="3"/>
      <c r="C772" s="3"/>
      <c r="D772" s="3"/>
      <c r="E772" s="3"/>
      <c r="F772" s="89"/>
      <c r="G772" s="3"/>
      <c r="H772" s="89"/>
      <c r="I772" s="90"/>
      <c r="K772" s="31"/>
    </row>
    <row r="773" spans="2:11" s="13" customFormat="1" x14ac:dyDescent="0.2">
      <c r="B773" s="3"/>
      <c r="C773" s="3"/>
      <c r="D773" s="3"/>
      <c r="E773" s="3"/>
      <c r="F773" s="89"/>
      <c r="G773" s="3"/>
      <c r="H773" s="89"/>
      <c r="I773" s="90"/>
      <c r="K773" s="31"/>
    </row>
    <row r="774" spans="2:11" s="13" customFormat="1" x14ac:dyDescent="0.2">
      <c r="B774" s="3"/>
      <c r="C774" s="3"/>
      <c r="D774" s="3"/>
      <c r="E774" s="3"/>
      <c r="F774" s="89"/>
      <c r="G774" s="3"/>
      <c r="H774" s="89"/>
      <c r="I774" s="90"/>
      <c r="K774" s="31"/>
    </row>
    <row r="775" spans="2:11" s="13" customFormat="1" x14ac:dyDescent="0.2">
      <c r="B775" s="3"/>
      <c r="C775" s="3"/>
      <c r="D775" s="3"/>
      <c r="E775" s="3"/>
      <c r="F775" s="89"/>
      <c r="G775" s="3"/>
      <c r="H775" s="89"/>
      <c r="I775" s="90"/>
      <c r="K775" s="31"/>
    </row>
    <row r="776" spans="2:11" s="13" customFormat="1" x14ac:dyDescent="0.2">
      <c r="B776" s="3"/>
      <c r="C776" s="3"/>
      <c r="D776" s="3"/>
      <c r="E776" s="3"/>
      <c r="F776" s="89"/>
      <c r="G776" s="3"/>
      <c r="H776" s="89"/>
      <c r="I776" s="90"/>
      <c r="K776" s="31"/>
    </row>
    <row r="777" spans="2:11" s="13" customFormat="1" x14ac:dyDescent="0.2">
      <c r="B777" s="3"/>
      <c r="C777" s="3"/>
      <c r="D777" s="3"/>
      <c r="E777" s="3"/>
      <c r="F777" s="89"/>
      <c r="G777" s="3"/>
      <c r="H777" s="89"/>
      <c r="I777" s="90"/>
      <c r="K777" s="31"/>
    </row>
    <row r="778" spans="2:11" s="13" customFormat="1" x14ac:dyDescent="0.2">
      <c r="B778" s="3"/>
      <c r="C778" s="3"/>
      <c r="D778" s="3"/>
      <c r="E778" s="3"/>
      <c r="F778" s="89"/>
      <c r="G778" s="3"/>
      <c r="H778" s="89"/>
      <c r="I778" s="90"/>
      <c r="K778" s="31"/>
    </row>
    <row r="779" spans="2:11" s="13" customFormat="1" x14ac:dyDescent="0.2">
      <c r="B779" s="3"/>
      <c r="C779" s="3"/>
      <c r="D779" s="3"/>
      <c r="E779" s="3"/>
      <c r="F779" s="89"/>
      <c r="G779" s="3"/>
      <c r="H779" s="89"/>
      <c r="I779" s="90"/>
      <c r="K779" s="31"/>
    </row>
    <row r="780" spans="2:11" s="13" customFormat="1" x14ac:dyDescent="0.2">
      <c r="B780" s="3"/>
      <c r="C780" s="3"/>
      <c r="D780" s="3"/>
      <c r="E780" s="3"/>
      <c r="F780" s="89"/>
      <c r="G780" s="3"/>
      <c r="H780" s="89"/>
      <c r="I780" s="90"/>
      <c r="K780" s="31"/>
    </row>
    <row r="781" spans="2:11" s="13" customFormat="1" x14ac:dyDescent="0.2">
      <c r="B781" s="3"/>
      <c r="C781" s="3"/>
      <c r="D781" s="3"/>
      <c r="E781" s="3"/>
      <c r="F781" s="89"/>
      <c r="G781" s="3"/>
      <c r="H781" s="89"/>
      <c r="I781" s="90"/>
      <c r="K781" s="31"/>
    </row>
    <row r="782" spans="2:11" s="13" customFormat="1" x14ac:dyDescent="0.2">
      <c r="B782" s="3"/>
      <c r="C782" s="3"/>
      <c r="D782" s="3"/>
      <c r="E782" s="3"/>
      <c r="F782" s="89"/>
      <c r="G782" s="3"/>
      <c r="H782" s="89"/>
      <c r="I782" s="90"/>
      <c r="K782" s="31"/>
    </row>
    <row r="783" spans="2:11" s="13" customFormat="1" x14ac:dyDescent="0.2">
      <c r="B783" s="3"/>
      <c r="C783" s="3"/>
      <c r="D783" s="3"/>
      <c r="E783" s="3"/>
      <c r="F783" s="89"/>
      <c r="G783" s="3"/>
      <c r="H783" s="89"/>
      <c r="I783" s="90"/>
      <c r="K783" s="31"/>
    </row>
    <row r="784" spans="2:11" s="13" customFormat="1" x14ac:dyDescent="0.2">
      <c r="B784" s="3"/>
      <c r="C784" s="3"/>
      <c r="D784" s="3"/>
      <c r="E784" s="3"/>
      <c r="F784" s="89"/>
      <c r="G784" s="3"/>
      <c r="H784" s="89"/>
      <c r="I784" s="90"/>
      <c r="K784" s="31"/>
    </row>
    <row r="785" spans="2:11" s="13" customFormat="1" x14ac:dyDescent="0.2">
      <c r="B785" s="3"/>
      <c r="C785" s="3"/>
      <c r="D785" s="3"/>
      <c r="E785" s="3"/>
      <c r="F785" s="89"/>
      <c r="G785" s="3"/>
      <c r="H785" s="89"/>
      <c r="I785" s="90"/>
      <c r="K785" s="31"/>
    </row>
    <row r="786" spans="2:11" s="13" customFormat="1" x14ac:dyDescent="0.2">
      <c r="B786" s="3"/>
      <c r="C786" s="3"/>
      <c r="D786" s="3"/>
      <c r="E786" s="3"/>
      <c r="F786" s="89"/>
      <c r="G786" s="3"/>
      <c r="H786" s="89"/>
      <c r="I786" s="90"/>
      <c r="K786" s="31"/>
    </row>
    <row r="787" spans="2:11" s="13" customFormat="1" x14ac:dyDescent="0.2">
      <c r="B787" s="3"/>
      <c r="C787" s="3"/>
      <c r="D787" s="3"/>
      <c r="E787" s="3"/>
      <c r="F787" s="89"/>
      <c r="G787" s="3"/>
      <c r="H787" s="89"/>
      <c r="I787" s="90"/>
      <c r="K787" s="31"/>
    </row>
    <row r="788" spans="2:11" s="13" customFormat="1" x14ac:dyDescent="0.2">
      <c r="B788" s="3"/>
      <c r="C788" s="3"/>
      <c r="D788" s="3"/>
      <c r="E788" s="3"/>
      <c r="F788" s="89"/>
      <c r="G788" s="3"/>
      <c r="H788" s="89"/>
      <c r="I788" s="90"/>
      <c r="K788" s="31"/>
    </row>
    <row r="789" spans="2:11" s="13" customFormat="1" x14ac:dyDescent="0.2">
      <c r="B789" s="3"/>
      <c r="C789" s="3"/>
      <c r="D789" s="3"/>
      <c r="E789" s="3"/>
      <c r="F789" s="89"/>
      <c r="G789" s="3"/>
      <c r="H789" s="89"/>
      <c r="I789" s="90"/>
      <c r="K789" s="31"/>
    </row>
    <row r="790" spans="2:11" s="13" customFormat="1" x14ac:dyDescent="0.2">
      <c r="B790" s="3"/>
      <c r="C790" s="3"/>
      <c r="D790" s="3"/>
      <c r="E790" s="3"/>
      <c r="F790" s="89"/>
      <c r="G790" s="3"/>
      <c r="H790" s="89"/>
      <c r="I790" s="90"/>
      <c r="K790" s="31"/>
    </row>
    <row r="791" spans="2:11" s="13" customFormat="1" x14ac:dyDescent="0.2">
      <c r="B791" s="3"/>
      <c r="C791" s="3"/>
      <c r="D791" s="3"/>
      <c r="E791" s="3"/>
      <c r="F791" s="89"/>
      <c r="G791" s="3"/>
      <c r="H791" s="89"/>
      <c r="I791" s="90"/>
      <c r="K791" s="31"/>
    </row>
    <row r="792" spans="2:11" s="13" customFormat="1" x14ac:dyDescent="0.2">
      <c r="B792" s="3"/>
      <c r="C792" s="3"/>
      <c r="D792" s="3"/>
      <c r="E792" s="3"/>
      <c r="F792" s="89"/>
      <c r="G792" s="3"/>
      <c r="H792" s="89"/>
      <c r="I792" s="90"/>
      <c r="K792" s="31"/>
    </row>
    <row r="793" spans="2:11" s="13" customFormat="1" x14ac:dyDescent="0.2">
      <c r="B793" s="3"/>
      <c r="C793" s="3"/>
      <c r="D793" s="3"/>
      <c r="E793" s="3"/>
      <c r="F793" s="89"/>
      <c r="G793" s="3"/>
      <c r="H793" s="89"/>
      <c r="I793" s="90"/>
      <c r="K793" s="31"/>
    </row>
    <row r="794" spans="2:11" s="13" customFormat="1" x14ac:dyDescent="0.2">
      <c r="B794" s="3"/>
      <c r="C794" s="3"/>
      <c r="D794" s="3"/>
      <c r="E794" s="3"/>
      <c r="F794" s="89"/>
      <c r="G794" s="3"/>
      <c r="H794" s="89"/>
      <c r="I794" s="90"/>
      <c r="K794" s="31"/>
    </row>
    <row r="795" spans="2:11" s="13" customFormat="1" x14ac:dyDescent="0.2">
      <c r="B795" s="3"/>
      <c r="C795" s="3"/>
      <c r="D795" s="3"/>
      <c r="E795" s="3"/>
      <c r="F795" s="89"/>
      <c r="G795" s="3"/>
      <c r="H795" s="89"/>
      <c r="I795" s="90"/>
      <c r="K795" s="31"/>
    </row>
    <row r="796" spans="2:11" s="13" customFormat="1" x14ac:dyDescent="0.2">
      <c r="B796" s="3"/>
      <c r="C796" s="3"/>
      <c r="D796" s="3"/>
      <c r="E796" s="3"/>
      <c r="F796" s="89"/>
      <c r="G796" s="3"/>
      <c r="H796" s="89"/>
      <c r="I796" s="90"/>
      <c r="K796" s="31"/>
    </row>
    <row r="797" spans="2:11" s="13" customFormat="1" x14ac:dyDescent="0.2">
      <c r="B797" s="3"/>
      <c r="C797" s="3"/>
      <c r="D797" s="3"/>
      <c r="E797" s="3"/>
      <c r="F797" s="89"/>
      <c r="G797" s="3"/>
      <c r="H797" s="89"/>
      <c r="I797" s="90"/>
      <c r="K797" s="31"/>
    </row>
    <row r="798" spans="2:11" s="13" customFormat="1" x14ac:dyDescent="0.2">
      <c r="B798" s="3"/>
      <c r="C798" s="3"/>
      <c r="D798" s="3"/>
      <c r="E798" s="3"/>
      <c r="F798" s="89"/>
      <c r="G798" s="3"/>
      <c r="H798" s="89"/>
      <c r="I798" s="90"/>
      <c r="K798" s="31"/>
    </row>
    <row r="799" spans="2:11" s="13" customFormat="1" x14ac:dyDescent="0.2">
      <c r="B799" s="3"/>
      <c r="C799" s="3"/>
      <c r="D799" s="3"/>
      <c r="E799" s="3"/>
      <c r="F799" s="89"/>
      <c r="G799" s="3"/>
      <c r="H799" s="89"/>
      <c r="I799" s="90"/>
      <c r="K799" s="31"/>
    </row>
    <row r="800" spans="2:11" s="13" customFormat="1" x14ac:dyDescent="0.2">
      <c r="B800" s="3"/>
      <c r="C800" s="3"/>
      <c r="D800" s="3"/>
      <c r="E800" s="3"/>
      <c r="F800" s="89"/>
      <c r="G800" s="3"/>
      <c r="H800" s="89"/>
      <c r="I800" s="90"/>
      <c r="K800" s="31"/>
    </row>
    <row r="801" spans="2:11" s="13" customFormat="1" x14ac:dyDescent="0.2">
      <c r="B801" s="3"/>
      <c r="C801" s="3"/>
      <c r="D801" s="3"/>
      <c r="E801" s="3"/>
      <c r="F801" s="89"/>
      <c r="G801" s="3"/>
      <c r="H801" s="89"/>
      <c r="I801" s="90"/>
      <c r="K801" s="31"/>
    </row>
    <row r="802" spans="2:11" s="13" customFormat="1" x14ac:dyDescent="0.2">
      <c r="B802" s="3"/>
      <c r="C802" s="3"/>
      <c r="D802" s="3"/>
      <c r="E802" s="3"/>
      <c r="F802" s="89"/>
      <c r="G802" s="3"/>
      <c r="H802" s="89"/>
      <c r="I802" s="90"/>
      <c r="K802" s="31"/>
    </row>
    <row r="803" spans="2:11" s="13" customFormat="1" x14ac:dyDescent="0.2">
      <c r="B803" s="3"/>
      <c r="C803" s="3"/>
      <c r="D803" s="3"/>
      <c r="E803" s="3"/>
      <c r="F803" s="89"/>
      <c r="G803" s="3"/>
      <c r="H803" s="89"/>
      <c r="I803" s="90"/>
      <c r="K803" s="31"/>
    </row>
    <row r="804" spans="2:11" s="13" customFormat="1" x14ac:dyDescent="0.2">
      <c r="B804" s="3"/>
      <c r="C804" s="3"/>
      <c r="D804" s="3"/>
      <c r="E804" s="3"/>
      <c r="F804" s="89"/>
      <c r="G804" s="3"/>
      <c r="H804" s="89"/>
      <c r="I804" s="90"/>
      <c r="K804" s="31"/>
    </row>
    <row r="805" spans="2:11" s="13" customFormat="1" x14ac:dyDescent="0.2">
      <c r="B805" s="3"/>
      <c r="C805" s="3"/>
      <c r="D805" s="3"/>
      <c r="E805" s="3"/>
      <c r="F805" s="89"/>
      <c r="G805" s="3"/>
      <c r="H805" s="89"/>
      <c r="I805" s="90"/>
      <c r="K805" s="31"/>
    </row>
    <row r="806" spans="2:11" s="13" customFormat="1" x14ac:dyDescent="0.2">
      <c r="B806" s="3"/>
      <c r="C806" s="3"/>
      <c r="D806" s="3"/>
      <c r="E806" s="3"/>
      <c r="F806" s="89"/>
      <c r="G806" s="3"/>
      <c r="H806" s="89"/>
      <c r="I806" s="90"/>
      <c r="K806" s="31"/>
    </row>
    <row r="807" spans="2:11" s="13" customFormat="1" x14ac:dyDescent="0.2">
      <c r="B807" s="3"/>
      <c r="C807" s="3"/>
      <c r="D807" s="3"/>
      <c r="E807" s="3"/>
      <c r="F807" s="89"/>
      <c r="G807" s="3"/>
      <c r="H807" s="89"/>
      <c r="I807" s="90"/>
      <c r="K807" s="31"/>
    </row>
    <row r="808" spans="2:11" s="13" customFormat="1" x14ac:dyDescent="0.2">
      <c r="B808" s="3"/>
      <c r="C808" s="3"/>
      <c r="D808" s="3"/>
      <c r="E808" s="3"/>
      <c r="F808" s="89"/>
      <c r="G808" s="3"/>
      <c r="H808" s="89"/>
      <c r="I808" s="90"/>
      <c r="K808" s="31"/>
    </row>
    <row r="809" spans="2:11" s="13" customFormat="1" x14ac:dyDescent="0.2">
      <c r="B809" s="3"/>
      <c r="C809" s="3"/>
      <c r="D809" s="3"/>
      <c r="E809" s="3"/>
      <c r="F809" s="89"/>
      <c r="G809" s="3"/>
      <c r="H809" s="89"/>
      <c r="I809" s="90"/>
      <c r="K809" s="31"/>
    </row>
    <row r="810" spans="2:11" s="13" customFormat="1" x14ac:dyDescent="0.2">
      <c r="B810" s="3"/>
      <c r="C810" s="3"/>
      <c r="D810" s="3"/>
      <c r="E810" s="3"/>
      <c r="F810" s="89"/>
      <c r="G810" s="3"/>
      <c r="H810" s="89"/>
      <c r="I810" s="90"/>
      <c r="K810" s="31"/>
    </row>
    <row r="811" spans="2:11" s="13" customFormat="1" x14ac:dyDescent="0.2">
      <c r="B811" s="3"/>
      <c r="C811" s="3"/>
      <c r="D811" s="3"/>
      <c r="E811" s="3"/>
      <c r="F811" s="89"/>
      <c r="G811" s="3"/>
      <c r="H811" s="89"/>
      <c r="I811" s="90"/>
      <c r="K811" s="31"/>
    </row>
    <row r="812" spans="2:11" s="13" customFormat="1" x14ac:dyDescent="0.2">
      <c r="B812" s="3"/>
      <c r="C812" s="3"/>
      <c r="D812" s="3"/>
      <c r="E812" s="3"/>
      <c r="F812" s="89"/>
      <c r="G812" s="3"/>
      <c r="H812" s="89"/>
      <c r="I812" s="90"/>
      <c r="K812" s="31"/>
    </row>
    <row r="813" spans="2:11" s="13" customFormat="1" x14ac:dyDescent="0.2">
      <c r="B813" s="3"/>
      <c r="C813" s="3"/>
      <c r="D813" s="3"/>
      <c r="E813" s="3"/>
      <c r="F813" s="89"/>
      <c r="G813" s="3"/>
      <c r="H813" s="89"/>
      <c r="I813" s="90"/>
      <c r="K813" s="31"/>
    </row>
    <row r="814" spans="2:11" s="13" customFormat="1" x14ac:dyDescent="0.2">
      <c r="B814" s="3"/>
      <c r="C814" s="3"/>
      <c r="D814" s="3"/>
      <c r="E814" s="3"/>
      <c r="F814" s="89"/>
      <c r="G814" s="3"/>
      <c r="H814" s="89"/>
      <c r="I814" s="90"/>
      <c r="K814" s="31"/>
    </row>
    <row r="815" spans="2:11" s="13" customFormat="1" x14ac:dyDescent="0.2">
      <c r="B815" s="3"/>
      <c r="C815" s="3"/>
      <c r="D815" s="3"/>
      <c r="E815" s="3"/>
      <c r="F815" s="89"/>
      <c r="G815" s="3"/>
      <c r="H815" s="89"/>
      <c r="I815" s="90"/>
      <c r="K815" s="31"/>
    </row>
    <row r="816" spans="2:11" s="13" customFormat="1" x14ac:dyDescent="0.2">
      <c r="B816" s="3"/>
      <c r="C816" s="3"/>
      <c r="D816" s="3"/>
      <c r="E816" s="3"/>
      <c r="F816" s="89"/>
      <c r="G816" s="3"/>
      <c r="H816" s="89"/>
      <c r="I816" s="90"/>
      <c r="K816" s="31"/>
    </row>
    <row r="817" spans="2:11" s="13" customFormat="1" x14ac:dyDescent="0.2">
      <c r="B817" s="3"/>
      <c r="C817" s="3"/>
      <c r="D817" s="3"/>
      <c r="E817" s="3"/>
      <c r="F817" s="89"/>
      <c r="G817" s="3"/>
      <c r="H817" s="89"/>
      <c r="I817" s="90"/>
      <c r="K817" s="31"/>
    </row>
    <row r="818" spans="2:11" s="13" customFormat="1" x14ac:dyDescent="0.2">
      <c r="B818" s="3"/>
      <c r="C818" s="3"/>
      <c r="D818" s="3"/>
      <c r="E818" s="3"/>
      <c r="F818" s="89"/>
      <c r="G818" s="3"/>
      <c r="H818" s="89"/>
      <c r="I818" s="90"/>
      <c r="K818" s="31"/>
    </row>
    <row r="819" spans="2:11" s="13" customFormat="1" x14ac:dyDescent="0.2">
      <c r="B819" s="3"/>
      <c r="C819" s="3"/>
      <c r="D819" s="3"/>
      <c r="E819" s="3"/>
      <c r="F819" s="89"/>
      <c r="G819" s="3"/>
      <c r="H819" s="89"/>
      <c r="I819" s="90"/>
      <c r="K819" s="31"/>
    </row>
    <row r="820" spans="2:11" s="13" customFormat="1" x14ac:dyDescent="0.2">
      <c r="B820" s="3"/>
      <c r="C820" s="3"/>
      <c r="D820" s="3"/>
      <c r="E820" s="3"/>
      <c r="F820" s="89"/>
      <c r="G820" s="3"/>
      <c r="H820" s="89"/>
      <c r="I820" s="90"/>
      <c r="K820" s="31"/>
    </row>
    <row r="821" spans="2:11" s="13" customFormat="1" x14ac:dyDescent="0.2">
      <c r="B821" s="3"/>
      <c r="C821" s="3"/>
      <c r="D821" s="3"/>
      <c r="E821" s="3"/>
      <c r="F821" s="89"/>
      <c r="G821" s="3"/>
      <c r="H821" s="89"/>
      <c r="I821" s="90"/>
      <c r="K821" s="31"/>
    </row>
    <row r="822" spans="2:11" s="13" customFormat="1" x14ac:dyDescent="0.2">
      <c r="B822" s="3"/>
      <c r="C822" s="3"/>
      <c r="D822" s="3"/>
      <c r="E822" s="3"/>
      <c r="F822" s="89"/>
      <c r="G822" s="3"/>
      <c r="H822" s="89"/>
      <c r="I822" s="90"/>
      <c r="K822" s="31"/>
    </row>
    <row r="823" spans="2:11" s="13" customFormat="1" x14ac:dyDescent="0.2">
      <c r="B823" s="3"/>
      <c r="C823" s="3"/>
      <c r="D823" s="3"/>
      <c r="E823" s="3"/>
      <c r="F823" s="89"/>
      <c r="G823" s="3"/>
      <c r="H823" s="89"/>
      <c r="I823" s="90"/>
      <c r="K823" s="31"/>
    </row>
    <row r="824" spans="2:11" s="13" customFormat="1" x14ac:dyDescent="0.2">
      <c r="B824" s="3"/>
      <c r="C824" s="3"/>
      <c r="D824" s="3"/>
      <c r="E824" s="3"/>
      <c r="F824" s="89"/>
      <c r="G824" s="3"/>
      <c r="H824" s="89"/>
      <c r="I824" s="90"/>
      <c r="K824" s="31"/>
    </row>
    <row r="825" spans="2:11" s="13" customFormat="1" x14ac:dyDescent="0.2">
      <c r="B825" s="3"/>
      <c r="C825" s="3"/>
      <c r="D825" s="3"/>
      <c r="E825" s="3"/>
      <c r="F825" s="89"/>
      <c r="G825" s="3"/>
      <c r="H825" s="89"/>
      <c r="I825" s="90"/>
      <c r="K825" s="31"/>
    </row>
    <row r="826" spans="2:11" s="13" customFormat="1" x14ac:dyDescent="0.2">
      <c r="B826" s="3"/>
      <c r="C826" s="3"/>
      <c r="D826" s="3"/>
      <c r="E826" s="3"/>
      <c r="F826" s="89"/>
      <c r="G826" s="3"/>
      <c r="H826" s="89"/>
      <c r="I826" s="90"/>
      <c r="K826" s="31"/>
    </row>
    <row r="827" spans="2:11" s="13" customFormat="1" x14ac:dyDescent="0.2">
      <c r="B827" s="3"/>
      <c r="C827" s="3"/>
      <c r="D827" s="3"/>
      <c r="E827" s="3"/>
      <c r="F827" s="89"/>
      <c r="G827" s="3"/>
      <c r="H827" s="89"/>
      <c r="I827" s="90"/>
      <c r="K827" s="31"/>
    </row>
    <row r="828" spans="2:11" s="13" customFormat="1" x14ac:dyDescent="0.2">
      <c r="B828" s="3"/>
      <c r="C828" s="3"/>
      <c r="D828" s="3"/>
      <c r="E828" s="3"/>
      <c r="F828" s="89"/>
      <c r="G828" s="3"/>
      <c r="H828" s="89"/>
      <c r="I828" s="90"/>
      <c r="K828" s="31"/>
    </row>
    <row r="829" spans="2:11" s="13" customFormat="1" x14ac:dyDescent="0.2">
      <c r="B829" s="3"/>
      <c r="C829" s="3"/>
      <c r="D829" s="3"/>
      <c r="E829" s="3"/>
      <c r="F829" s="89"/>
      <c r="G829" s="3"/>
      <c r="H829" s="89"/>
      <c r="I829" s="90"/>
      <c r="K829" s="31"/>
    </row>
    <row r="830" spans="2:11" s="13" customFormat="1" x14ac:dyDescent="0.2">
      <c r="B830" s="3"/>
      <c r="C830" s="3"/>
      <c r="D830" s="3"/>
      <c r="E830" s="3"/>
      <c r="F830" s="89"/>
      <c r="G830" s="3"/>
      <c r="H830" s="89"/>
      <c r="I830" s="90"/>
      <c r="K830" s="31"/>
    </row>
    <row r="831" spans="2:11" s="13" customFormat="1" x14ac:dyDescent="0.2">
      <c r="B831" s="3"/>
      <c r="C831" s="3"/>
      <c r="D831" s="3"/>
      <c r="E831" s="3"/>
      <c r="F831" s="89"/>
      <c r="G831" s="3"/>
      <c r="H831" s="89"/>
      <c r="I831" s="90"/>
      <c r="K831" s="31"/>
    </row>
    <row r="832" spans="2:11" s="13" customFormat="1" x14ac:dyDescent="0.2">
      <c r="B832" s="3"/>
      <c r="C832" s="3"/>
      <c r="D832" s="3"/>
      <c r="E832" s="3"/>
      <c r="F832" s="89"/>
      <c r="G832" s="3"/>
      <c r="H832" s="89"/>
      <c r="I832" s="90"/>
      <c r="K832" s="31"/>
    </row>
    <row r="833" spans="2:11" s="13" customFormat="1" x14ac:dyDescent="0.2">
      <c r="B833" s="3"/>
      <c r="C833" s="3"/>
      <c r="D833" s="3"/>
      <c r="E833" s="3"/>
      <c r="F833" s="89"/>
      <c r="G833" s="3"/>
      <c r="H833" s="89"/>
      <c r="I833" s="90"/>
      <c r="K833" s="31"/>
    </row>
    <row r="834" spans="2:11" s="13" customFormat="1" x14ac:dyDescent="0.2">
      <c r="B834" s="3"/>
      <c r="C834" s="3"/>
      <c r="D834" s="3"/>
      <c r="E834" s="3"/>
      <c r="F834" s="89"/>
      <c r="G834" s="3"/>
      <c r="H834" s="89"/>
      <c r="I834" s="90"/>
      <c r="K834" s="31"/>
    </row>
    <row r="835" spans="2:11" s="13" customFormat="1" x14ac:dyDescent="0.2">
      <c r="B835" s="3"/>
      <c r="C835" s="3"/>
      <c r="D835" s="3"/>
      <c r="E835" s="3"/>
      <c r="F835" s="89"/>
      <c r="G835" s="3"/>
      <c r="H835" s="89"/>
      <c r="I835" s="90"/>
      <c r="K835" s="31"/>
    </row>
    <row r="836" spans="2:11" s="13" customFormat="1" x14ac:dyDescent="0.2">
      <c r="B836" s="3"/>
      <c r="C836" s="3"/>
      <c r="D836" s="3"/>
      <c r="E836" s="3"/>
      <c r="F836" s="89"/>
      <c r="G836" s="3"/>
      <c r="H836" s="89"/>
      <c r="I836" s="90"/>
      <c r="K836" s="31"/>
    </row>
    <row r="837" spans="2:11" s="13" customFormat="1" x14ac:dyDescent="0.2">
      <c r="B837" s="3"/>
      <c r="C837" s="3"/>
      <c r="D837" s="3"/>
      <c r="E837" s="3"/>
      <c r="F837" s="89"/>
      <c r="G837" s="3"/>
      <c r="H837" s="89"/>
      <c r="I837" s="90"/>
      <c r="K837" s="31"/>
    </row>
    <row r="838" spans="2:11" s="13" customFormat="1" x14ac:dyDescent="0.2">
      <c r="B838" s="3"/>
      <c r="C838" s="3"/>
      <c r="D838" s="3"/>
      <c r="E838" s="3"/>
      <c r="F838" s="89"/>
      <c r="G838" s="3"/>
      <c r="H838" s="89"/>
      <c r="I838" s="90"/>
      <c r="K838" s="31"/>
    </row>
    <row r="839" spans="2:11" s="13" customFormat="1" x14ac:dyDescent="0.2">
      <c r="B839" s="3"/>
      <c r="C839" s="3"/>
      <c r="D839" s="3"/>
      <c r="E839" s="3"/>
      <c r="F839" s="89"/>
      <c r="G839" s="3"/>
      <c r="H839" s="89"/>
      <c r="I839" s="90"/>
      <c r="K839" s="31"/>
    </row>
    <row r="840" spans="2:11" s="13" customFormat="1" x14ac:dyDescent="0.2">
      <c r="B840" s="3"/>
      <c r="C840" s="3"/>
      <c r="D840" s="3"/>
      <c r="E840" s="3"/>
      <c r="F840" s="89"/>
      <c r="G840" s="3"/>
      <c r="H840" s="89"/>
      <c r="I840" s="90"/>
      <c r="K840" s="31"/>
    </row>
    <row r="841" spans="2:11" s="13" customFormat="1" x14ac:dyDescent="0.2">
      <c r="B841" s="3"/>
      <c r="C841" s="3"/>
      <c r="D841" s="3"/>
      <c r="E841" s="3"/>
      <c r="F841" s="89"/>
      <c r="G841" s="3"/>
      <c r="H841" s="89"/>
      <c r="I841" s="90"/>
      <c r="K841" s="31"/>
    </row>
    <row r="842" spans="2:11" s="13" customFormat="1" x14ac:dyDescent="0.2">
      <c r="B842" s="3"/>
      <c r="C842" s="3"/>
      <c r="D842" s="3"/>
      <c r="E842" s="3"/>
      <c r="F842" s="89"/>
      <c r="G842" s="3"/>
      <c r="H842" s="89"/>
      <c r="I842" s="90"/>
      <c r="K842" s="31"/>
    </row>
    <row r="843" spans="2:11" s="13" customFormat="1" x14ac:dyDescent="0.2">
      <c r="B843" s="3"/>
      <c r="C843" s="3"/>
      <c r="D843" s="3"/>
      <c r="E843" s="3"/>
      <c r="F843" s="89"/>
      <c r="G843" s="3"/>
      <c r="H843" s="89"/>
      <c r="I843" s="90"/>
      <c r="K843" s="31"/>
    </row>
    <row r="844" spans="2:11" s="13" customFormat="1" x14ac:dyDescent="0.2">
      <c r="B844" s="3"/>
      <c r="C844" s="3"/>
      <c r="D844" s="3"/>
      <c r="E844" s="3"/>
      <c r="F844" s="89"/>
      <c r="G844" s="3"/>
      <c r="H844" s="89"/>
      <c r="I844" s="90"/>
      <c r="K844" s="31"/>
    </row>
    <row r="845" spans="2:11" s="13" customFormat="1" x14ac:dyDescent="0.2">
      <c r="B845" s="3"/>
      <c r="C845" s="3"/>
      <c r="D845" s="3"/>
      <c r="E845" s="3"/>
      <c r="F845" s="89"/>
      <c r="G845" s="3"/>
      <c r="H845" s="89"/>
      <c r="I845" s="90"/>
      <c r="K845" s="31"/>
    </row>
    <row r="846" spans="2:11" s="13" customFormat="1" x14ac:dyDescent="0.2">
      <c r="B846" s="3"/>
      <c r="C846" s="3"/>
      <c r="D846" s="3"/>
      <c r="E846" s="3"/>
      <c r="F846" s="89"/>
      <c r="G846" s="3"/>
      <c r="H846" s="89"/>
      <c r="I846" s="90"/>
      <c r="K846" s="31"/>
    </row>
    <row r="847" spans="2:11" s="13" customFormat="1" x14ac:dyDescent="0.2">
      <c r="B847" s="3"/>
      <c r="C847" s="3"/>
      <c r="D847" s="3"/>
      <c r="E847" s="3"/>
      <c r="F847" s="89"/>
      <c r="G847" s="3"/>
      <c r="H847" s="89"/>
      <c r="I847" s="90"/>
      <c r="K847" s="31"/>
    </row>
    <row r="848" spans="2:11" s="13" customFormat="1" x14ac:dyDescent="0.2">
      <c r="B848" s="3"/>
      <c r="C848" s="3"/>
      <c r="D848" s="3"/>
      <c r="E848" s="3"/>
      <c r="F848" s="89"/>
      <c r="G848" s="3"/>
      <c r="H848" s="89"/>
      <c r="I848" s="90"/>
      <c r="K848" s="31"/>
    </row>
    <row r="849" spans="2:11" s="13" customFormat="1" x14ac:dyDescent="0.2">
      <c r="B849" s="3"/>
      <c r="C849" s="3"/>
      <c r="D849" s="3"/>
      <c r="E849" s="3"/>
      <c r="F849" s="89"/>
      <c r="G849" s="3"/>
      <c r="H849" s="89"/>
      <c r="I849" s="90"/>
      <c r="K849" s="31"/>
    </row>
    <row r="850" spans="2:11" s="13" customFormat="1" x14ac:dyDescent="0.2">
      <c r="B850" s="3"/>
      <c r="C850" s="3"/>
      <c r="D850" s="3"/>
      <c r="E850" s="3"/>
      <c r="F850" s="89"/>
      <c r="G850" s="3"/>
      <c r="H850" s="89"/>
      <c r="I850" s="90"/>
      <c r="K850" s="31"/>
    </row>
    <row r="851" spans="2:11" s="13" customFormat="1" x14ac:dyDescent="0.2">
      <c r="B851" s="3"/>
      <c r="C851" s="3"/>
      <c r="D851" s="3"/>
      <c r="E851" s="3"/>
      <c r="F851" s="89"/>
      <c r="G851" s="3"/>
      <c r="H851" s="89"/>
      <c r="I851" s="90"/>
      <c r="K851" s="31"/>
    </row>
    <row r="852" spans="2:11" s="13" customFormat="1" x14ac:dyDescent="0.2">
      <c r="B852" s="3"/>
      <c r="C852" s="3"/>
      <c r="D852" s="3"/>
      <c r="E852" s="3"/>
      <c r="F852" s="89"/>
      <c r="G852" s="3"/>
      <c r="H852" s="89"/>
      <c r="I852" s="90"/>
      <c r="K852" s="31"/>
    </row>
    <row r="853" spans="2:11" s="13" customFormat="1" x14ac:dyDescent="0.2">
      <c r="B853" s="3"/>
      <c r="C853" s="3"/>
      <c r="D853" s="3"/>
      <c r="E853" s="3"/>
      <c r="F853" s="89"/>
      <c r="G853" s="3"/>
      <c r="H853" s="89"/>
      <c r="I853" s="90"/>
      <c r="K853" s="31"/>
    </row>
    <row r="854" spans="2:11" s="13" customFormat="1" x14ac:dyDescent="0.2">
      <c r="B854" s="3"/>
      <c r="C854" s="3"/>
      <c r="D854" s="3"/>
      <c r="E854" s="3"/>
      <c r="F854" s="89"/>
      <c r="G854" s="3"/>
      <c r="H854" s="89"/>
      <c r="I854" s="90"/>
      <c r="K854" s="31"/>
    </row>
    <row r="855" spans="2:11" s="13" customFormat="1" x14ac:dyDescent="0.2">
      <c r="B855" s="3"/>
      <c r="C855" s="3"/>
      <c r="D855" s="3"/>
      <c r="E855" s="3"/>
      <c r="F855" s="89"/>
      <c r="G855" s="3"/>
      <c r="H855" s="89"/>
      <c r="I855" s="90"/>
      <c r="K855" s="31"/>
    </row>
    <row r="856" spans="2:11" s="13" customFormat="1" x14ac:dyDescent="0.2">
      <c r="B856" s="3"/>
      <c r="C856" s="3"/>
      <c r="D856" s="3"/>
      <c r="E856" s="3"/>
      <c r="F856" s="89"/>
      <c r="G856" s="3"/>
      <c r="H856" s="89"/>
      <c r="I856" s="90"/>
      <c r="K856" s="31"/>
    </row>
    <row r="857" spans="2:11" s="13" customFormat="1" x14ac:dyDescent="0.2">
      <c r="B857" s="3"/>
      <c r="C857" s="3"/>
      <c r="D857" s="3"/>
      <c r="E857" s="3"/>
      <c r="F857" s="89"/>
      <c r="G857" s="3"/>
      <c r="H857" s="89"/>
      <c r="I857" s="90"/>
      <c r="K857" s="31"/>
    </row>
    <row r="858" spans="2:11" s="13" customFormat="1" x14ac:dyDescent="0.2">
      <c r="B858" s="3"/>
      <c r="C858" s="3"/>
      <c r="D858" s="3"/>
      <c r="E858" s="3"/>
      <c r="F858" s="89"/>
      <c r="G858" s="3"/>
      <c r="H858" s="89"/>
      <c r="I858" s="90"/>
      <c r="K858" s="31"/>
    </row>
    <row r="859" spans="2:11" s="13" customFormat="1" x14ac:dyDescent="0.2">
      <c r="B859" s="3"/>
      <c r="C859" s="3"/>
      <c r="D859" s="3"/>
      <c r="E859" s="3"/>
      <c r="F859" s="89"/>
      <c r="G859" s="3"/>
      <c r="H859" s="89"/>
      <c r="I859" s="90"/>
      <c r="K859" s="31"/>
    </row>
    <row r="860" spans="2:11" s="13" customFormat="1" x14ac:dyDescent="0.2">
      <c r="B860" s="3"/>
      <c r="C860" s="3"/>
      <c r="D860" s="3"/>
      <c r="E860" s="3"/>
      <c r="F860" s="89"/>
      <c r="G860" s="3"/>
      <c r="H860" s="89"/>
      <c r="I860" s="90"/>
      <c r="K860" s="31"/>
    </row>
    <row r="861" spans="2:11" s="13" customFormat="1" x14ac:dyDescent="0.2">
      <c r="B861" s="3"/>
      <c r="C861" s="3"/>
      <c r="D861" s="3"/>
      <c r="E861" s="3"/>
      <c r="F861" s="89"/>
      <c r="G861" s="3"/>
      <c r="H861" s="89"/>
      <c r="I861" s="90"/>
      <c r="K861" s="31"/>
    </row>
    <row r="862" spans="2:11" s="13" customFormat="1" x14ac:dyDescent="0.2">
      <c r="B862" s="3"/>
      <c r="C862" s="3"/>
      <c r="D862" s="3"/>
      <c r="E862" s="3"/>
      <c r="F862" s="89"/>
      <c r="G862" s="3"/>
      <c r="H862" s="89"/>
      <c r="I862" s="90"/>
      <c r="K862" s="31"/>
    </row>
    <row r="863" spans="2:11" s="13" customFormat="1" x14ac:dyDescent="0.2">
      <c r="B863" s="3"/>
      <c r="C863" s="3"/>
      <c r="D863" s="3"/>
      <c r="E863" s="3"/>
      <c r="F863" s="89"/>
      <c r="G863" s="3"/>
      <c r="H863" s="89"/>
      <c r="I863" s="90"/>
      <c r="K863" s="31"/>
    </row>
    <row r="864" spans="2:11" s="13" customFormat="1" x14ac:dyDescent="0.2">
      <c r="B864" s="3"/>
      <c r="C864" s="3"/>
      <c r="D864" s="3"/>
      <c r="E864" s="3"/>
      <c r="F864" s="89"/>
      <c r="G864" s="3"/>
      <c r="H864" s="89"/>
      <c r="I864" s="90"/>
      <c r="K864" s="31"/>
    </row>
    <row r="865" spans="2:11" s="13" customFormat="1" x14ac:dyDescent="0.2">
      <c r="B865" s="3"/>
      <c r="C865" s="3"/>
      <c r="D865" s="3"/>
      <c r="E865" s="3"/>
      <c r="F865" s="89"/>
      <c r="G865" s="3"/>
      <c r="H865" s="89"/>
      <c r="I865" s="90"/>
      <c r="K865" s="31"/>
    </row>
    <row r="866" spans="2:11" s="13" customFormat="1" x14ac:dyDescent="0.2">
      <c r="B866" s="3"/>
      <c r="C866" s="3"/>
      <c r="D866" s="3"/>
      <c r="E866" s="3"/>
      <c r="F866" s="89"/>
      <c r="G866" s="3"/>
      <c r="H866" s="89"/>
      <c r="I866" s="90"/>
      <c r="K866" s="31"/>
    </row>
    <row r="867" spans="2:11" s="13" customFormat="1" x14ac:dyDescent="0.2">
      <c r="B867" s="3"/>
      <c r="C867" s="3"/>
      <c r="D867" s="3"/>
      <c r="E867" s="3"/>
      <c r="F867" s="89"/>
      <c r="G867" s="3"/>
      <c r="H867" s="89"/>
      <c r="I867" s="90"/>
      <c r="K867" s="31"/>
    </row>
    <row r="868" spans="2:11" s="13" customFormat="1" x14ac:dyDescent="0.2">
      <c r="B868" s="3"/>
      <c r="C868" s="3"/>
      <c r="D868" s="3"/>
      <c r="E868" s="3"/>
      <c r="F868" s="89"/>
      <c r="G868" s="3"/>
      <c r="H868" s="89"/>
      <c r="I868" s="90"/>
      <c r="K868" s="31"/>
    </row>
    <row r="869" spans="2:11" s="13" customFormat="1" x14ac:dyDescent="0.2">
      <c r="B869" s="3"/>
      <c r="C869" s="3"/>
      <c r="D869" s="3"/>
      <c r="E869" s="3"/>
      <c r="F869" s="89"/>
      <c r="G869" s="3"/>
      <c r="H869" s="89"/>
      <c r="I869" s="90"/>
      <c r="K869" s="31"/>
    </row>
    <row r="870" spans="2:11" s="13" customFormat="1" x14ac:dyDescent="0.2">
      <c r="B870" s="3"/>
      <c r="C870" s="3"/>
      <c r="D870" s="3"/>
      <c r="E870" s="3"/>
      <c r="F870" s="89"/>
      <c r="G870" s="3"/>
      <c r="H870" s="89"/>
      <c r="I870" s="90"/>
      <c r="K870" s="31"/>
    </row>
  </sheetData>
  <mergeCells count="46">
    <mergeCell ref="G45:H45"/>
    <mergeCell ref="G46:H46"/>
    <mergeCell ref="G47:H47"/>
    <mergeCell ref="G38:H38"/>
    <mergeCell ref="E39:F41"/>
    <mergeCell ref="G39:H39"/>
    <mergeCell ref="G40:H40"/>
    <mergeCell ref="G41:H41"/>
    <mergeCell ref="E42:F44"/>
    <mergeCell ref="G42:H42"/>
    <mergeCell ref="G43:H43"/>
    <mergeCell ref="G44:H44"/>
    <mergeCell ref="B45:B47"/>
    <mergeCell ref="C45:C47"/>
    <mergeCell ref="D45:D47"/>
    <mergeCell ref="E38:F38"/>
    <mergeCell ref="E45:F47"/>
    <mergeCell ref="B39:B41"/>
    <mergeCell ref="C39:C41"/>
    <mergeCell ref="D39:D41"/>
    <mergeCell ref="B42:B44"/>
    <mergeCell ref="C42:C44"/>
    <mergeCell ref="D42:D44"/>
    <mergeCell ref="B26:B31"/>
    <mergeCell ref="C26:C31"/>
    <mergeCell ref="D26:D31"/>
    <mergeCell ref="E26:E31"/>
    <mergeCell ref="B32:B36"/>
    <mergeCell ref="C32:C36"/>
    <mergeCell ref="D32:D36"/>
    <mergeCell ref="E32:E36"/>
    <mergeCell ref="B20:B25"/>
    <mergeCell ref="C20:C25"/>
    <mergeCell ref="D20:D25"/>
    <mergeCell ref="E20:E25"/>
    <mergeCell ref="B2:J2"/>
    <mergeCell ref="B4:J4"/>
    <mergeCell ref="B6:H8"/>
    <mergeCell ref="I6:J6"/>
    <mergeCell ref="I7:J8"/>
    <mergeCell ref="C10:J10"/>
    <mergeCell ref="C11:J11"/>
    <mergeCell ref="B14:B19"/>
    <mergeCell ref="C14:C19"/>
    <mergeCell ref="D14:D19"/>
    <mergeCell ref="E14:E19"/>
  </mergeCells>
  <conditionalFormatting sqref="I1">
    <cfRule type="cellIs" dxfId="310" priority="19" operator="equal">
      <formula>1</formula>
    </cfRule>
  </conditionalFormatting>
  <conditionalFormatting sqref="I7">
    <cfRule type="cellIs" dxfId="309" priority="17" operator="equal">
      <formula>1</formula>
    </cfRule>
  </conditionalFormatting>
  <conditionalFormatting sqref="I48:I1048576">
    <cfRule type="cellIs" dxfId="304" priority="18" operator="equal">
      <formula>1</formula>
    </cfRule>
  </conditionalFormatting>
  <conditionalFormatting sqref="I39:I47">
    <cfRule type="expression" dxfId="147" priority="5" stopIfTrue="1">
      <formula>TRIM(UPPER(I39))="N/A"</formula>
    </cfRule>
    <cfRule type="expression" dxfId="146" priority="6">
      <formula>I39&gt;=0.9</formula>
    </cfRule>
    <cfRule type="expression" dxfId="145" priority="7">
      <formula>AND(I39&gt;=0.8, I39&lt;0.9)</formula>
    </cfRule>
    <cfRule type="expression" dxfId="144" priority="8">
      <formula>I39&lt;0.8</formula>
    </cfRule>
  </conditionalFormatting>
  <conditionalFormatting sqref="I14:I36">
    <cfRule type="expression" dxfId="143" priority="1" stopIfTrue="1">
      <formula>TRIM(UPPER(I14))="N/A"</formula>
    </cfRule>
    <cfRule type="expression" dxfId="142" priority="2">
      <formula>I14&gt;=0.9</formula>
    </cfRule>
    <cfRule type="expression" dxfId="141" priority="3">
      <formula>AND(I14&gt;=0.8, I14&lt;0.9)</formula>
    </cfRule>
    <cfRule type="expression" dxfId="140" priority="4">
      <formula>I14&lt;0.8</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9329E723-9191-8440-8168-FBCA75F79AA7}">
          <x14:formula1>
            <xm:f>'Listas desplegables'!$C$4:$C$15</xm:f>
          </x14:formula1>
          <xm:sqref>I39:I47 I14:I36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9EF54-52CE-4CF4-B85F-B893F9459C35}">
  <sheetPr>
    <tabColor rgb="FF0098AA"/>
  </sheetPr>
  <dimension ref="A1:AL313"/>
  <sheetViews>
    <sheetView zoomScale="80" zoomScaleNormal="80" workbookViewId="0">
      <selection activeCell="C11" sqref="C11:J11"/>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3" customWidth="1"/>
    <col min="14" max="38" width="10.6640625" style="13"/>
    <col min="39" max="16384" width="10.6640625" style="1"/>
  </cols>
  <sheetData>
    <row r="1" spans="2:38" ht="5.25" customHeight="1" x14ac:dyDescent="0.2"/>
    <row r="2" spans="2:38" ht="60" customHeight="1" x14ac:dyDescent="0.2">
      <c r="B2" s="155" t="s">
        <v>28</v>
      </c>
      <c r="C2" s="155"/>
      <c r="D2" s="155"/>
      <c r="E2" s="155"/>
      <c r="F2" s="155"/>
      <c r="G2" s="155"/>
      <c r="H2" s="155"/>
      <c r="I2" s="155"/>
      <c r="J2" s="156"/>
      <c r="K2" s="31"/>
      <c r="L2" s="13"/>
    </row>
    <row r="3" spans="2:38" s="13" customFormat="1" ht="4.5" customHeight="1" x14ac:dyDescent="0.2">
      <c r="B3" s="14"/>
      <c r="C3" s="14"/>
      <c r="D3" s="14"/>
      <c r="E3" s="14"/>
      <c r="F3" s="14"/>
      <c r="G3" s="45"/>
      <c r="H3" s="14"/>
      <c r="I3" s="14"/>
      <c r="K3" s="31"/>
    </row>
    <row r="4" spans="2:38" s="2" customFormat="1" ht="45" customHeight="1" x14ac:dyDescent="0.2">
      <c r="B4" s="157" t="s">
        <v>1185</v>
      </c>
      <c r="C4" s="158"/>
      <c r="D4" s="158"/>
      <c r="E4" s="158"/>
      <c r="F4" s="158"/>
      <c r="G4" s="158"/>
      <c r="H4" s="158"/>
      <c r="I4" s="158"/>
      <c r="J4" s="159"/>
      <c r="K4" s="99"/>
      <c r="L4" s="3"/>
      <c r="M4" s="3"/>
      <c r="N4" s="3"/>
      <c r="O4" s="3"/>
      <c r="P4" s="3"/>
      <c r="Q4" s="3"/>
      <c r="R4" s="3"/>
      <c r="S4" s="3"/>
      <c r="T4" s="3"/>
      <c r="U4" s="3"/>
      <c r="V4" s="3"/>
      <c r="W4" s="3"/>
      <c r="X4" s="3"/>
      <c r="Y4" s="3"/>
      <c r="Z4" s="3"/>
      <c r="AA4" s="3"/>
      <c r="AB4" s="3"/>
      <c r="AC4" s="3"/>
      <c r="AD4" s="3"/>
      <c r="AE4" s="3"/>
      <c r="AF4" s="3"/>
      <c r="AG4" s="3"/>
      <c r="AH4" s="3"/>
      <c r="AI4" s="3"/>
      <c r="AJ4" s="3"/>
      <c r="AK4" s="3"/>
      <c r="AL4" s="3"/>
    </row>
    <row r="5" spans="2:38" ht="4.5" customHeight="1" x14ac:dyDescent="0.2">
      <c r="B5" s="7"/>
      <c r="C5" s="7"/>
      <c r="D5" s="7"/>
      <c r="E5" s="7"/>
      <c r="F5" s="8"/>
      <c r="G5" s="46"/>
      <c r="H5" s="8"/>
      <c r="I5" s="8"/>
      <c r="J5" s="8"/>
      <c r="K5" s="31"/>
      <c r="L5" s="13"/>
    </row>
    <row r="6" spans="2:38" ht="23" customHeight="1" x14ac:dyDescent="0.2">
      <c r="B6" s="160" t="s">
        <v>12</v>
      </c>
      <c r="C6" s="160"/>
      <c r="D6" s="160"/>
      <c r="E6" s="160"/>
      <c r="F6" s="160"/>
      <c r="G6" s="160"/>
      <c r="H6" s="160"/>
      <c r="I6" s="162" t="s">
        <v>11</v>
      </c>
      <c r="J6" s="108"/>
      <c r="K6" s="100"/>
      <c r="L6" s="31"/>
    </row>
    <row r="7" spans="2:38" ht="15.75" customHeight="1" x14ac:dyDescent="0.2">
      <c r="B7" s="160"/>
      <c r="C7" s="160"/>
      <c r="D7" s="160"/>
      <c r="E7" s="160"/>
      <c r="F7" s="160"/>
      <c r="G7" s="160"/>
      <c r="H7" s="160"/>
      <c r="I7" s="163" t="e">
        <f>AVERAGEIF(I14:I40,"&lt;&gt;N/A")</f>
        <v>#DIV/0!</v>
      </c>
      <c r="J7" s="164"/>
      <c r="K7" s="100"/>
      <c r="L7" s="31"/>
    </row>
    <row r="8" spans="2:38" ht="15.75" customHeight="1" x14ac:dyDescent="0.2">
      <c r="B8" s="161"/>
      <c r="C8" s="161"/>
      <c r="D8" s="161"/>
      <c r="E8" s="161"/>
      <c r="F8" s="161"/>
      <c r="G8" s="161"/>
      <c r="H8" s="161"/>
      <c r="I8" s="163"/>
      <c r="J8" s="164"/>
      <c r="K8" s="100"/>
      <c r="L8" s="31"/>
    </row>
    <row r="9" spans="2:38" ht="5.25" customHeight="1" x14ac:dyDescent="0.2">
      <c r="F9" s="5"/>
      <c r="G9" s="47"/>
      <c r="K9" s="31"/>
      <c r="L9" s="13"/>
    </row>
    <row r="10" spans="2:38" ht="106" customHeight="1" x14ac:dyDescent="0.2">
      <c r="B10" s="40" t="s">
        <v>13</v>
      </c>
      <c r="C10" s="147" t="s">
        <v>2422</v>
      </c>
      <c r="D10" s="148"/>
      <c r="E10" s="148"/>
      <c r="F10" s="148"/>
      <c r="G10" s="148"/>
      <c r="H10" s="148"/>
      <c r="I10" s="148"/>
      <c r="J10" s="149"/>
      <c r="K10" s="31"/>
      <c r="L10" s="13"/>
    </row>
    <row r="11" spans="2:38" ht="123" customHeight="1" x14ac:dyDescent="0.2">
      <c r="B11" s="39" t="s">
        <v>14</v>
      </c>
      <c r="C11" s="150" t="s">
        <v>2421</v>
      </c>
      <c r="D11" s="150"/>
      <c r="E11" s="150"/>
      <c r="F11" s="150"/>
      <c r="G11" s="150"/>
      <c r="H11" s="150"/>
      <c r="I11" s="150"/>
      <c r="J11" s="150"/>
      <c r="K11" s="31"/>
      <c r="L11" s="13"/>
    </row>
    <row r="12" spans="2:38" ht="5.25" customHeight="1" x14ac:dyDescent="0.2"/>
    <row r="13" spans="2:38" s="73" customFormat="1" ht="32" x14ac:dyDescent="0.2">
      <c r="B13" s="69" t="s">
        <v>34</v>
      </c>
      <c r="C13" s="69" t="s">
        <v>15</v>
      </c>
      <c r="D13" s="69" t="s">
        <v>108</v>
      </c>
      <c r="E13" s="69" t="s">
        <v>109</v>
      </c>
      <c r="F13" s="70" t="s">
        <v>32</v>
      </c>
      <c r="G13" s="69" t="s">
        <v>40</v>
      </c>
      <c r="H13" s="70" t="s">
        <v>16</v>
      </c>
      <c r="I13" s="71" t="s">
        <v>8</v>
      </c>
      <c r="J13" s="69" t="s">
        <v>17</v>
      </c>
      <c r="K13" s="72" t="s">
        <v>44</v>
      </c>
      <c r="L13" s="69" t="s">
        <v>45</v>
      </c>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row>
    <row r="14" spans="2:38" ht="95.5" customHeight="1" x14ac:dyDescent="0.2">
      <c r="B14" s="151" t="s">
        <v>88</v>
      </c>
      <c r="C14" s="151" t="s">
        <v>19</v>
      </c>
      <c r="D14" s="153" t="s">
        <v>1186</v>
      </c>
      <c r="E14" s="153" t="s">
        <v>1187</v>
      </c>
      <c r="F14" s="22" t="s">
        <v>1188</v>
      </c>
      <c r="G14" s="12" t="s">
        <v>36</v>
      </c>
      <c r="H14" s="34" t="s">
        <v>1189</v>
      </c>
      <c r="I14" s="28" t="s">
        <v>10</v>
      </c>
      <c r="J14" s="11"/>
      <c r="K14" s="33"/>
      <c r="L14" s="29"/>
    </row>
    <row r="15" spans="2:38" ht="54" customHeight="1" x14ac:dyDescent="0.2">
      <c r="B15" s="152"/>
      <c r="C15" s="152"/>
      <c r="D15" s="154"/>
      <c r="E15" s="154"/>
      <c r="F15" s="22" t="s">
        <v>1190</v>
      </c>
      <c r="G15" s="12" t="s">
        <v>35</v>
      </c>
      <c r="H15" s="34" t="s">
        <v>1191</v>
      </c>
      <c r="I15" s="28" t="s">
        <v>10</v>
      </c>
      <c r="J15" s="11"/>
      <c r="K15" s="33"/>
      <c r="L15" s="29"/>
    </row>
    <row r="16" spans="2:38" ht="138" customHeight="1" x14ac:dyDescent="0.2">
      <c r="B16" s="152"/>
      <c r="C16" s="152"/>
      <c r="D16" s="154"/>
      <c r="E16" s="154"/>
      <c r="F16" s="22" t="s">
        <v>1192</v>
      </c>
      <c r="G16" s="12" t="s">
        <v>43</v>
      </c>
      <c r="H16" s="34" t="s">
        <v>1193</v>
      </c>
      <c r="I16" s="28" t="s">
        <v>10</v>
      </c>
      <c r="J16" s="11"/>
      <c r="K16" s="33"/>
      <c r="L16" s="29"/>
    </row>
    <row r="17" spans="2:12" ht="56.5" customHeight="1" x14ac:dyDescent="0.2">
      <c r="B17" s="143" t="s">
        <v>1194</v>
      </c>
      <c r="C17" s="143" t="s">
        <v>20</v>
      </c>
      <c r="D17" s="145" t="s">
        <v>1195</v>
      </c>
      <c r="E17" s="145" t="s">
        <v>1196</v>
      </c>
      <c r="F17" s="23" t="s">
        <v>1197</v>
      </c>
      <c r="G17" s="41" t="s">
        <v>36</v>
      </c>
      <c r="H17" s="35" t="s">
        <v>1198</v>
      </c>
      <c r="I17" s="28" t="s">
        <v>10</v>
      </c>
      <c r="J17" s="36"/>
      <c r="K17" s="37"/>
      <c r="L17" s="38"/>
    </row>
    <row r="18" spans="2:12" ht="81" customHeight="1" x14ac:dyDescent="0.2">
      <c r="B18" s="144"/>
      <c r="C18" s="144"/>
      <c r="D18" s="146"/>
      <c r="E18" s="146"/>
      <c r="F18" s="23" t="s">
        <v>1199</v>
      </c>
      <c r="G18" s="41" t="s">
        <v>37</v>
      </c>
      <c r="H18" s="35" t="s">
        <v>1200</v>
      </c>
      <c r="I18" s="28" t="s">
        <v>10</v>
      </c>
      <c r="J18" s="36"/>
      <c r="K18" s="37"/>
      <c r="L18" s="38"/>
    </row>
    <row r="19" spans="2:12" ht="81" customHeight="1" x14ac:dyDescent="0.2">
      <c r="B19" s="144"/>
      <c r="C19" s="144"/>
      <c r="D19" s="146"/>
      <c r="E19" s="146"/>
      <c r="F19" s="23" t="s">
        <v>1201</v>
      </c>
      <c r="G19" s="41" t="s">
        <v>41</v>
      </c>
      <c r="H19" s="35" t="s">
        <v>1202</v>
      </c>
      <c r="I19" s="28" t="s">
        <v>10</v>
      </c>
      <c r="J19" s="36"/>
      <c r="K19" s="37"/>
      <c r="L19" s="38"/>
    </row>
    <row r="20" spans="2:12" ht="81" customHeight="1" x14ac:dyDescent="0.2">
      <c r="B20" s="144"/>
      <c r="C20" s="144"/>
      <c r="D20" s="146"/>
      <c r="E20" s="146"/>
      <c r="F20" s="23" t="s">
        <v>1203</v>
      </c>
      <c r="G20" s="41" t="s">
        <v>39</v>
      </c>
      <c r="H20" s="35" t="s">
        <v>1204</v>
      </c>
      <c r="I20" s="28" t="s">
        <v>10</v>
      </c>
      <c r="J20" s="36"/>
      <c r="K20" s="37"/>
      <c r="L20" s="38"/>
    </row>
    <row r="21" spans="2:12" ht="81" customHeight="1" x14ac:dyDescent="0.2">
      <c r="B21" s="144"/>
      <c r="C21" s="144"/>
      <c r="D21" s="146"/>
      <c r="E21" s="146"/>
      <c r="F21" s="23" t="s">
        <v>1205</v>
      </c>
      <c r="G21" s="41" t="s">
        <v>39</v>
      </c>
      <c r="H21" s="35" t="s">
        <v>1206</v>
      </c>
      <c r="I21" s="28" t="s">
        <v>10</v>
      </c>
      <c r="J21" s="36"/>
      <c r="K21" s="37"/>
      <c r="L21" s="38"/>
    </row>
    <row r="22" spans="2:12" ht="83.5" customHeight="1" x14ac:dyDescent="0.2">
      <c r="B22" s="144"/>
      <c r="C22" s="144"/>
      <c r="D22" s="146"/>
      <c r="E22" s="146"/>
      <c r="F22" s="23" t="s">
        <v>1207</v>
      </c>
      <c r="G22" s="41" t="s">
        <v>36</v>
      </c>
      <c r="H22" s="35" t="s">
        <v>1208</v>
      </c>
      <c r="I22" s="28" t="s">
        <v>10</v>
      </c>
      <c r="J22" s="36"/>
      <c r="K22" s="37"/>
      <c r="L22" s="38"/>
    </row>
    <row r="23" spans="2:12" ht="54" customHeight="1" x14ac:dyDescent="0.2">
      <c r="B23" s="151" t="s">
        <v>1194</v>
      </c>
      <c r="C23" s="151" t="s">
        <v>21</v>
      </c>
      <c r="D23" s="153" t="s">
        <v>1209</v>
      </c>
      <c r="E23" s="153" t="s">
        <v>1210</v>
      </c>
      <c r="F23" s="22" t="s">
        <v>1211</v>
      </c>
      <c r="G23" s="12" t="s">
        <v>39</v>
      </c>
      <c r="H23" s="34" t="s">
        <v>1212</v>
      </c>
      <c r="I23" s="28" t="s">
        <v>10</v>
      </c>
      <c r="J23" s="11"/>
      <c r="K23" s="33"/>
      <c r="L23" s="29"/>
    </row>
    <row r="24" spans="2:12" ht="54" customHeight="1" x14ac:dyDescent="0.2">
      <c r="B24" s="152"/>
      <c r="C24" s="152"/>
      <c r="D24" s="154"/>
      <c r="E24" s="154"/>
      <c r="F24" s="22" t="s">
        <v>1213</v>
      </c>
      <c r="G24" s="12" t="s">
        <v>37</v>
      </c>
      <c r="H24" s="34" t="s">
        <v>1214</v>
      </c>
      <c r="I24" s="28" t="s">
        <v>10</v>
      </c>
      <c r="J24" s="11"/>
      <c r="K24" s="33"/>
      <c r="L24" s="29"/>
    </row>
    <row r="25" spans="2:12" ht="54" customHeight="1" x14ac:dyDescent="0.2">
      <c r="B25" s="152"/>
      <c r="C25" s="152"/>
      <c r="D25" s="154"/>
      <c r="E25" s="154"/>
      <c r="F25" s="22" t="s">
        <v>1215</v>
      </c>
      <c r="G25" s="12" t="s">
        <v>37</v>
      </c>
      <c r="H25" s="34" t="s">
        <v>1216</v>
      </c>
      <c r="I25" s="28" t="s">
        <v>10</v>
      </c>
      <c r="J25" s="11"/>
      <c r="K25" s="33"/>
      <c r="L25" s="29"/>
    </row>
    <row r="26" spans="2:12" ht="54" customHeight="1" x14ac:dyDescent="0.2">
      <c r="B26" s="152"/>
      <c r="C26" s="152"/>
      <c r="D26" s="154"/>
      <c r="E26" s="154"/>
      <c r="F26" s="22" t="s">
        <v>1217</v>
      </c>
      <c r="G26" s="12" t="s">
        <v>38</v>
      </c>
      <c r="H26" s="34" t="s">
        <v>1218</v>
      </c>
      <c r="I26" s="28" t="s">
        <v>10</v>
      </c>
      <c r="J26" s="11"/>
      <c r="K26" s="33"/>
      <c r="L26" s="29"/>
    </row>
    <row r="27" spans="2:12" ht="54" customHeight="1" x14ac:dyDescent="0.2">
      <c r="B27" s="152"/>
      <c r="C27" s="152"/>
      <c r="D27" s="154"/>
      <c r="E27" s="154"/>
      <c r="F27" s="22" t="s">
        <v>1219</v>
      </c>
      <c r="G27" s="12" t="s">
        <v>38</v>
      </c>
      <c r="H27" s="34" t="s">
        <v>1220</v>
      </c>
      <c r="I27" s="28" t="s">
        <v>10</v>
      </c>
      <c r="J27" s="11"/>
      <c r="K27" s="33"/>
      <c r="L27" s="29"/>
    </row>
    <row r="28" spans="2:12" ht="74.5" customHeight="1" x14ac:dyDescent="0.2">
      <c r="B28" s="152"/>
      <c r="C28" s="152"/>
      <c r="D28" s="154"/>
      <c r="E28" s="154"/>
      <c r="F28" s="22" t="s">
        <v>1221</v>
      </c>
      <c r="G28" s="12" t="s">
        <v>36</v>
      </c>
      <c r="H28" s="34" t="s">
        <v>1222</v>
      </c>
      <c r="I28" s="28" t="s">
        <v>10</v>
      </c>
      <c r="J28" s="11"/>
      <c r="K28" s="33"/>
      <c r="L28" s="29"/>
    </row>
    <row r="29" spans="2:12" ht="89.5" customHeight="1" x14ac:dyDescent="0.2">
      <c r="B29" s="143" t="s">
        <v>1194</v>
      </c>
      <c r="C29" s="143" t="s">
        <v>22</v>
      </c>
      <c r="D29" s="145" t="s">
        <v>1223</v>
      </c>
      <c r="E29" s="145" t="s">
        <v>1224</v>
      </c>
      <c r="F29" s="23" t="s">
        <v>1225</v>
      </c>
      <c r="G29" s="41" t="s">
        <v>36</v>
      </c>
      <c r="H29" s="35" t="s">
        <v>1226</v>
      </c>
      <c r="I29" s="28" t="s">
        <v>10</v>
      </c>
      <c r="J29" s="36"/>
      <c r="K29" s="37"/>
      <c r="L29" s="38"/>
    </row>
    <row r="30" spans="2:12" ht="76.75" customHeight="1" x14ac:dyDescent="0.2">
      <c r="B30" s="144"/>
      <c r="C30" s="144"/>
      <c r="D30" s="146"/>
      <c r="E30" s="146"/>
      <c r="F30" s="23" t="s">
        <v>1227</v>
      </c>
      <c r="G30" s="41" t="s">
        <v>37</v>
      </c>
      <c r="H30" s="35" t="s">
        <v>1228</v>
      </c>
      <c r="I30" s="28" t="s">
        <v>10</v>
      </c>
      <c r="J30" s="36"/>
      <c r="K30" s="37"/>
      <c r="L30" s="38"/>
    </row>
    <row r="31" spans="2:12" ht="54" customHeight="1" x14ac:dyDescent="0.2">
      <c r="B31" s="144"/>
      <c r="C31" s="144"/>
      <c r="D31" s="146"/>
      <c r="E31" s="146"/>
      <c r="F31" s="23" t="s">
        <v>1229</v>
      </c>
      <c r="G31" s="41" t="s">
        <v>41</v>
      </c>
      <c r="H31" s="35" t="s">
        <v>1230</v>
      </c>
      <c r="I31" s="28" t="s">
        <v>10</v>
      </c>
      <c r="J31" s="36"/>
      <c r="K31" s="37"/>
      <c r="L31" s="38"/>
    </row>
    <row r="32" spans="2:12" ht="54" customHeight="1" x14ac:dyDescent="0.2">
      <c r="B32" s="144"/>
      <c r="C32" s="144"/>
      <c r="D32" s="146"/>
      <c r="E32" s="146"/>
      <c r="F32" s="23" t="s">
        <v>1231</v>
      </c>
      <c r="G32" s="41" t="s">
        <v>39</v>
      </c>
      <c r="H32" s="35" t="s">
        <v>1232</v>
      </c>
      <c r="I32" s="28" t="s">
        <v>10</v>
      </c>
      <c r="J32" s="36"/>
      <c r="K32" s="37"/>
      <c r="L32" s="38"/>
    </row>
    <row r="33" spans="2:38" ht="100.75" customHeight="1" x14ac:dyDescent="0.2">
      <c r="B33" s="144"/>
      <c r="C33" s="144"/>
      <c r="D33" s="146"/>
      <c r="E33" s="146"/>
      <c r="F33" s="23" t="s">
        <v>1233</v>
      </c>
      <c r="G33" s="41" t="s">
        <v>37</v>
      </c>
      <c r="H33" s="35" t="s">
        <v>1234</v>
      </c>
      <c r="I33" s="28" t="s">
        <v>10</v>
      </c>
      <c r="J33" s="36"/>
      <c r="K33" s="37"/>
      <c r="L33" s="38"/>
    </row>
    <row r="34" spans="2:38" ht="54" customHeight="1" x14ac:dyDescent="0.2">
      <c r="B34" s="144"/>
      <c r="C34" s="144"/>
      <c r="D34" s="146"/>
      <c r="E34" s="146"/>
      <c r="F34" s="23" t="s">
        <v>1235</v>
      </c>
      <c r="G34" s="41" t="s">
        <v>36</v>
      </c>
      <c r="H34" s="35" t="s">
        <v>1236</v>
      </c>
      <c r="I34" s="28" t="s">
        <v>10</v>
      </c>
      <c r="J34" s="36"/>
      <c r="K34" s="37"/>
      <c r="L34" s="38"/>
    </row>
    <row r="35" spans="2:38" ht="54" customHeight="1" x14ac:dyDescent="0.2">
      <c r="B35" s="151" t="s">
        <v>1194</v>
      </c>
      <c r="C35" s="151" t="s">
        <v>23</v>
      </c>
      <c r="D35" s="167" t="s">
        <v>1237</v>
      </c>
      <c r="E35" s="167" t="s">
        <v>1238</v>
      </c>
      <c r="F35" s="22" t="s">
        <v>1239</v>
      </c>
      <c r="G35" s="12" t="s">
        <v>36</v>
      </c>
      <c r="H35" s="34" t="s">
        <v>1240</v>
      </c>
      <c r="I35" s="28" t="s">
        <v>10</v>
      </c>
      <c r="J35" s="11"/>
      <c r="K35" s="33"/>
      <c r="L35" s="29"/>
    </row>
    <row r="36" spans="2:38" ht="54" customHeight="1" x14ac:dyDescent="0.2">
      <c r="B36" s="152"/>
      <c r="C36" s="152"/>
      <c r="D36" s="168"/>
      <c r="E36" s="168"/>
      <c r="F36" s="22" t="s">
        <v>1241</v>
      </c>
      <c r="G36" s="12" t="s">
        <v>37</v>
      </c>
      <c r="H36" s="34" t="s">
        <v>1242</v>
      </c>
      <c r="I36" s="28" t="s">
        <v>10</v>
      </c>
      <c r="J36" s="11"/>
      <c r="K36" s="33"/>
      <c r="L36" s="29"/>
    </row>
    <row r="37" spans="2:38" ht="54" customHeight="1" x14ac:dyDescent="0.2">
      <c r="B37" s="152"/>
      <c r="C37" s="152"/>
      <c r="D37" s="168"/>
      <c r="E37" s="168"/>
      <c r="F37" s="22" t="s">
        <v>1243</v>
      </c>
      <c r="G37" s="12" t="s">
        <v>1244</v>
      </c>
      <c r="H37" s="34" t="s">
        <v>1245</v>
      </c>
      <c r="I37" s="28" t="s">
        <v>10</v>
      </c>
      <c r="J37" s="11"/>
      <c r="K37" s="33"/>
      <c r="L37" s="29"/>
    </row>
    <row r="38" spans="2:38" ht="54" customHeight="1" x14ac:dyDescent="0.2">
      <c r="B38" s="152"/>
      <c r="C38" s="152"/>
      <c r="D38" s="168"/>
      <c r="E38" s="168"/>
      <c r="F38" s="22" t="s">
        <v>1246</v>
      </c>
      <c r="G38" s="12" t="s">
        <v>39</v>
      </c>
      <c r="H38" s="34" t="s">
        <v>1247</v>
      </c>
      <c r="I38" s="28" t="s">
        <v>10</v>
      </c>
      <c r="J38" s="11"/>
      <c r="K38" s="33"/>
      <c r="L38" s="29"/>
    </row>
    <row r="39" spans="2:38" ht="54" customHeight="1" x14ac:dyDescent="0.2">
      <c r="B39" s="152"/>
      <c r="C39" s="152"/>
      <c r="D39" s="168"/>
      <c r="E39" s="168"/>
      <c r="F39" s="22" t="s">
        <v>1248</v>
      </c>
      <c r="G39" s="12" t="s">
        <v>35</v>
      </c>
      <c r="H39" s="34" t="s">
        <v>1249</v>
      </c>
      <c r="I39" s="28" t="s">
        <v>10</v>
      </c>
      <c r="J39" s="11"/>
      <c r="K39" s="33"/>
      <c r="L39" s="29"/>
    </row>
    <row r="40" spans="2:38" ht="54" customHeight="1" x14ac:dyDescent="0.2">
      <c r="B40" s="152"/>
      <c r="C40" s="152"/>
      <c r="D40" s="168"/>
      <c r="E40" s="168"/>
      <c r="F40" s="22" t="s">
        <v>1250</v>
      </c>
      <c r="G40" s="12" t="s">
        <v>35</v>
      </c>
      <c r="H40" s="34" t="s">
        <v>1251</v>
      </c>
      <c r="I40" s="28" t="s">
        <v>10</v>
      </c>
      <c r="J40" s="11"/>
      <c r="K40" s="33"/>
      <c r="L40" s="29"/>
    </row>
    <row r="41" spans="2:38" ht="54" customHeight="1" x14ac:dyDescent="0.2">
      <c r="B41" s="151" t="s">
        <v>1194</v>
      </c>
      <c r="C41" s="151" t="s">
        <v>24</v>
      </c>
      <c r="D41" s="167" t="s">
        <v>1252</v>
      </c>
      <c r="E41" s="167" t="s">
        <v>1253</v>
      </c>
      <c r="F41" s="22" t="s">
        <v>1254</v>
      </c>
      <c r="G41" s="12" t="s">
        <v>36</v>
      </c>
      <c r="H41" s="34" t="s">
        <v>1255</v>
      </c>
      <c r="I41" s="28" t="s">
        <v>10</v>
      </c>
      <c r="J41" s="11"/>
      <c r="K41" s="33"/>
      <c r="L41" s="29"/>
    </row>
    <row r="42" spans="2:38" ht="54" customHeight="1" x14ac:dyDescent="0.2">
      <c r="B42" s="152"/>
      <c r="C42" s="152"/>
      <c r="D42" s="168"/>
      <c r="E42" s="168"/>
      <c r="F42" s="22" t="s">
        <v>1256</v>
      </c>
      <c r="G42" s="12" t="s">
        <v>43</v>
      </c>
      <c r="H42" s="34" t="s">
        <v>1257</v>
      </c>
      <c r="I42" s="28" t="s">
        <v>10</v>
      </c>
      <c r="J42" s="11"/>
      <c r="K42" s="33"/>
      <c r="L42" s="29"/>
    </row>
    <row r="43" spans="2:38" ht="73.75" customHeight="1" x14ac:dyDescent="0.2">
      <c r="B43" s="152"/>
      <c r="C43" s="152"/>
      <c r="D43" s="168"/>
      <c r="E43" s="168"/>
      <c r="F43" s="22" t="s">
        <v>1258</v>
      </c>
      <c r="G43" s="12" t="s">
        <v>39</v>
      </c>
      <c r="H43" s="34" t="s">
        <v>1259</v>
      </c>
      <c r="I43" s="28" t="s">
        <v>10</v>
      </c>
      <c r="J43" s="11"/>
      <c r="K43" s="33"/>
      <c r="L43" s="29"/>
    </row>
    <row r="44" spans="2:38" ht="54" customHeight="1" x14ac:dyDescent="0.2">
      <c r="B44" s="152"/>
      <c r="C44" s="152"/>
      <c r="D44" s="168"/>
      <c r="E44" s="168"/>
      <c r="F44" s="22" t="s">
        <v>1260</v>
      </c>
      <c r="G44" s="12" t="s">
        <v>35</v>
      </c>
      <c r="H44" s="34" t="s">
        <v>1261</v>
      </c>
      <c r="I44" s="28" t="s">
        <v>10</v>
      </c>
      <c r="J44" s="11"/>
      <c r="K44" s="33"/>
      <c r="L44" s="29"/>
    </row>
    <row r="45" spans="2:38" ht="54" customHeight="1" x14ac:dyDescent="0.2">
      <c r="B45" s="152"/>
      <c r="C45" s="152"/>
      <c r="D45" s="168"/>
      <c r="E45" s="168"/>
      <c r="F45" s="22" t="s">
        <v>1262</v>
      </c>
      <c r="G45" s="12" t="s">
        <v>43</v>
      </c>
      <c r="H45" s="34" t="s">
        <v>1263</v>
      </c>
      <c r="I45" s="28" t="s">
        <v>10</v>
      </c>
      <c r="J45" s="11"/>
      <c r="K45" s="33"/>
      <c r="L45" s="29"/>
    </row>
    <row r="46" spans="2:38" ht="54" customHeight="1" x14ac:dyDescent="0.2">
      <c r="B46" s="152"/>
      <c r="C46" s="152"/>
      <c r="D46" s="168"/>
      <c r="E46" s="168"/>
      <c r="F46" s="22" t="s">
        <v>1264</v>
      </c>
      <c r="G46" s="12" t="s">
        <v>35</v>
      </c>
      <c r="H46" s="34" t="s">
        <v>1265</v>
      </c>
      <c r="I46" s="28" t="s">
        <v>10</v>
      </c>
      <c r="J46" s="11"/>
      <c r="K46" s="33"/>
      <c r="L46" s="29"/>
    </row>
    <row r="47" spans="2:38" ht="5.25" customHeight="1" x14ac:dyDescent="0.2">
      <c r="B47" s="3"/>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spans="2:38" ht="31" customHeight="1" x14ac:dyDescent="0.2">
      <c r="B48" s="69" t="s">
        <v>34</v>
      </c>
      <c r="C48" s="69" t="s">
        <v>258</v>
      </c>
      <c r="D48" s="69" t="s">
        <v>259</v>
      </c>
      <c r="E48" s="169" t="s">
        <v>32</v>
      </c>
      <c r="F48" s="170"/>
      <c r="G48" s="169" t="s">
        <v>16</v>
      </c>
      <c r="H48" s="170"/>
      <c r="I48" s="71" t="s">
        <v>8</v>
      </c>
      <c r="J48" s="69" t="s">
        <v>17</v>
      </c>
      <c r="K48" s="72" t="s">
        <v>44</v>
      </c>
      <c r="L48" s="69" t="s">
        <v>45</v>
      </c>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spans="2:38" ht="81.5" customHeight="1" x14ac:dyDescent="0.2">
      <c r="B49" s="151" t="s">
        <v>1106</v>
      </c>
      <c r="C49" s="151" t="s">
        <v>260</v>
      </c>
      <c r="D49" s="185" t="s">
        <v>1266</v>
      </c>
      <c r="E49" s="129" t="s">
        <v>2305</v>
      </c>
      <c r="F49" s="130"/>
      <c r="G49" s="127" t="s">
        <v>2308</v>
      </c>
      <c r="H49" s="128"/>
      <c r="I49" s="28" t="s">
        <v>10</v>
      </c>
      <c r="J49" s="11"/>
      <c r="K49" s="33"/>
      <c r="L49" s="29"/>
      <c r="Y49" s="1"/>
      <c r="Z49" s="1"/>
      <c r="AA49" s="1"/>
      <c r="AB49" s="1"/>
      <c r="AC49" s="1"/>
      <c r="AD49" s="1"/>
      <c r="AE49" s="1"/>
      <c r="AF49" s="1"/>
      <c r="AG49" s="1"/>
      <c r="AH49" s="1"/>
      <c r="AI49" s="1"/>
      <c r="AJ49" s="1"/>
      <c r="AK49" s="1"/>
      <c r="AL49" s="1"/>
    </row>
    <row r="50" spans="2:38" ht="81.5" customHeight="1" x14ac:dyDescent="0.2">
      <c r="B50" s="152"/>
      <c r="C50" s="152"/>
      <c r="D50" s="186"/>
      <c r="E50" s="131"/>
      <c r="F50" s="132"/>
      <c r="G50" s="127" t="s">
        <v>2309</v>
      </c>
      <c r="H50" s="128"/>
      <c r="I50" s="28" t="s">
        <v>10</v>
      </c>
      <c r="J50" s="11"/>
      <c r="K50" s="33"/>
      <c r="L50" s="29"/>
      <c r="Y50" s="1"/>
      <c r="Z50" s="1"/>
      <c r="AA50" s="1"/>
      <c r="AB50" s="1"/>
      <c r="AC50" s="1"/>
      <c r="AD50" s="1"/>
      <c r="AE50" s="1"/>
      <c r="AF50" s="1"/>
      <c r="AG50" s="1"/>
      <c r="AH50" s="1"/>
      <c r="AI50" s="1"/>
      <c r="AJ50" s="1"/>
      <c r="AK50" s="1"/>
      <c r="AL50" s="1"/>
    </row>
    <row r="51" spans="2:38" ht="81.5" customHeight="1" x14ac:dyDescent="0.2">
      <c r="B51" s="152"/>
      <c r="C51" s="152"/>
      <c r="D51" s="186"/>
      <c r="E51" s="133"/>
      <c r="F51" s="134"/>
      <c r="G51" s="127" t="s">
        <v>2310</v>
      </c>
      <c r="H51" s="128"/>
      <c r="I51" s="28" t="s">
        <v>10</v>
      </c>
      <c r="J51" s="11"/>
      <c r="K51" s="33"/>
      <c r="L51" s="29"/>
      <c r="Y51" s="1"/>
      <c r="Z51" s="1"/>
      <c r="AA51" s="1"/>
      <c r="AB51" s="1"/>
      <c r="AC51" s="1"/>
      <c r="AD51" s="1"/>
      <c r="AE51" s="1"/>
      <c r="AF51" s="1"/>
      <c r="AG51" s="1"/>
      <c r="AH51" s="1"/>
      <c r="AI51" s="1"/>
      <c r="AJ51" s="1"/>
      <c r="AK51" s="1"/>
      <c r="AL51" s="1"/>
    </row>
    <row r="52" spans="2:38" ht="87" customHeight="1" x14ac:dyDescent="0.2">
      <c r="B52" s="143" t="s">
        <v>1106</v>
      </c>
      <c r="C52" s="143" t="s">
        <v>261</v>
      </c>
      <c r="D52" s="181" t="s">
        <v>1267</v>
      </c>
      <c r="E52" s="135" t="s">
        <v>2306</v>
      </c>
      <c r="F52" s="136"/>
      <c r="G52" s="141" t="s">
        <v>2311</v>
      </c>
      <c r="H52" s="142"/>
      <c r="I52" s="28" t="s">
        <v>10</v>
      </c>
      <c r="J52" s="36"/>
      <c r="K52" s="37"/>
      <c r="L52" s="38"/>
      <c r="Y52" s="1"/>
      <c r="Z52" s="1"/>
      <c r="AA52" s="1"/>
      <c r="AB52" s="1"/>
      <c r="AC52" s="1"/>
      <c r="AD52" s="1"/>
      <c r="AE52" s="1"/>
      <c r="AF52" s="1"/>
      <c r="AG52" s="1"/>
      <c r="AH52" s="1"/>
      <c r="AI52" s="1"/>
      <c r="AJ52" s="1"/>
      <c r="AK52" s="1"/>
      <c r="AL52" s="1"/>
    </row>
    <row r="53" spans="2:38" ht="87" customHeight="1" x14ac:dyDescent="0.2">
      <c r="B53" s="144"/>
      <c r="C53" s="144"/>
      <c r="D53" s="182"/>
      <c r="E53" s="137"/>
      <c r="F53" s="138"/>
      <c r="G53" s="141" t="s">
        <v>2312</v>
      </c>
      <c r="H53" s="142"/>
      <c r="I53" s="28" t="s">
        <v>10</v>
      </c>
      <c r="J53" s="36"/>
      <c r="K53" s="37"/>
      <c r="L53" s="38"/>
      <c r="Y53" s="1"/>
      <c r="Z53" s="1"/>
      <c r="AA53" s="1"/>
      <c r="AB53" s="1"/>
      <c r="AC53" s="1"/>
      <c r="AD53" s="1"/>
      <c r="AE53" s="1"/>
      <c r="AF53" s="1"/>
      <c r="AG53" s="1"/>
      <c r="AH53" s="1"/>
      <c r="AI53" s="1"/>
      <c r="AJ53" s="1"/>
      <c r="AK53" s="1"/>
      <c r="AL53" s="1"/>
    </row>
    <row r="54" spans="2:38" ht="87" customHeight="1" x14ac:dyDescent="0.2">
      <c r="B54" s="144"/>
      <c r="C54" s="144"/>
      <c r="D54" s="182"/>
      <c r="E54" s="139"/>
      <c r="F54" s="140"/>
      <c r="G54" s="141" t="s">
        <v>2313</v>
      </c>
      <c r="H54" s="142"/>
      <c r="I54" s="28" t="s">
        <v>10</v>
      </c>
      <c r="J54" s="36"/>
      <c r="K54" s="37"/>
      <c r="L54" s="38"/>
      <c r="Y54" s="1"/>
      <c r="Z54" s="1"/>
      <c r="AA54" s="1"/>
      <c r="AB54" s="1"/>
      <c r="AC54" s="1"/>
      <c r="AD54" s="1"/>
      <c r="AE54" s="1"/>
      <c r="AF54" s="1"/>
      <c r="AG54" s="1"/>
      <c r="AH54" s="1"/>
      <c r="AI54" s="1"/>
      <c r="AJ54" s="1"/>
      <c r="AK54" s="1"/>
      <c r="AL54" s="1"/>
    </row>
    <row r="55" spans="2:38" ht="81.5" customHeight="1" x14ac:dyDescent="0.2">
      <c r="B55" s="151" t="s">
        <v>1106</v>
      </c>
      <c r="C55" s="151" t="s">
        <v>262</v>
      </c>
      <c r="D55" s="185" t="s">
        <v>1268</v>
      </c>
      <c r="E55" s="129" t="s">
        <v>2307</v>
      </c>
      <c r="F55" s="130"/>
      <c r="G55" s="127" t="s">
        <v>2314</v>
      </c>
      <c r="H55" s="128"/>
      <c r="I55" s="28" t="s">
        <v>10</v>
      </c>
      <c r="J55" s="11"/>
      <c r="K55" s="33"/>
      <c r="L55" s="29"/>
      <c r="Y55" s="1"/>
      <c r="Z55" s="1"/>
      <c r="AA55" s="1"/>
      <c r="AB55" s="1"/>
      <c r="AC55" s="1"/>
      <c r="AD55" s="1"/>
      <c r="AE55" s="1"/>
      <c r="AF55" s="1"/>
      <c r="AG55" s="1"/>
      <c r="AH55" s="1"/>
      <c r="AI55" s="1"/>
      <c r="AJ55" s="1"/>
      <c r="AK55" s="1"/>
      <c r="AL55" s="1"/>
    </row>
    <row r="56" spans="2:38" ht="81.5" customHeight="1" x14ac:dyDescent="0.2">
      <c r="B56" s="152"/>
      <c r="C56" s="152"/>
      <c r="D56" s="186"/>
      <c r="E56" s="131"/>
      <c r="F56" s="132"/>
      <c r="G56" s="127" t="s">
        <v>2315</v>
      </c>
      <c r="H56" s="128"/>
      <c r="I56" s="28" t="s">
        <v>10</v>
      </c>
      <c r="J56" s="11"/>
      <c r="K56" s="33"/>
      <c r="L56" s="29"/>
      <c r="Y56" s="1"/>
      <c r="Z56" s="1"/>
      <c r="AA56" s="1"/>
      <c r="AB56" s="1"/>
      <c r="AC56" s="1"/>
      <c r="AD56" s="1"/>
      <c r="AE56" s="1"/>
      <c r="AF56" s="1"/>
      <c r="AG56" s="1"/>
      <c r="AH56" s="1"/>
      <c r="AI56" s="1"/>
      <c r="AJ56" s="1"/>
      <c r="AK56" s="1"/>
      <c r="AL56" s="1"/>
    </row>
    <row r="57" spans="2:38" ht="81.5" customHeight="1" x14ac:dyDescent="0.2">
      <c r="B57" s="152"/>
      <c r="C57" s="152"/>
      <c r="D57" s="186"/>
      <c r="E57" s="133"/>
      <c r="F57" s="134"/>
      <c r="G57" s="127" t="s">
        <v>2316</v>
      </c>
      <c r="H57" s="128"/>
      <c r="I57" s="28" t="s">
        <v>10</v>
      </c>
      <c r="J57" s="11"/>
      <c r="K57" s="33"/>
      <c r="L57" s="29"/>
      <c r="Y57" s="1"/>
      <c r="Z57" s="1"/>
      <c r="AA57" s="1"/>
      <c r="AB57" s="1"/>
      <c r="AC57" s="1"/>
      <c r="AD57" s="1"/>
      <c r="AE57" s="1"/>
      <c r="AF57" s="1"/>
      <c r="AG57" s="1"/>
      <c r="AH57" s="1"/>
      <c r="AI57" s="1"/>
      <c r="AJ57" s="1"/>
      <c r="AK57" s="1"/>
      <c r="AL57" s="1"/>
    </row>
    <row r="58" spans="2:38" s="13" customFormat="1" x14ac:dyDescent="0.2">
      <c r="B58" s="3"/>
      <c r="C58" s="3"/>
      <c r="D58" s="3"/>
      <c r="E58" s="3"/>
      <c r="F58" s="89"/>
      <c r="G58" s="3"/>
      <c r="H58" s="89"/>
      <c r="I58" s="90"/>
      <c r="K58" s="31"/>
    </row>
    <row r="59" spans="2:38" s="13" customFormat="1" x14ac:dyDescent="0.2">
      <c r="B59" s="3"/>
      <c r="C59" s="3"/>
      <c r="D59" s="3"/>
      <c r="E59" s="3"/>
      <c r="F59" s="89"/>
      <c r="G59" s="3"/>
      <c r="H59" s="89"/>
      <c r="I59" s="90"/>
      <c r="K59" s="31"/>
    </row>
    <row r="60" spans="2:38" s="13" customFormat="1" ht="15" hidden="1" x14ac:dyDescent="0.2">
      <c r="B60" s="3"/>
      <c r="C60" s="3" t="s">
        <v>1124</v>
      </c>
      <c r="D60" s="3"/>
      <c r="E60" s="3"/>
      <c r="F60" s="89"/>
      <c r="G60" s="3"/>
      <c r="H60" s="89"/>
      <c r="I60" s="90"/>
      <c r="K60" s="31"/>
    </row>
    <row r="61" spans="2:38" s="13" customFormat="1" x14ac:dyDescent="0.2">
      <c r="B61" s="3"/>
      <c r="C61" s="3"/>
      <c r="D61" s="3"/>
      <c r="E61" s="3"/>
      <c r="F61" s="89"/>
      <c r="G61" s="3"/>
      <c r="H61" s="89"/>
      <c r="I61" s="90"/>
      <c r="K61" s="31"/>
    </row>
    <row r="62" spans="2:38" s="13" customFormat="1" x14ac:dyDescent="0.2">
      <c r="B62" s="3"/>
      <c r="C62" s="3"/>
      <c r="D62" s="3"/>
      <c r="E62" s="3"/>
      <c r="F62" s="89"/>
      <c r="G62" s="3"/>
      <c r="H62" s="89"/>
      <c r="I62" s="90"/>
      <c r="K62" s="31"/>
    </row>
    <row r="63" spans="2:38" s="13" customFormat="1" x14ac:dyDescent="0.2">
      <c r="B63" s="3"/>
      <c r="C63" s="3"/>
      <c r="D63" s="3"/>
      <c r="E63" s="3"/>
      <c r="F63" s="89"/>
      <c r="G63" s="3"/>
      <c r="H63" s="89"/>
      <c r="I63" s="90"/>
      <c r="K63" s="31"/>
    </row>
    <row r="64" spans="2:38" s="13" customFormat="1" x14ac:dyDescent="0.2">
      <c r="B64" s="3"/>
      <c r="C64" s="3"/>
      <c r="D64" s="3"/>
      <c r="E64" s="3"/>
      <c r="F64" s="89"/>
      <c r="G64" s="3"/>
      <c r="H64" s="89"/>
      <c r="I64" s="90"/>
      <c r="K64" s="31"/>
    </row>
    <row r="65" spans="2:11" s="13" customFormat="1" x14ac:dyDescent="0.2">
      <c r="B65" s="3"/>
      <c r="C65" s="3"/>
      <c r="D65" s="3"/>
      <c r="E65" s="3"/>
      <c r="F65" s="89"/>
      <c r="G65" s="3"/>
      <c r="H65" s="89"/>
      <c r="I65" s="90"/>
      <c r="K65" s="31"/>
    </row>
    <row r="66" spans="2:11" s="13" customFormat="1" x14ac:dyDescent="0.2">
      <c r="B66" s="3"/>
      <c r="C66" s="3"/>
      <c r="D66" s="3"/>
      <c r="E66" s="3"/>
      <c r="F66" s="89"/>
      <c r="G66" s="3"/>
      <c r="H66" s="89"/>
      <c r="I66" s="90"/>
      <c r="K66" s="31"/>
    </row>
    <row r="67" spans="2:11" s="13" customFormat="1" x14ac:dyDescent="0.2">
      <c r="B67" s="3"/>
      <c r="C67" s="3"/>
      <c r="D67" s="3"/>
      <c r="E67" s="3"/>
      <c r="F67" s="89"/>
      <c r="G67" s="3"/>
      <c r="H67" s="89"/>
      <c r="I67" s="90"/>
      <c r="K67" s="31"/>
    </row>
    <row r="68" spans="2:11" s="13" customFormat="1" x14ac:dyDescent="0.2">
      <c r="B68" s="3"/>
      <c r="C68" s="3"/>
      <c r="D68" s="3"/>
      <c r="E68" s="3"/>
      <c r="F68" s="89"/>
      <c r="G68" s="3"/>
      <c r="H68" s="89"/>
      <c r="I68" s="90"/>
      <c r="K68" s="31"/>
    </row>
    <row r="69" spans="2:11" s="13" customFormat="1" x14ac:dyDescent="0.2">
      <c r="B69" s="3"/>
      <c r="C69" s="3"/>
      <c r="D69" s="3"/>
      <c r="E69" s="3"/>
      <c r="F69" s="89"/>
      <c r="G69" s="3"/>
      <c r="H69" s="89"/>
      <c r="I69" s="90"/>
      <c r="K69" s="31"/>
    </row>
    <row r="70" spans="2:11" s="13" customFormat="1" x14ac:dyDescent="0.2">
      <c r="B70" s="3"/>
      <c r="C70" s="3"/>
      <c r="D70" s="3"/>
      <c r="E70" s="3"/>
      <c r="F70" s="89"/>
      <c r="G70" s="3"/>
      <c r="H70" s="89"/>
      <c r="I70" s="90"/>
      <c r="K70" s="31"/>
    </row>
    <row r="71" spans="2:11" s="13" customFormat="1" x14ac:dyDescent="0.2">
      <c r="B71" s="3"/>
      <c r="C71" s="3"/>
      <c r="D71" s="3"/>
      <c r="E71" s="3"/>
      <c r="F71" s="89"/>
      <c r="G71" s="3"/>
      <c r="H71" s="89"/>
      <c r="I71" s="90"/>
      <c r="K71" s="31"/>
    </row>
    <row r="72" spans="2:11" s="13" customFormat="1" x14ac:dyDescent="0.2">
      <c r="B72" s="3"/>
      <c r="C72" s="3"/>
      <c r="D72" s="3"/>
      <c r="E72" s="3"/>
      <c r="F72" s="89"/>
      <c r="G72" s="3"/>
      <c r="H72" s="89"/>
      <c r="I72" s="90"/>
      <c r="K72" s="31"/>
    </row>
    <row r="73" spans="2:11" s="13" customFormat="1" x14ac:dyDescent="0.2">
      <c r="B73" s="3"/>
      <c r="C73" s="3"/>
      <c r="D73" s="3"/>
      <c r="E73" s="3"/>
      <c r="F73" s="89"/>
      <c r="G73" s="3"/>
      <c r="H73" s="89"/>
      <c r="I73" s="90"/>
      <c r="K73" s="31"/>
    </row>
    <row r="74" spans="2:11" s="13" customFormat="1" x14ac:dyDescent="0.2">
      <c r="B74" s="3"/>
      <c r="C74" s="3"/>
      <c r="D74" s="3"/>
      <c r="E74" s="3"/>
      <c r="F74" s="89"/>
      <c r="G74" s="3"/>
      <c r="H74" s="89"/>
      <c r="I74" s="90"/>
      <c r="K74" s="31"/>
    </row>
    <row r="75" spans="2:11" s="13" customFormat="1" x14ac:dyDescent="0.2">
      <c r="B75" s="3"/>
      <c r="C75" s="3"/>
      <c r="D75" s="3"/>
      <c r="E75" s="3"/>
      <c r="F75" s="89"/>
      <c r="G75" s="3"/>
      <c r="H75" s="89"/>
      <c r="I75" s="90"/>
      <c r="K75" s="31"/>
    </row>
    <row r="76" spans="2:11" s="13" customFormat="1" x14ac:dyDescent="0.2">
      <c r="B76" s="3"/>
      <c r="C76" s="3"/>
      <c r="D76" s="3"/>
      <c r="E76" s="3"/>
      <c r="F76" s="89"/>
      <c r="G76" s="3"/>
      <c r="H76" s="89"/>
      <c r="I76" s="90"/>
      <c r="K76" s="31"/>
    </row>
    <row r="77" spans="2:11" s="13" customFormat="1" x14ac:dyDescent="0.2">
      <c r="B77" s="3"/>
      <c r="C77" s="3"/>
      <c r="D77" s="3"/>
      <c r="E77" s="3"/>
      <c r="F77" s="89"/>
      <c r="G77" s="3"/>
      <c r="H77" s="89"/>
      <c r="I77" s="90"/>
      <c r="K77" s="31"/>
    </row>
    <row r="78" spans="2:11" s="13" customFormat="1" x14ac:dyDescent="0.2">
      <c r="B78" s="3"/>
      <c r="C78" s="3"/>
      <c r="D78" s="3"/>
      <c r="E78" s="3"/>
      <c r="F78" s="89"/>
      <c r="G78" s="3"/>
      <c r="H78" s="89"/>
      <c r="I78" s="90"/>
      <c r="K78" s="31"/>
    </row>
    <row r="79" spans="2:11" s="13" customFormat="1" x14ac:dyDescent="0.2">
      <c r="B79" s="3"/>
      <c r="C79" s="3"/>
      <c r="D79" s="3"/>
      <c r="E79" s="3"/>
      <c r="F79" s="89"/>
      <c r="G79" s="3"/>
      <c r="H79" s="89"/>
      <c r="I79" s="90"/>
      <c r="K79" s="31"/>
    </row>
    <row r="80" spans="2:11" s="13" customFormat="1" x14ac:dyDescent="0.2">
      <c r="B80" s="3"/>
      <c r="C80" s="3"/>
      <c r="D80" s="3"/>
      <c r="E80" s="3"/>
      <c r="F80" s="89"/>
      <c r="G80" s="3"/>
      <c r="H80" s="89"/>
      <c r="I80" s="90"/>
      <c r="K80" s="31"/>
    </row>
    <row r="81" spans="2:11" s="13" customFormat="1" x14ac:dyDescent="0.2">
      <c r="B81" s="3"/>
      <c r="C81" s="3"/>
      <c r="D81" s="3"/>
      <c r="E81" s="3"/>
      <c r="F81" s="89"/>
      <c r="G81" s="3"/>
      <c r="H81" s="89"/>
      <c r="I81" s="90"/>
      <c r="K81" s="31"/>
    </row>
    <row r="82" spans="2:11" s="13" customFormat="1" x14ac:dyDescent="0.2">
      <c r="B82" s="3"/>
      <c r="C82" s="3"/>
      <c r="D82" s="3"/>
      <c r="E82" s="3"/>
      <c r="F82" s="89"/>
      <c r="G82" s="3"/>
      <c r="H82" s="89"/>
      <c r="I82" s="90"/>
      <c r="K82" s="31"/>
    </row>
    <row r="83" spans="2:11" s="13" customFormat="1" x14ac:dyDescent="0.2">
      <c r="B83" s="3"/>
      <c r="C83" s="3"/>
      <c r="D83" s="3"/>
      <c r="E83" s="3"/>
      <c r="F83" s="89"/>
      <c r="G83" s="3"/>
      <c r="H83" s="89"/>
      <c r="I83" s="90"/>
      <c r="K83" s="31"/>
    </row>
    <row r="84" spans="2:11" s="13" customFormat="1" x14ac:dyDescent="0.2">
      <c r="B84" s="3"/>
      <c r="C84" s="3"/>
      <c r="D84" s="3"/>
      <c r="E84" s="3"/>
      <c r="F84" s="89"/>
      <c r="G84" s="3"/>
      <c r="H84" s="89"/>
      <c r="I84" s="90"/>
      <c r="K84" s="31"/>
    </row>
    <row r="85" spans="2:11" s="13" customFormat="1" x14ac:dyDescent="0.2">
      <c r="B85" s="3"/>
      <c r="C85" s="3"/>
      <c r="D85" s="3"/>
      <c r="E85" s="3"/>
      <c r="F85" s="89"/>
      <c r="G85" s="3"/>
      <c r="H85" s="89"/>
      <c r="I85" s="90"/>
      <c r="K85" s="31"/>
    </row>
    <row r="86" spans="2:11" s="13" customFormat="1" x14ac:dyDescent="0.2">
      <c r="B86" s="3"/>
      <c r="C86" s="3"/>
      <c r="D86" s="3"/>
      <c r="E86" s="3"/>
      <c r="F86" s="89"/>
      <c r="G86" s="3"/>
      <c r="H86" s="89"/>
      <c r="I86" s="90"/>
      <c r="K86" s="31"/>
    </row>
    <row r="87" spans="2:11" s="13" customFormat="1" x14ac:dyDescent="0.2">
      <c r="B87" s="3"/>
      <c r="C87" s="3"/>
      <c r="D87" s="3"/>
      <c r="E87" s="3"/>
      <c r="F87" s="89"/>
      <c r="G87" s="3"/>
      <c r="H87" s="89"/>
      <c r="I87" s="90"/>
      <c r="K87" s="31"/>
    </row>
    <row r="88" spans="2:11" s="13" customFormat="1" x14ac:dyDescent="0.2">
      <c r="B88" s="3"/>
      <c r="C88" s="3"/>
      <c r="D88" s="3"/>
      <c r="E88" s="3"/>
      <c r="F88" s="89"/>
      <c r="G88" s="3"/>
      <c r="H88" s="89"/>
      <c r="I88" s="90"/>
      <c r="K88" s="31"/>
    </row>
    <row r="89" spans="2:11" s="13" customFormat="1" x14ac:dyDescent="0.2">
      <c r="B89" s="3"/>
      <c r="C89" s="3"/>
      <c r="D89" s="3"/>
      <c r="E89" s="3"/>
      <c r="F89" s="89"/>
      <c r="G89" s="3"/>
      <c r="H89" s="89"/>
      <c r="I89" s="90"/>
      <c r="K89" s="31"/>
    </row>
    <row r="90" spans="2:11" s="13" customFormat="1" x14ac:dyDescent="0.2">
      <c r="B90" s="3"/>
      <c r="C90" s="3"/>
      <c r="D90" s="3"/>
      <c r="E90" s="3"/>
      <c r="F90" s="89"/>
      <c r="G90" s="3"/>
      <c r="H90" s="89"/>
      <c r="I90" s="90"/>
      <c r="K90" s="31"/>
    </row>
    <row r="91" spans="2:11" s="13" customFormat="1" x14ac:dyDescent="0.2">
      <c r="B91" s="3"/>
      <c r="C91" s="3"/>
      <c r="D91" s="3"/>
      <c r="E91" s="3"/>
      <c r="F91" s="89"/>
      <c r="G91" s="3"/>
      <c r="H91" s="89"/>
      <c r="I91" s="90"/>
      <c r="K91" s="31"/>
    </row>
    <row r="92" spans="2:11" s="13" customFormat="1" x14ac:dyDescent="0.2">
      <c r="B92" s="3"/>
      <c r="C92" s="3"/>
      <c r="D92" s="3"/>
      <c r="E92" s="3"/>
      <c r="F92" s="89"/>
      <c r="G92" s="3"/>
      <c r="H92" s="89"/>
      <c r="I92" s="90"/>
      <c r="K92" s="31"/>
    </row>
    <row r="93" spans="2:11" s="13" customFormat="1" x14ac:dyDescent="0.2">
      <c r="B93" s="3"/>
      <c r="C93" s="3"/>
      <c r="D93" s="3"/>
      <c r="E93" s="3"/>
      <c r="F93" s="89"/>
      <c r="G93" s="3"/>
      <c r="H93" s="89"/>
      <c r="I93" s="90"/>
      <c r="K93" s="31"/>
    </row>
    <row r="94" spans="2:11" s="13" customFormat="1" x14ac:dyDescent="0.2">
      <c r="B94" s="3"/>
      <c r="C94" s="3"/>
      <c r="D94" s="3"/>
      <c r="E94" s="3"/>
      <c r="F94" s="89"/>
      <c r="G94" s="3"/>
      <c r="H94" s="89"/>
      <c r="I94" s="90"/>
      <c r="K94" s="31"/>
    </row>
    <row r="95" spans="2:11" s="13" customFormat="1" x14ac:dyDescent="0.2">
      <c r="B95" s="3"/>
      <c r="C95" s="3"/>
      <c r="D95" s="3"/>
      <c r="E95" s="3"/>
      <c r="F95" s="89"/>
      <c r="G95" s="3"/>
      <c r="H95" s="89"/>
      <c r="I95" s="90"/>
      <c r="K95" s="31"/>
    </row>
    <row r="96" spans="2:11" s="13" customFormat="1" x14ac:dyDescent="0.2">
      <c r="B96" s="3"/>
      <c r="C96" s="3"/>
      <c r="D96" s="3"/>
      <c r="E96" s="3"/>
      <c r="F96" s="89"/>
      <c r="G96" s="3"/>
      <c r="H96" s="89"/>
      <c r="I96" s="90"/>
      <c r="K96" s="31"/>
    </row>
    <row r="97" spans="2:11" s="13" customFormat="1" x14ac:dyDescent="0.2">
      <c r="B97" s="3"/>
      <c r="C97" s="3"/>
      <c r="D97" s="3"/>
      <c r="E97" s="3"/>
      <c r="F97" s="89"/>
      <c r="G97" s="3"/>
      <c r="H97" s="89"/>
      <c r="I97" s="90"/>
      <c r="K97" s="31"/>
    </row>
    <row r="98" spans="2:11" s="13" customFormat="1" x14ac:dyDescent="0.2">
      <c r="B98" s="3"/>
      <c r="C98" s="3"/>
      <c r="D98" s="3"/>
      <c r="E98" s="3"/>
      <c r="F98" s="89"/>
      <c r="G98" s="3"/>
      <c r="H98" s="89"/>
      <c r="I98" s="90"/>
      <c r="K98" s="31"/>
    </row>
    <row r="99" spans="2:11" s="13" customFormat="1" x14ac:dyDescent="0.2">
      <c r="B99" s="3"/>
      <c r="C99" s="3"/>
      <c r="D99" s="3"/>
      <c r="E99" s="3"/>
      <c r="F99" s="89"/>
      <c r="G99" s="3"/>
      <c r="H99" s="89"/>
      <c r="I99" s="90"/>
      <c r="K99" s="31"/>
    </row>
    <row r="100" spans="2:11" s="13" customFormat="1" x14ac:dyDescent="0.2">
      <c r="B100" s="3"/>
      <c r="C100" s="3"/>
      <c r="D100" s="3"/>
      <c r="E100" s="3"/>
      <c r="F100" s="89"/>
      <c r="G100" s="3"/>
      <c r="H100" s="89"/>
      <c r="I100" s="90"/>
      <c r="K100" s="31"/>
    </row>
    <row r="101" spans="2:11" s="13" customFormat="1" x14ac:dyDescent="0.2">
      <c r="B101" s="3"/>
      <c r="C101" s="3"/>
      <c r="D101" s="3"/>
      <c r="E101" s="3"/>
      <c r="F101" s="89"/>
      <c r="G101" s="3"/>
      <c r="H101" s="89"/>
      <c r="I101" s="90"/>
      <c r="K101" s="31"/>
    </row>
    <row r="102" spans="2:11" s="13" customFormat="1" x14ac:dyDescent="0.2">
      <c r="B102" s="3"/>
      <c r="C102" s="3"/>
      <c r="D102" s="3"/>
      <c r="E102" s="3"/>
      <c r="F102" s="89"/>
      <c r="G102" s="3"/>
      <c r="H102" s="89"/>
      <c r="I102" s="90"/>
      <c r="K102" s="31"/>
    </row>
    <row r="103" spans="2:11" s="13" customFormat="1" x14ac:dyDescent="0.2">
      <c r="B103" s="3"/>
      <c r="C103" s="3"/>
      <c r="D103" s="3"/>
      <c r="E103" s="3"/>
      <c r="F103" s="89"/>
      <c r="G103" s="3"/>
      <c r="H103" s="89"/>
      <c r="I103" s="90"/>
      <c r="K103" s="31"/>
    </row>
    <row r="104" spans="2:11" s="13" customFormat="1" x14ac:dyDescent="0.2">
      <c r="B104" s="3"/>
      <c r="C104" s="3"/>
      <c r="D104" s="3"/>
      <c r="E104" s="3"/>
      <c r="F104" s="89"/>
      <c r="G104" s="3"/>
      <c r="H104" s="89"/>
      <c r="I104" s="90"/>
      <c r="K104" s="31"/>
    </row>
    <row r="105" spans="2:11" s="13" customFormat="1" x14ac:dyDescent="0.2">
      <c r="B105" s="3"/>
      <c r="C105" s="3"/>
      <c r="D105" s="3"/>
      <c r="E105" s="3"/>
      <c r="F105" s="89"/>
      <c r="G105" s="3"/>
      <c r="H105" s="89"/>
      <c r="I105" s="90"/>
      <c r="K105" s="31"/>
    </row>
    <row r="106" spans="2:11" s="13" customFormat="1" x14ac:dyDescent="0.2">
      <c r="B106" s="3"/>
      <c r="C106" s="3"/>
      <c r="D106" s="3"/>
      <c r="E106" s="3"/>
      <c r="F106" s="89"/>
      <c r="G106" s="3"/>
      <c r="H106" s="89"/>
      <c r="I106" s="90"/>
      <c r="K106" s="31"/>
    </row>
    <row r="107" spans="2:11" s="13" customFormat="1" x14ac:dyDescent="0.2">
      <c r="B107" s="3"/>
      <c r="C107" s="3"/>
      <c r="D107" s="3"/>
      <c r="E107" s="3"/>
      <c r="F107" s="89"/>
      <c r="G107" s="3"/>
      <c r="H107" s="89"/>
      <c r="I107" s="90"/>
      <c r="K107" s="31"/>
    </row>
    <row r="108" spans="2:11" s="13" customFormat="1" x14ac:dyDescent="0.2">
      <c r="B108" s="3"/>
      <c r="C108" s="3"/>
      <c r="D108" s="3"/>
      <c r="E108" s="3"/>
      <c r="F108" s="89"/>
      <c r="G108" s="3"/>
      <c r="H108" s="89"/>
      <c r="I108" s="90"/>
      <c r="K108" s="31"/>
    </row>
    <row r="109" spans="2:11" s="13" customFormat="1" x14ac:dyDescent="0.2">
      <c r="B109" s="3"/>
      <c r="C109" s="3"/>
      <c r="D109" s="3"/>
      <c r="E109" s="3"/>
      <c r="F109" s="89"/>
      <c r="G109" s="3"/>
      <c r="H109" s="89"/>
      <c r="I109" s="90"/>
      <c r="K109" s="31"/>
    </row>
    <row r="110" spans="2:11" s="13" customFormat="1" x14ac:dyDescent="0.2">
      <c r="B110" s="3"/>
      <c r="C110" s="3"/>
      <c r="D110" s="3"/>
      <c r="E110" s="3"/>
      <c r="F110" s="89"/>
      <c r="G110" s="3"/>
      <c r="H110" s="89"/>
      <c r="I110" s="90"/>
      <c r="K110" s="31"/>
    </row>
    <row r="111" spans="2:11" s="13" customFormat="1" x14ac:dyDescent="0.2">
      <c r="B111" s="3"/>
      <c r="C111" s="3"/>
      <c r="D111" s="3"/>
      <c r="E111" s="3"/>
      <c r="F111" s="89"/>
      <c r="G111" s="3"/>
      <c r="H111" s="89"/>
      <c r="I111" s="90"/>
      <c r="K111" s="31"/>
    </row>
    <row r="112" spans="2:11" s="13" customFormat="1" x14ac:dyDescent="0.2">
      <c r="B112" s="3"/>
      <c r="C112" s="3"/>
      <c r="D112" s="3"/>
      <c r="E112" s="3"/>
      <c r="F112" s="89"/>
      <c r="G112" s="3"/>
      <c r="H112" s="89"/>
      <c r="I112" s="90"/>
      <c r="K112" s="31"/>
    </row>
    <row r="113" spans="2:11" s="13" customFormat="1" x14ac:dyDescent="0.2">
      <c r="B113" s="3"/>
      <c r="C113" s="3"/>
      <c r="D113" s="3"/>
      <c r="E113" s="3"/>
      <c r="F113" s="89"/>
      <c r="G113" s="3"/>
      <c r="H113" s="89"/>
      <c r="I113" s="90"/>
      <c r="K113" s="31"/>
    </row>
    <row r="114" spans="2:11" s="13" customFormat="1" x14ac:dyDescent="0.2">
      <c r="B114" s="3"/>
      <c r="C114" s="3"/>
      <c r="D114" s="3"/>
      <c r="E114" s="3"/>
      <c r="F114" s="89"/>
      <c r="G114" s="3"/>
      <c r="H114" s="89"/>
      <c r="I114" s="90"/>
      <c r="K114" s="31"/>
    </row>
    <row r="115" spans="2:11" s="13" customFormat="1" x14ac:dyDescent="0.2">
      <c r="B115" s="3"/>
      <c r="C115" s="3"/>
      <c r="D115" s="3"/>
      <c r="E115" s="3"/>
      <c r="F115" s="89"/>
      <c r="G115" s="3"/>
      <c r="H115" s="89"/>
      <c r="I115" s="90"/>
      <c r="K115" s="31"/>
    </row>
    <row r="116" spans="2:11" s="13" customFormat="1" x14ac:dyDescent="0.2">
      <c r="B116" s="3"/>
      <c r="C116" s="3"/>
      <c r="D116" s="3"/>
      <c r="E116" s="3"/>
      <c r="F116" s="89"/>
      <c r="G116" s="3"/>
      <c r="H116" s="89"/>
      <c r="I116" s="90"/>
      <c r="K116" s="31"/>
    </row>
    <row r="117" spans="2:11" s="13" customFormat="1" x14ac:dyDescent="0.2">
      <c r="B117" s="3"/>
      <c r="C117" s="3"/>
      <c r="D117" s="3"/>
      <c r="E117" s="3"/>
      <c r="F117" s="89"/>
      <c r="G117" s="3"/>
      <c r="H117" s="89"/>
      <c r="I117" s="90"/>
      <c r="K117" s="31"/>
    </row>
    <row r="118" spans="2:11" s="13" customFormat="1" x14ac:dyDescent="0.2">
      <c r="B118" s="3"/>
      <c r="C118" s="3"/>
      <c r="D118" s="3"/>
      <c r="E118" s="3"/>
      <c r="F118" s="89"/>
      <c r="G118" s="3"/>
      <c r="H118" s="89"/>
      <c r="I118" s="90"/>
      <c r="K118" s="31"/>
    </row>
    <row r="119" spans="2:11" s="13" customFormat="1" x14ac:dyDescent="0.2">
      <c r="B119" s="3"/>
      <c r="C119" s="3"/>
      <c r="D119" s="3"/>
      <c r="E119" s="3"/>
      <c r="F119" s="89"/>
      <c r="G119" s="3"/>
      <c r="H119" s="89"/>
      <c r="I119" s="90"/>
      <c r="K119" s="31"/>
    </row>
    <row r="120" spans="2:11" s="13" customFormat="1" x14ac:dyDescent="0.2">
      <c r="B120" s="3"/>
      <c r="C120" s="3"/>
      <c r="D120" s="3"/>
      <c r="E120" s="3"/>
      <c r="F120" s="89"/>
      <c r="G120" s="3"/>
      <c r="H120" s="89"/>
      <c r="I120" s="90"/>
      <c r="K120" s="31"/>
    </row>
    <row r="121" spans="2:11" s="13" customFormat="1" x14ac:dyDescent="0.2">
      <c r="B121" s="3"/>
      <c r="C121" s="3"/>
      <c r="D121" s="3"/>
      <c r="E121" s="3"/>
      <c r="F121" s="89"/>
      <c r="G121" s="3"/>
      <c r="H121" s="89"/>
      <c r="I121" s="90"/>
      <c r="K121" s="31"/>
    </row>
    <row r="122" spans="2:11" s="13" customFormat="1" x14ac:dyDescent="0.2">
      <c r="B122" s="3"/>
      <c r="C122" s="3"/>
      <c r="D122" s="3"/>
      <c r="E122" s="3"/>
      <c r="F122" s="89"/>
      <c r="G122" s="3"/>
      <c r="H122" s="89"/>
      <c r="I122" s="90"/>
      <c r="K122" s="31"/>
    </row>
    <row r="123" spans="2:11" s="13" customFormat="1" x14ac:dyDescent="0.2">
      <c r="B123" s="3"/>
      <c r="C123" s="3"/>
      <c r="D123" s="3"/>
      <c r="E123" s="3"/>
      <c r="F123" s="89"/>
      <c r="G123" s="3"/>
      <c r="H123" s="89"/>
      <c r="I123" s="90"/>
      <c r="K123" s="31"/>
    </row>
    <row r="124" spans="2:11" s="13" customFormat="1" x14ac:dyDescent="0.2">
      <c r="B124" s="3"/>
      <c r="C124" s="3"/>
      <c r="D124" s="3"/>
      <c r="E124" s="3"/>
      <c r="F124" s="89"/>
      <c r="G124" s="3"/>
      <c r="H124" s="89"/>
      <c r="I124" s="90"/>
      <c r="K124" s="31"/>
    </row>
    <row r="125" spans="2:11" s="13" customFormat="1" x14ac:dyDescent="0.2">
      <c r="B125" s="3"/>
      <c r="C125" s="3"/>
      <c r="D125" s="3"/>
      <c r="E125" s="3"/>
      <c r="F125" s="89"/>
      <c r="G125" s="3"/>
      <c r="H125" s="89"/>
      <c r="I125" s="90"/>
      <c r="K125" s="31"/>
    </row>
    <row r="126" spans="2:11" s="13" customFormat="1" x14ac:dyDescent="0.2">
      <c r="B126" s="3"/>
      <c r="C126" s="3"/>
      <c r="D126" s="3"/>
      <c r="E126" s="3"/>
      <c r="F126" s="89"/>
      <c r="G126" s="3"/>
      <c r="H126" s="89"/>
      <c r="I126" s="90"/>
      <c r="K126" s="31"/>
    </row>
    <row r="127" spans="2:11" s="13" customFormat="1" x14ac:dyDescent="0.2">
      <c r="B127" s="3"/>
      <c r="C127" s="3"/>
      <c r="D127" s="3"/>
      <c r="E127" s="3"/>
      <c r="F127" s="89"/>
      <c r="G127" s="3"/>
      <c r="H127" s="89"/>
      <c r="I127" s="90"/>
      <c r="K127" s="31"/>
    </row>
    <row r="128" spans="2:11" s="13" customFormat="1" x14ac:dyDescent="0.2">
      <c r="B128" s="3"/>
      <c r="C128" s="3"/>
      <c r="D128" s="3"/>
      <c r="E128" s="3"/>
      <c r="F128" s="89"/>
      <c r="G128" s="3"/>
      <c r="H128" s="89"/>
      <c r="I128" s="90"/>
      <c r="K128" s="31"/>
    </row>
    <row r="129" spans="2:11" s="13" customFormat="1" x14ac:dyDescent="0.2">
      <c r="B129" s="3"/>
      <c r="C129" s="3"/>
      <c r="D129" s="3"/>
      <c r="E129" s="3"/>
      <c r="F129" s="89"/>
      <c r="G129" s="3"/>
      <c r="H129" s="89"/>
      <c r="I129" s="90"/>
      <c r="K129" s="31"/>
    </row>
    <row r="130" spans="2:11" s="13" customFormat="1" x14ac:dyDescent="0.2">
      <c r="B130" s="3"/>
      <c r="C130" s="3"/>
      <c r="D130" s="3"/>
      <c r="E130" s="3"/>
      <c r="F130" s="89"/>
      <c r="G130" s="3"/>
      <c r="H130" s="89"/>
      <c r="I130" s="90"/>
      <c r="K130" s="31"/>
    </row>
    <row r="131" spans="2:11" s="13" customFormat="1" x14ac:dyDescent="0.2">
      <c r="B131" s="3"/>
      <c r="C131" s="3"/>
      <c r="D131" s="3"/>
      <c r="E131" s="3"/>
      <c r="F131" s="89"/>
      <c r="G131" s="3"/>
      <c r="H131" s="89"/>
      <c r="I131" s="90"/>
      <c r="K131" s="31"/>
    </row>
    <row r="132" spans="2:11" s="13" customFormat="1" x14ac:dyDescent="0.2">
      <c r="B132" s="3"/>
      <c r="C132" s="3"/>
      <c r="D132" s="3"/>
      <c r="E132" s="3"/>
      <c r="F132" s="89"/>
      <c r="G132" s="3"/>
      <c r="H132" s="89"/>
      <c r="I132" s="90"/>
      <c r="K132" s="31"/>
    </row>
    <row r="133" spans="2:11" s="13" customFormat="1" x14ac:dyDescent="0.2">
      <c r="B133" s="3"/>
      <c r="C133" s="3"/>
      <c r="D133" s="3"/>
      <c r="E133" s="3"/>
      <c r="F133" s="89"/>
      <c r="G133" s="3"/>
      <c r="H133" s="89"/>
      <c r="I133" s="90"/>
      <c r="K133" s="31"/>
    </row>
    <row r="134" spans="2:11" s="13" customFormat="1" x14ac:dyDescent="0.2">
      <c r="B134" s="3"/>
      <c r="C134" s="3"/>
      <c r="D134" s="3"/>
      <c r="E134" s="3"/>
      <c r="F134" s="89"/>
      <c r="G134" s="3"/>
      <c r="H134" s="89"/>
      <c r="I134" s="90"/>
      <c r="K134" s="31"/>
    </row>
    <row r="135" spans="2:11" s="13" customFormat="1" x14ac:dyDescent="0.2">
      <c r="B135" s="3"/>
      <c r="C135" s="3"/>
      <c r="D135" s="3"/>
      <c r="E135" s="3"/>
      <c r="F135" s="89"/>
      <c r="G135" s="3"/>
      <c r="H135" s="89"/>
      <c r="I135" s="90"/>
      <c r="K135" s="31"/>
    </row>
    <row r="136" spans="2:11" s="13" customFormat="1" x14ac:dyDescent="0.2">
      <c r="B136" s="3"/>
      <c r="C136" s="3"/>
      <c r="D136" s="3"/>
      <c r="E136" s="3"/>
      <c r="F136" s="89"/>
      <c r="G136" s="3"/>
      <c r="H136" s="89"/>
      <c r="I136" s="90"/>
      <c r="K136" s="31"/>
    </row>
    <row r="137" spans="2:11" s="13" customFormat="1" x14ac:dyDescent="0.2">
      <c r="B137" s="3"/>
      <c r="C137" s="3"/>
      <c r="D137" s="3"/>
      <c r="E137" s="3"/>
      <c r="F137" s="89"/>
      <c r="G137" s="3"/>
      <c r="H137" s="89"/>
      <c r="I137" s="90"/>
      <c r="K137" s="31"/>
    </row>
    <row r="138" spans="2:11" s="13" customFormat="1" x14ac:dyDescent="0.2">
      <c r="B138" s="3"/>
      <c r="C138" s="3"/>
      <c r="D138" s="3"/>
      <c r="E138" s="3"/>
      <c r="F138" s="89"/>
      <c r="G138" s="3"/>
      <c r="H138" s="89"/>
      <c r="I138" s="90"/>
      <c r="K138" s="31"/>
    </row>
    <row r="139" spans="2:11" s="13" customFormat="1" x14ac:dyDescent="0.2">
      <c r="B139" s="3"/>
      <c r="C139" s="3"/>
      <c r="D139" s="3"/>
      <c r="E139" s="3"/>
      <c r="F139" s="89"/>
      <c r="G139" s="3"/>
      <c r="H139" s="89"/>
      <c r="I139" s="90"/>
      <c r="K139" s="31"/>
    </row>
    <row r="140" spans="2:11" s="13" customFormat="1" x14ac:dyDescent="0.2">
      <c r="B140" s="3"/>
      <c r="C140" s="3"/>
      <c r="D140" s="3"/>
      <c r="E140" s="3"/>
      <c r="F140" s="89"/>
      <c r="G140" s="3"/>
      <c r="H140" s="89"/>
      <c r="I140" s="90"/>
      <c r="K140" s="31"/>
    </row>
    <row r="141" spans="2:11" s="13" customFormat="1" x14ac:dyDescent="0.2">
      <c r="B141" s="3"/>
      <c r="C141" s="3"/>
      <c r="D141" s="3"/>
      <c r="E141" s="3"/>
      <c r="F141" s="89"/>
      <c r="G141" s="3"/>
      <c r="H141" s="89"/>
      <c r="I141" s="90"/>
      <c r="K141" s="31"/>
    </row>
    <row r="142" spans="2:11" s="13" customFormat="1" x14ac:dyDescent="0.2">
      <c r="B142" s="3"/>
      <c r="C142" s="3"/>
      <c r="D142" s="3"/>
      <c r="E142" s="3"/>
      <c r="F142" s="89"/>
      <c r="G142" s="3"/>
      <c r="H142" s="89"/>
      <c r="I142" s="90"/>
      <c r="K142" s="31"/>
    </row>
    <row r="143" spans="2:11" s="13" customFormat="1" x14ac:dyDescent="0.2">
      <c r="B143" s="3"/>
      <c r="C143" s="3"/>
      <c r="D143" s="3"/>
      <c r="E143" s="3"/>
      <c r="F143" s="89"/>
      <c r="G143" s="3"/>
      <c r="H143" s="89"/>
      <c r="I143" s="90"/>
      <c r="K143" s="31"/>
    </row>
    <row r="144" spans="2:11" s="13" customFormat="1" x14ac:dyDescent="0.2">
      <c r="B144" s="3"/>
      <c r="C144" s="3"/>
      <c r="D144" s="3"/>
      <c r="E144" s="3"/>
      <c r="F144" s="89"/>
      <c r="G144" s="3"/>
      <c r="H144" s="89"/>
      <c r="I144" s="90"/>
      <c r="K144" s="31"/>
    </row>
    <row r="145" spans="2:11" s="13" customFormat="1" x14ac:dyDescent="0.2">
      <c r="B145" s="3"/>
      <c r="C145" s="3"/>
      <c r="D145" s="3"/>
      <c r="E145" s="3"/>
      <c r="F145" s="89"/>
      <c r="G145" s="3"/>
      <c r="H145" s="89"/>
      <c r="I145" s="90"/>
      <c r="K145" s="31"/>
    </row>
    <row r="146" spans="2:11" s="13" customFormat="1" x14ac:dyDescent="0.2">
      <c r="B146" s="3"/>
      <c r="C146" s="3"/>
      <c r="D146" s="3"/>
      <c r="E146" s="3"/>
      <c r="F146" s="89"/>
      <c r="G146" s="3"/>
      <c r="H146" s="89"/>
      <c r="I146" s="90"/>
      <c r="K146" s="31"/>
    </row>
    <row r="147" spans="2:11" s="13" customFormat="1" x14ac:dyDescent="0.2">
      <c r="B147" s="3"/>
      <c r="C147" s="3"/>
      <c r="D147" s="3"/>
      <c r="E147" s="3"/>
      <c r="F147" s="89"/>
      <c r="G147" s="3"/>
      <c r="H147" s="89"/>
      <c r="I147" s="90"/>
      <c r="K147" s="31"/>
    </row>
    <row r="148" spans="2:11" s="13" customFormat="1" x14ac:dyDescent="0.2">
      <c r="B148" s="3"/>
      <c r="C148" s="3"/>
      <c r="D148" s="3"/>
      <c r="E148" s="3"/>
      <c r="F148" s="89"/>
      <c r="G148" s="3"/>
      <c r="H148" s="89"/>
      <c r="I148" s="90"/>
      <c r="K148" s="31"/>
    </row>
    <row r="149" spans="2:11" s="13" customFormat="1" x14ac:dyDescent="0.2">
      <c r="B149" s="3"/>
      <c r="C149" s="3"/>
      <c r="D149" s="3"/>
      <c r="E149" s="3"/>
      <c r="F149" s="89"/>
      <c r="G149" s="3"/>
      <c r="H149" s="89"/>
      <c r="I149" s="90"/>
      <c r="K149" s="31"/>
    </row>
    <row r="150" spans="2:11" s="13" customFormat="1" x14ac:dyDescent="0.2">
      <c r="B150" s="3"/>
      <c r="C150" s="3"/>
      <c r="D150" s="3"/>
      <c r="E150" s="3"/>
      <c r="F150" s="89"/>
      <c r="G150" s="3"/>
      <c r="H150" s="89"/>
      <c r="I150" s="90"/>
      <c r="K150" s="31"/>
    </row>
    <row r="151" spans="2:11" s="13" customFormat="1" x14ac:dyDescent="0.2">
      <c r="B151" s="3"/>
      <c r="C151" s="3"/>
      <c r="D151" s="3"/>
      <c r="E151" s="3"/>
      <c r="F151" s="89"/>
      <c r="G151" s="3"/>
      <c r="H151" s="89"/>
      <c r="I151" s="90"/>
      <c r="K151" s="31"/>
    </row>
    <row r="152" spans="2:11" s="13" customFormat="1" x14ac:dyDescent="0.2">
      <c r="B152" s="3"/>
      <c r="C152" s="3"/>
      <c r="D152" s="3"/>
      <c r="E152" s="3"/>
      <c r="F152" s="89"/>
      <c r="G152" s="3"/>
      <c r="H152" s="89"/>
      <c r="I152" s="90"/>
      <c r="K152" s="31"/>
    </row>
    <row r="153" spans="2:11" s="13" customFormat="1" x14ac:dyDescent="0.2">
      <c r="B153" s="3"/>
      <c r="C153" s="3"/>
      <c r="D153" s="3"/>
      <c r="E153" s="3"/>
      <c r="F153" s="89"/>
      <c r="G153" s="3"/>
      <c r="H153" s="89"/>
      <c r="I153" s="90"/>
      <c r="K153" s="31"/>
    </row>
    <row r="154" spans="2:11" s="13" customFormat="1" x14ac:dyDescent="0.2">
      <c r="B154" s="3"/>
      <c r="C154" s="3"/>
      <c r="D154" s="3"/>
      <c r="E154" s="3"/>
      <c r="F154" s="89"/>
      <c r="G154" s="3"/>
      <c r="H154" s="89"/>
      <c r="I154" s="90"/>
      <c r="K154" s="31"/>
    </row>
    <row r="155" spans="2:11" s="13" customFormat="1" x14ac:dyDescent="0.2">
      <c r="B155" s="3"/>
      <c r="C155" s="3"/>
      <c r="D155" s="3"/>
      <c r="E155" s="3"/>
      <c r="F155" s="89"/>
      <c r="G155" s="3"/>
      <c r="H155" s="89"/>
      <c r="I155" s="90"/>
      <c r="K155" s="31"/>
    </row>
    <row r="156" spans="2:11" s="13" customFormat="1" x14ac:dyDescent="0.2">
      <c r="B156" s="3"/>
      <c r="C156" s="3"/>
      <c r="D156" s="3"/>
      <c r="E156" s="3"/>
      <c r="F156" s="89"/>
      <c r="G156" s="3"/>
      <c r="H156" s="89"/>
      <c r="I156" s="90"/>
      <c r="K156" s="31"/>
    </row>
    <row r="157" spans="2:11" s="13" customFormat="1" x14ac:dyDescent="0.2">
      <c r="B157" s="3"/>
      <c r="C157" s="3"/>
      <c r="D157" s="3"/>
      <c r="E157" s="3"/>
      <c r="F157" s="89"/>
      <c r="G157" s="3"/>
      <c r="H157" s="89"/>
      <c r="I157" s="90"/>
      <c r="K157" s="31"/>
    </row>
    <row r="158" spans="2:11" s="13" customFormat="1" x14ac:dyDescent="0.2">
      <c r="B158" s="3"/>
      <c r="C158" s="3"/>
      <c r="D158" s="3"/>
      <c r="E158" s="3"/>
      <c r="F158" s="89"/>
      <c r="G158" s="3"/>
      <c r="H158" s="89"/>
      <c r="I158" s="90"/>
      <c r="K158" s="31"/>
    </row>
    <row r="159" spans="2:11" s="13" customFormat="1" x14ac:dyDescent="0.2">
      <c r="B159" s="3"/>
      <c r="C159" s="3"/>
      <c r="D159" s="3"/>
      <c r="E159" s="3"/>
      <c r="F159" s="89"/>
      <c r="G159" s="3"/>
      <c r="H159" s="89"/>
      <c r="I159" s="90"/>
      <c r="K159" s="31"/>
    </row>
    <row r="160" spans="2:11" s="13" customFormat="1" x14ac:dyDescent="0.2">
      <c r="B160" s="3"/>
      <c r="C160" s="3"/>
      <c r="D160" s="3"/>
      <c r="E160" s="3"/>
      <c r="F160" s="89"/>
      <c r="G160" s="3"/>
      <c r="H160" s="89"/>
      <c r="I160" s="90"/>
      <c r="K160" s="31"/>
    </row>
    <row r="161" spans="2:11" s="13" customFormat="1" x14ac:dyDescent="0.2">
      <c r="B161" s="3"/>
      <c r="C161" s="3"/>
      <c r="D161" s="3"/>
      <c r="E161" s="3"/>
      <c r="F161" s="89"/>
      <c r="G161" s="3"/>
      <c r="H161" s="89"/>
      <c r="I161" s="90"/>
      <c r="K161" s="31"/>
    </row>
    <row r="162" spans="2:11" s="13" customFormat="1" x14ac:dyDescent="0.2">
      <c r="B162" s="3"/>
      <c r="C162" s="3"/>
      <c r="D162" s="3"/>
      <c r="E162" s="3"/>
      <c r="F162" s="89"/>
      <c r="G162" s="3"/>
      <c r="H162" s="89"/>
      <c r="I162" s="90"/>
      <c r="K162" s="31"/>
    </row>
    <row r="163" spans="2:11" s="13" customFormat="1" x14ac:dyDescent="0.2">
      <c r="B163" s="3"/>
      <c r="C163" s="3"/>
      <c r="D163" s="3"/>
      <c r="E163" s="3"/>
      <c r="F163" s="89"/>
      <c r="G163" s="3"/>
      <c r="H163" s="89"/>
      <c r="I163" s="90"/>
      <c r="K163" s="31"/>
    </row>
    <row r="164" spans="2:11" s="13" customFormat="1" x14ac:dyDescent="0.2">
      <c r="B164" s="3"/>
      <c r="C164" s="3"/>
      <c r="D164" s="3"/>
      <c r="E164" s="3"/>
      <c r="F164" s="89"/>
      <c r="G164" s="3"/>
      <c r="H164" s="89"/>
      <c r="I164" s="90"/>
      <c r="K164" s="31"/>
    </row>
    <row r="165" spans="2:11" s="13" customFormat="1" x14ac:dyDescent="0.2">
      <c r="B165" s="3"/>
      <c r="C165" s="3"/>
      <c r="D165" s="3"/>
      <c r="E165" s="3"/>
      <c r="F165" s="89"/>
      <c r="G165" s="3"/>
      <c r="H165" s="89"/>
      <c r="I165" s="90"/>
      <c r="K165" s="31"/>
    </row>
    <row r="166" spans="2:11" s="13" customFormat="1" x14ac:dyDescent="0.2">
      <c r="B166" s="3"/>
      <c r="C166" s="3"/>
      <c r="D166" s="3"/>
      <c r="E166" s="3"/>
      <c r="F166" s="89"/>
      <c r="G166" s="3"/>
      <c r="H166" s="89"/>
      <c r="I166" s="90"/>
      <c r="K166" s="31"/>
    </row>
    <row r="167" spans="2:11" s="13" customFormat="1" x14ac:dyDescent="0.2">
      <c r="B167" s="3"/>
      <c r="C167" s="3"/>
      <c r="D167" s="3"/>
      <c r="E167" s="3"/>
      <c r="F167" s="89"/>
      <c r="G167" s="3"/>
      <c r="H167" s="89"/>
      <c r="I167" s="90"/>
      <c r="K167" s="31"/>
    </row>
    <row r="168" spans="2:11" s="13" customFormat="1" x14ac:dyDescent="0.2">
      <c r="B168" s="3"/>
      <c r="C168" s="3"/>
      <c r="D168" s="3"/>
      <c r="E168" s="3"/>
      <c r="F168" s="89"/>
      <c r="G168" s="3"/>
      <c r="H168" s="89"/>
      <c r="I168" s="90"/>
      <c r="K168" s="31"/>
    </row>
    <row r="169" spans="2:11" s="13" customFormat="1" x14ac:dyDescent="0.2">
      <c r="B169" s="3"/>
      <c r="C169" s="3"/>
      <c r="D169" s="3"/>
      <c r="E169" s="3"/>
      <c r="F169" s="89"/>
      <c r="G169" s="3"/>
      <c r="H169" s="89"/>
      <c r="I169" s="90"/>
      <c r="K169" s="31"/>
    </row>
    <row r="170" spans="2:11" s="13" customFormat="1" x14ac:dyDescent="0.2">
      <c r="B170" s="3"/>
      <c r="C170" s="3"/>
      <c r="D170" s="3"/>
      <c r="E170" s="3"/>
      <c r="F170" s="89"/>
      <c r="G170" s="3"/>
      <c r="H170" s="89"/>
      <c r="I170" s="90"/>
      <c r="K170" s="31"/>
    </row>
    <row r="171" spans="2:11" s="13" customFormat="1" x14ac:dyDescent="0.2">
      <c r="B171" s="3"/>
      <c r="C171" s="3"/>
      <c r="D171" s="3"/>
      <c r="E171" s="3"/>
      <c r="F171" s="89"/>
      <c r="G171" s="3"/>
      <c r="H171" s="89"/>
      <c r="I171" s="90"/>
      <c r="K171" s="31"/>
    </row>
    <row r="172" spans="2:11" s="13" customFormat="1" x14ac:dyDescent="0.2">
      <c r="B172" s="3"/>
      <c r="C172" s="3"/>
      <c r="D172" s="3"/>
      <c r="E172" s="3"/>
      <c r="F172" s="89"/>
      <c r="G172" s="3"/>
      <c r="H172" s="89"/>
      <c r="I172" s="90"/>
      <c r="K172" s="31"/>
    </row>
    <row r="173" spans="2:11" s="13" customFormat="1" x14ac:dyDescent="0.2">
      <c r="B173" s="3"/>
      <c r="C173" s="3"/>
      <c r="D173" s="3"/>
      <c r="E173" s="3"/>
      <c r="F173" s="89"/>
      <c r="G173" s="3"/>
      <c r="H173" s="89"/>
      <c r="I173" s="90"/>
      <c r="K173" s="31"/>
    </row>
    <row r="174" spans="2:11" s="13" customFormat="1" x14ac:dyDescent="0.2">
      <c r="B174" s="3"/>
      <c r="C174" s="3"/>
      <c r="D174" s="3"/>
      <c r="E174" s="3"/>
      <c r="F174" s="89"/>
      <c r="G174" s="3"/>
      <c r="H174" s="89"/>
      <c r="I174" s="90"/>
      <c r="K174" s="31"/>
    </row>
    <row r="175" spans="2:11" s="13" customFormat="1" x14ac:dyDescent="0.2">
      <c r="B175" s="3"/>
      <c r="C175" s="3"/>
      <c r="D175" s="3"/>
      <c r="E175" s="3"/>
      <c r="F175" s="89"/>
      <c r="G175" s="3"/>
      <c r="H175" s="89"/>
      <c r="I175" s="90"/>
      <c r="K175" s="31"/>
    </row>
    <row r="176" spans="2:11" s="13" customFormat="1" x14ac:dyDescent="0.2">
      <c r="B176" s="3"/>
      <c r="C176" s="3"/>
      <c r="D176" s="3"/>
      <c r="E176" s="3"/>
      <c r="F176" s="89"/>
      <c r="G176" s="3"/>
      <c r="H176" s="89"/>
      <c r="I176" s="90"/>
      <c r="K176" s="31"/>
    </row>
    <row r="177" spans="2:11" s="13" customFormat="1" x14ac:dyDescent="0.2">
      <c r="B177" s="3"/>
      <c r="C177" s="3"/>
      <c r="D177" s="3"/>
      <c r="E177" s="3"/>
      <c r="F177" s="89"/>
      <c r="G177" s="3"/>
      <c r="H177" s="89"/>
      <c r="I177" s="90"/>
      <c r="K177" s="31"/>
    </row>
    <row r="178" spans="2:11" s="13" customFormat="1" x14ac:dyDescent="0.2">
      <c r="B178" s="3"/>
      <c r="C178" s="3"/>
      <c r="D178" s="3"/>
      <c r="E178" s="3"/>
      <c r="F178" s="89"/>
      <c r="G178" s="3"/>
      <c r="H178" s="89"/>
      <c r="I178" s="90"/>
      <c r="K178" s="31"/>
    </row>
    <row r="179" spans="2:11" s="13" customFormat="1" x14ac:dyDescent="0.2">
      <c r="B179" s="3"/>
      <c r="C179" s="3"/>
      <c r="D179" s="3"/>
      <c r="E179" s="3"/>
      <c r="F179" s="89"/>
      <c r="G179" s="3"/>
      <c r="H179" s="89"/>
      <c r="I179" s="90"/>
      <c r="K179" s="31"/>
    </row>
    <row r="180" spans="2:11" s="13" customFormat="1" x14ac:dyDescent="0.2">
      <c r="B180" s="3"/>
      <c r="C180" s="3"/>
      <c r="D180" s="3"/>
      <c r="E180" s="3"/>
      <c r="F180" s="89"/>
      <c r="G180" s="3"/>
      <c r="H180" s="89"/>
      <c r="I180" s="90"/>
      <c r="K180" s="31"/>
    </row>
    <row r="181" spans="2:11" s="13" customFormat="1" x14ac:dyDescent="0.2">
      <c r="B181" s="3"/>
      <c r="C181" s="3"/>
      <c r="D181" s="3"/>
      <c r="E181" s="3"/>
      <c r="F181" s="89"/>
      <c r="G181" s="3"/>
      <c r="H181" s="89"/>
      <c r="I181" s="90"/>
      <c r="K181" s="31"/>
    </row>
    <row r="182" spans="2:11" s="13" customFormat="1" x14ac:dyDescent="0.2">
      <c r="B182" s="3"/>
      <c r="C182" s="3"/>
      <c r="D182" s="3"/>
      <c r="E182" s="3"/>
      <c r="F182" s="89"/>
      <c r="G182" s="3"/>
      <c r="H182" s="89"/>
      <c r="I182" s="90"/>
      <c r="K182" s="31"/>
    </row>
    <row r="183" spans="2:11" s="13" customFormat="1" x14ac:dyDescent="0.2">
      <c r="B183" s="3"/>
      <c r="C183" s="3"/>
      <c r="D183" s="3"/>
      <c r="E183" s="3"/>
      <c r="F183" s="89"/>
      <c r="G183" s="3"/>
      <c r="H183" s="89"/>
      <c r="I183" s="90"/>
      <c r="K183" s="31"/>
    </row>
    <row r="184" spans="2:11" s="13" customFormat="1" x14ac:dyDescent="0.2">
      <c r="B184" s="3"/>
      <c r="C184" s="3"/>
      <c r="D184" s="3"/>
      <c r="E184" s="3"/>
      <c r="F184" s="89"/>
      <c r="G184" s="3"/>
      <c r="H184" s="89"/>
      <c r="I184" s="90"/>
      <c r="K184" s="31"/>
    </row>
    <row r="185" spans="2:11" s="13" customFormat="1" x14ac:dyDescent="0.2">
      <c r="B185" s="3"/>
      <c r="C185" s="3"/>
      <c r="D185" s="3"/>
      <c r="E185" s="3"/>
      <c r="F185" s="89"/>
      <c r="G185" s="3"/>
      <c r="H185" s="89"/>
      <c r="I185" s="90"/>
      <c r="K185" s="31"/>
    </row>
    <row r="186" spans="2:11" s="13" customFormat="1" x14ac:dyDescent="0.2">
      <c r="B186" s="3"/>
      <c r="C186" s="3"/>
      <c r="D186" s="3"/>
      <c r="E186" s="3"/>
      <c r="F186" s="89"/>
      <c r="G186" s="3"/>
      <c r="H186" s="89"/>
      <c r="I186" s="90"/>
      <c r="K186" s="31"/>
    </row>
    <row r="187" spans="2:11" s="13" customFormat="1" x14ac:dyDescent="0.2">
      <c r="B187" s="3"/>
      <c r="C187" s="3"/>
      <c r="D187" s="3"/>
      <c r="E187" s="3"/>
      <c r="F187" s="89"/>
      <c r="G187" s="3"/>
      <c r="H187" s="89"/>
      <c r="I187" s="90"/>
      <c r="K187" s="31"/>
    </row>
    <row r="188" spans="2:11" s="13" customFormat="1" x14ac:dyDescent="0.2">
      <c r="B188" s="3"/>
      <c r="C188" s="3"/>
      <c r="D188" s="3"/>
      <c r="E188" s="3"/>
      <c r="F188" s="89"/>
      <c r="G188" s="3"/>
      <c r="H188" s="89"/>
      <c r="I188" s="90"/>
      <c r="K188" s="31"/>
    </row>
    <row r="189" spans="2:11" s="13" customFormat="1" x14ac:dyDescent="0.2">
      <c r="B189" s="3"/>
      <c r="C189" s="3"/>
      <c r="D189" s="3"/>
      <c r="E189" s="3"/>
      <c r="F189" s="89"/>
      <c r="G189" s="3"/>
      <c r="H189" s="89"/>
      <c r="I189" s="90"/>
      <c r="K189" s="31"/>
    </row>
    <row r="190" spans="2:11" s="13" customFormat="1" x14ac:dyDescent="0.2">
      <c r="B190" s="3"/>
      <c r="C190" s="3"/>
      <c r="D190" s="3"/>
      <c r="E190" s="3"/>
      <c r="F190" s="89"/>
      <c r="G190" s="3"/>
      <c r="H190" s="89"/>
      <c r="I190" s="90"/>
      <c r="K190" s="31"/>
    </row>
    <row r="191" spans="2:11" s="13" customFormat="1" x14ac:dyDescent="0.2">
      <c r="B191" s="3"/>
      <c r="C191" s="3"/>
      <c r="D191" s="3"/>
      <c r="E191" s="3"/>
      <c r="F191" s="89"/>
      <c r="G191" s="3"/>
      <c r="H191" s="89"/>
      <c r="I191" s="90"/>
      <c r="K191" s="31"/>
    </row>
    <row r="192" spans="2:11" s="13" customFormat="1" x14ac:dyDescent="0.2">
      <c r="B192" s="3"/>
      <c r="C192" s="3"/>
      <c r="D192" s="3"/>
      <c r="E192" s="3"/>
      <c r="F192" s="89"/>
      <c r="G192" s="3"/>
      <c r="H192" s="89"/>
      <c r="I192" s="90"/>
      <c r="K192" s="31"/>
    </row>
    <row r="193" spans="2:11" s="13" customFormat="1" x14ac:dyDescent="0.2">
      <c r="B193" s="3"/>
      <c r="C193" s="3"/>
      <c r="D193" s="3"/>
      <c r="E193" s="3"/>
      <c r="F193" s="89"/>
      <c r="G193" s="3"/>
      <c r="H193" s="89"/>
      <c r="I193" s="90"/>
      <c r="K193" s="31"/>
    </row>
    <row r="194" spans="2:11" s="13" customFormat="1" x14ac:dyDescent="0.2">
      <c r="B194" s="3"/>
      <c r="C194" s="3"/>
      <c r="D194" s="3"/>
      <c r="E194" s="3"/>
      <c r="F194" s="89"/>
      <c r="G194" s="3"/>
      <c r="H194" s="89"/>
      <c r="I194" s="90"/>
      <c r="K194" s="31"/>
    </row>
    <row r="195" spans="2:11" s="13" customFormat="1" x14ac:dyDescent="0.2">
      <c r="B195" s="3"/>
      <c r="C195" s="3"/>
      <c r="D195" s="3"/>
      <c r="E195" s="3"/>
      <c r="F195" s="89"/>
      <c r="G195" s="3"/>
      <c r="H195" s="89"/>
      <c r="I195" s="90"/>
      <c r="K195" s="31"/>
    </row>
    <row r="196" spans="2:11" s="13" customFormat="1" x14ac:dyDescent="0.2">
      <c r="B196" s="3"/>
      <c r="C196" s="3"/>
      <c r="D196" s="3"/>
      <c r="E196" s="3"/>
      <c r="F196" s="89"/>
      <c r="G196" s="3"/>
      <c r="H196" s="89"/>
      <c r="I196" s="90"/>
      <c r="K196" s="31"/>
    </row>
    <row r="197" spans="2:11" s="13" customFormat="1" x14ac:dyDescent="0.2">
      <c r="B197" s="3"/>
      <c r="C197" s="3"/>
      <c r="D197" s="3"/>
      <c r="E197" s="3"/>
      <c r="F197" s="89"/>
      <c r="G197" s="3"/>
      <c r="H197" s="89"/>
      <c r="I197" s="90"/>
      <c r="K197" s="31"/>
    </row>
    <row r="198" spans="2:11" s="13" customFormat="1" x14ac:dyDescent="0.2">
      <c r="B198" s="3"/>
      <c r="C198" s="3"/>
      <c r="D198" s="3"/>
      <c r="E198" s="3"/>
      <c r="F198" s="89"/>
      <c r="G198" s="3"/>
      <c r="H198" s="89"/>
      <c r="I198" s="90"/>
      <c r="K198" s="31"/>
    </row>
    <row r="199" spans="2:11" s="13" customFormat="1" x14ac:dyDescent="0.2">
      <c r="B199" s="3"/>
      <c r="C199" s="3"/>
      <c r="D199" s="3"/>
      <c r="E199" s="3"/>
      <c r="F199" s="89"/>
      <c r="G199" s="3"/>
      <c r="H199" s="89"/>
      <c r="I199" s="90"/>
      <c r="K199" s="31"/>
    </row>
    <row r="200" spans="2:11" s="13" customFormat="1" x14ac:dyDescent="0.2">
      <c r="B200" s="3"/>
      <c r="C200" s="3"/>
      <c r="D200" s="3"/>
      <c r="E200" s="3"/>
      <c r="F200" s="89"/>
      <c r="G200" s="3"/>
      <c r="H200" s="89"/>
      <c r="I200" s="90"/>
      <c r="K200" s="31"/>
    </row>
    <row r="201" spans="2:11" s="13" customFormat="1" x14ac:dyDescent="0.2">
      <c r="B201" s="3"/>
      <c r="C201" s="3"/>
      <c r="D201" s="3"/>
      <c r="E201" s="3"/>
      <c r="F201" s="89"/>
      <c r="G201" s="3"/>
      <c r="H201" s="89"/>
      <c r="I201" s="90"/>
      <c r="K201" s="31"/>
    </row>
    <row r="202" spans="2:11" s="13" customFormat="1" x14ac:dyDescent="0.2">
      <c r="B202" s="3"/>
      <c r="C202" s="3"/>
      <c r="D202" s="3"/>
      <c r="E202" s="3"/>
      <c r="F202" s="89"/>
      <c r="G202" s="3"/>
      <c r="H202" s="89"/>
      <c r="I202" s="90"/>
      <c r="K202" s="31"/>
    </row>
    <row r="203" spans="2:11" s="13" customFormat="1" x14ac:dyDescent="0.2">
      <c r="B203" s="3"/>
      <c r="C203" s="3"/>
      <c r="D203" s="3"/>
      <c r="E203" s="3"/>
      <c r="F203" s="89"/>
      <c r="G203" s="3"/>
      <c r="H203" s="89"/>
      <c r="I203" s="90"/>
      <c r="K203" s="31"/>
    </row>
    <row r="204" spans="2:11" s="13" customFormat="1" x14ac:dyDescent="0.2">
      <c r="B204" s="3"/>
      <c r="C204" s="3"/>
      <c r="D204" s="3"/>
      <c r="E204" s="3"/>
      <c r="F204" s="89"/>
      <c r="G204" s="3"/>
      <c r="H204" s="89"/>
      <c r="I204" s="90"/>
      <c r="K204" s="31"/>
    </row>
    <row r="205" spans="2:11" s="13" customFormat="1" x14ac:dyDescent="0.2">
      <c r="B205" s="3"/>
      <c r="C205" s="3"/>
      <c r="D205" s="3"/>
      <c r="E205" s="3"/>
      <c r="F205" s="89"/>
      <c r="G205" s="3"/>
      <c r="H205" s="89"/>
      <c r="I205" s="90"/>
      <c r="K205" s="31"/>
    </row>
    <row r="206" spans="2:11" s="13" customFormat="1" x14ac:dyDescent="0.2">
      <c r="B206" s="3"/>
      <c r="C206" s="3"/>
      <c r="D206" s="3"/>
      <c r="E206" s="3"/>
      <c r="F206" s="89"/>
      <c r="G206" s="3"/>
      <c r="H206" s="89"/>
      <c r="I206" s="90"/>
      <c r="K206" s="31"/>
    </row>
    <row r="207" spans="2:11" s="13" customFormat="1" x14ac:dyDescent="0.2">
      <c r="B207" s="3"/>
      <c r="C207" s="3"/>
      <c r="D207" s="3"/>
      <c r="E207" s="3"/>
      <c r="F207" s="89"/>
      <c r="G207" s="3"/>
      <c r="H207" s="89"/>
      <c r="I207" s="90"/>
      <c r="K207" s="31"/>
    </row>
    <row r="208" spans="2:11" s="13" customFormat="1" x14ac:dyDescent="0.2">
      <c r="B208" s="3"/>
      <c r="C208" s="3"/>
      <c r="D208" s="3"/>
      <c r="E208" s="3"/>
      <c r="F208" s="89"/>
      <c r="G208" s="3"/>
      <c r="H208" s="89"/>
      <c r="I208" s="90"/>
      <c r="K208" s="31"/>
    </row>
    <row r="209" spans="2:11" s="13" customFormat="1" x14ac:dyDescent="0.2">
      <c r="B209" s="3"/>
      <c r="C209" s="3"/>
      <c r="D209" s="3"/>
      <c r="E209" s="3"/>
      <c r="F209" s="89"/>
      <c r="G209" s="3"/>
      <c r="H209" s="89"/>
      <c r="I209" s="90"/>
      <c r="K209" s="31"/>
    </row>
    <row r="210" spans="2:11" s="13" customFormat="1" x14ac:dyDescent="0.2">
      <c r="B210" s="3"/>
      <c r="C210" s="3"/>
      <c r="D210" s="3"/>
      <c r="E210" s="3"/>
      <c r="F210" s="89"/>
      <c r="G210" s="3"/>
      <c r="H210" s="89"/>
      <c r="I210" s="90"/>
      <c r="K210" s="31"/>
    </row>
    <row r="211" spans="2:11" s="13" customFormat="1" x14ac:dyDescent="0.2">
      <c r="B211" s="3"/>
      <c r="C211" s="3"/>
      <c r="D211" s="3"/>
      <c r="E211" s="3"/>
      <c r="F211" s="89"/>
      <c r="G211" s="3"/>
      <c r="H211" s="89"/>
      <c r="I211" s="90"/>
      <c r="K211" s="31"/>
    </row>
    <row r="212" spans="2:11" s="13" customFormat="1" x14ac:dyDescent="0.2">
      <c r="B212" s="3"/>
      <c r="C212" s="3"/>
      <c r="D212" s="3"/>
      <c r="E212" s="3"/>
      <c r="F212" s="89"/>
      <c r="G212" s="3"/>
      <c r="H212" s="89"/>
      <c r="I212" s="90"/>
      <c r="K212" s="31"/>
    </row>
    <row r="213" spans="2:11" s="13" customFormat="1" x14ac:dyDescent="0.2">
      <c r="B213" s="3"/>
      <c r="C213" s="3"/>
      <c r="D213" s="3"/>
      <c r="E213" s="3"/>
      <c r="F213" s="89"/>
      <c r="G213" s="3"/>
      <c r="H213" s="89"/>
      <c r="I213" s="90"/>
      <c r="K213" s="31"/>
    </row>
    <row r="214" spans="2:11" s="13" customFormat="1" x14ac:dyDescent="0.2">
      <c r="B214" s="3"/>
      <c r="C214" s="3"/>
      <c r="D214" s="3"/>
      <c r="E214" s="3"/>
      <c r="F214" s="89"/>
      <c r="G214" s="3"/>
      <c r="H214" s="89"/>
      <c r="I214" s="90"/>
      <c r="K214" s="31"/>
    </row>
    <row r="215" spans="2:11" s="13" customFormat="1" x14ac:dyDescent="0.2">
      <c r="B215" s="3"/>
      <c r="C215" s="3"/>
      <c r="D215" s="3"/>
      <c r="E215" s="3"/>
      <c r="F215" s="89"/>
      <c r="G215" s="3"/>
      <c r="H215" s="89"/>
      <c r="I215" s="90"/>
      <c r="K215" s="31"/>
    </row>
    <row r="216" spans="2:11" s="13" customFormat="1" x14ac:dyDescent="0.2">
      <c r="B216" s="3"/>
      <c r="C216" s="3"/>
      <c r="D216" s="3"/>
      <c r="E216" s="3"/>
      <c r="F216" s="89"/>
      <c r="G216" s="3"/>
      <c r="H216" s="89"/>
      <c r="I216" s="90"/>
      <c r="K216" s="31"/>
    </row>
    <row r="217" spans="2:11" s="13" customFormat="1" x14ac:dyDescent="0.2">
      <c r="B217" s="3"/>
      <c r="C217" s="3"/>
      <c r="D217" s="3"/>
      <c r="E217" s="3"/>
      <c r="F217" s="89"/>
      <c r="G217" s="3"/>
      <c r="H217" s="89"/>
      <c r="I217" s="90"/>
      <c r="K217" s="31"/>
    </row>
    <row r="218" spans="2:11" s="13" customFormat="1" x14ac:dyDescent="0.2">
      <c r="B218" s="3"/>
      <c r="C218" s="3"/>
      <c r="D218" s="3"/>
      <c r="E218" s="3"/>
      <c r="F218" s="89"/>
      <c r="G218" s="3"/>
      <c r="H218" s="89"/>
      <c r="I218" s="90"/>
      <c r="K218" s="31"/>
    </row>
    <row r="219" spans="2:11" s="13" customFormat="1" x14ac:dyDescent="0.2">
      <c r="B219" s="3"/>
      <c r="C219" s="3"/>
      <c r="D219" s="3"/>
      <c r="E219" s="3"/>
      <c r="F219" s="89"/>
      <c r="G219" s="3"/>
      <c r="H219" s="89"/>
      <c r="I219" s="90"/>
      <c r="K219" s="31"/>
    </row>
    <row r="220" spans="2:11" s="13" customFormat="1" x14ac:dyDescent="0.2">
      <c r="B220" s="3"/>
      <c r="C220" s="3"/>
      <c r="D220" s="3"/>
      <c r="E220" s="3"/>
      <c r="F220" s="89"/>
      <c r="G220" s="3"/>
      <c r="H220" s="89"/>
      <c r="I220" s="90"/>
      <c r="K220" s="31"/>
    </row>
    <row r="221" spans="2:11" s="13" customFormat="1" x14ac:dyDescent="0.2">
      <c r="B221" s="3"/>
      <c r="C221" s="3"/>
      <c r="D221" s="3"/>
      <c r="E221" s="3"/>
      <c r="F221" s="89"/>
      <c r="G221" s="3"/>
      <c r="H221" s="89"/>
      <c r="I221" s="90"/>
      <c r="K221" s="31"/>
    </row>
    <row r="222" spans="2:11" s="13" customFormat="1" x14ac:dyDescent="0.2">
      <c r="B222" s="3"/>
      <c r="C222" s="3"/>
      <c r="D222" s="3"/>
      <c r="E222" s="3"/>
      <c r="F222" s="89"/>
      <c r="G222" s="3"/>
      <c r="H222" s="89"/>
      <c r="I222" s="90"/>
      <c r="K222" s="31"/>
    </row>
    <row r="223" spans="2:11" s="13" customFormat="1" x14ac:dyDescent="0.2">
      <c r="B223" s="3"/>
      <c r="C223" s="3"/>
      <c r="D223" s="3"/>
      <c r="E223" s="3"/>
      <c r="F223" s="89"/>
      <c r="G223" s="3"/>
      <c r="H223" s="89"/>
      <c r="I223" s="90"/>
      <c r="K223" s="31"/>
    </row>
    <row r="224" spans="2:11" s="13" customFormat="1" x14ac:dyDescent="0.2">
      <c r="B224" s="3"/>
      <c r="C224" s="3"/>
      <c r="D224" s="3"/>
      <c r="E224" s="3"/>
      <c r="F224" s="89"/>
      <c r="G224" s="3"/>
      <c r="H224" s="89"/>
      <c r="I224" s="90"/>
      <c r="K224" s="31"/>
    </row>
    <row r="225" spans="2:11" s="13" customFormat="1" x14ac:dyDescent="0.2">
      <c r="B225" s="3"/>
      <c r="C225" s="3"/>
      <c r="D225" s="3"/>
      <c r="E225" s="3"/>
      <c r="F225" s="89"/>
      <c r="G225" s="3"/>
      <c r="H225" s="89"/>
      <c r="I225" s="90"/>
      <c r="K225" s="31"/>
    </row>
    <row r="226" spans="2:11" s="13" customFormat="1" x14ac:dyDescent="0.2">
      <c r="B226" s="3"/>
      <c r="C226" s="3"/>
      <c r="D226" s="3"/>
      <c r="E226" s="3"/>
      <c r="F226" s="89"/>
      <c r="G226" s="3"/>
      <c r="H226" s="89"/>
      <c r="I226" s="90"/>
      <c r="K226" s="31"/>
    </row>
    <row r="227" spans="2:11" s="13" customFormat="1" x14ac:dyDescent="0.2">
      <c r="B227" s="3"/>
      <c r="C227" s="3"/>
      <c r="D227" s="3"/>
      <c r="E227" s="3"/>
      <c r="F227" s="89"/>
      <c r="G227" s="3"/>
      <c r="H227" s="89"/>
      <c r="I227" s="90"/>
      <c r="K227" s="31"/>
    </row>
    <row r="228" spans="2:11" s="13" customFormat="1" x14ac:dyDescent="0.2">
      <c r="B228" s="3"/>
      <c r="C228" s="3"/>
      <c r="D228" s="3"/>
      <c r="E228" s="3"/>
      <c r="F228" s="89"/>
      <c r="G228" s="3"/>
      <c r="H228" s="89"/>
      <c r="I228" s="90"/>
      <c r="K228" s="31"/>
    </row>
    <row r="229" spans="2:11" s="13" customFormat="1" x14ac:dyDescent="0.2">
      <c r="B229" s="3"/>
      <c r="C229" s="3"/>
      <c r="D229" s="3"/>
      <c r="E229" s="3"/>
      <c r="F229" s="89"/>
      <c r="G229" s="3"/>
      <c r="H229" s="89"/>
      <c r="I229" s="90"/>
      <c r="K229" s="31"/>
    </row>
    <row r="230" spans="2:11" s="13" customFormat="1" x14ac:dyDescent="0.2">
      <c r="B230" s="3"/>
      <c r="C230" s="3"/>
      <c r="D230" s="3"/>
      <c r="E230" s="3"/>
      <c r="F230" s="89"/>
      <c r="G230" s="3"/>
      <c r="H230" s="89"/>
      <c r="I230" s="90"/>
      <c r="K230" s="31"/>
    </row>
    <row r="231" spans="2:11" s="13" customFormat="1" x14ac:dyDescent="0.2">
      <c r="B231" s="3"/>
      <c r="C231" s="3"/>
      <c r="D231" s="3"/>
      <c r="E231" s="3"/>
      <c r="F231" s="89"/>
      <c r="G231" s="3"/>
      <c r="H231" s="89"/>
      <c r="I231" s="90"/>
      <c r="K231" s="31"/>
    </row>
    <row r="232" spans="2:11" s="13" customFormat="1" x14ac:dyDescent="0.2">
      <c r="B232" s="3"/>
      <c r="C232" s="3"/>
      <c r="D232" s="3"/>
      <c r="E232" s="3"/>
      <c r="F232" s="89"/>
      <c r="G232" s="3"/>
      <c r="H232" s="89"/>
      <c r="I232" s="90"/>
      <c r="K232" s="31"/>
    </row>
    <row r="233" spans="2:11" s="13" customFormat="1" x14ac:dyDescent="0.2">
      <c r="B233" s="3"/>
      <c r="C233" s="3"/>
      <c r="D233" s="3"/>
      <c r="E233" s="3"/>
      <c r="F233" s="89"/>
      <c r="G233" s="3"/>
      <c r="H233" s="89"/>
      <c r="I233" s="90"/>
      <c r="K233" s="31"/>
    </row>
    <row r="234" spans="2:11" s="13" customFormat="1" x14ac:dyDescent="0.2">
      <c r="B234" s="3"/>
      <c r="C234" s="3"/>
      <c r="D234" s="3"/>
      <c r="E234" s="3"/>
      <c r="F234" s="89"/>
      <c r="G234" s="3"/>
      <c r="H234" s="89"/>
      <c r="I234" s="90"/>
      <c r="K234" s="31"/>
    </row>
    <row r="235" spans="2:11" s="13" customFormat="1" x14ac:dyDescent="0.2">
      <c r="B235" s="3"/>
      <c r="C235" s="3"/>
      <c r="D235" s="3"/>
      <c r="E235" s="3"/>
      <c r="F235" s="89"/>
      <c r="G235" s="3"/>
      <c r="H235" s="89"/>
      <c r="I235" s="90"/>
      <c r="K235" s="31"/>
    </row>
    <row r="236" spans="2:11" s="13" customFormat="1" x14ac:dyDescent="0.2">
      <c r="B236" s="3"/>
      <c r="C236" s="3"/>
      <c r="D236" s="3"/>
      <c r="E236" s="3"/>
      <c r="F236" s="89"/>
      <c r="G236" s="3"/>
      <c r="H236" s="89"/>
      <c r="I236" s="90"/>
      <c r="K236" s="31"/>
    </row>
    <row r="237" spans="2:11" s="13" customFormat="1" x14ac:dyDescent="0.2">
      <c r="B237" s="3"/>
      <c r="C237" s="3"/>
      <c r="D237" s="3"/>
      <c r="E237" s="3"/>
      <c r="F237" s="89"/>
      <c r="G237" s="3"/>
      <c r="H237" s="89"/>
      <c r="I237" s="90"/>
      <c r="K237" s="31"/>
    </row>
    <row r="238" spans="2:11" s="13" customFormat="1" x14ac:dyDescent="0.2">
      <c r="B238" s="3"/>
      <c r="C238" s="3"/>
      <c r="D238" s="3"/>
      <c r="E238" s="3"/>
      <c r="F238" s="89"/>
      <c r="G238" s="3"/>
      <c r="H238" s="89"/>
      <c r="I238" s="90"/>
      <c r="K238" s="31"/>
    </row>
    <row r="239" spans="2:11" s="13" customFormat="1" x14ac:dyDescent="0.2">
      <c r="B239" s="3"/>
      <c r="C239" s="3"/>
      <c r="D239" s="3"/>
      <c r="E239" s="3"/>
      <c r="F239" s="89"/>
      <c r="G239" s="3"/>
      <c r="H239" s="89"/>
      <c r="I239" s="90"/>
      <c r="K239" s="31"/>
    </row>
    <row r="240" spans="2:11" s="13" customFormat="1" x14ac:dyDescent="0.2">
      <c r="B240" s="3"/>
      <c r="C240" s="3"/>
      <c r="D240" s="3"/>
      <c r="E240" s="3"/>
      <c r="F240" s="89"/>
      <c r="G240" s="3"/>
      <c r="H240" s="89"/>
      <c r="I240" s="90"/>
      <c r="K240" s="31"/>
    </row>
    <row r="241" spans="2:11" s="13" customFormat="1" x14ac:dyDescent="0.2">
      <c r="B241" s="3"/>
      <c r="C241" s="3"/>
      <c r="D241" s="3"/>
      <c r="E241" s="3"/>
      <c r="F241" s="89"/>
      <c r="G241" s="3"/>
      <c r="H241" s="89"/>
      <c r="I241" s="90"/>
      <c r="K241" s="31"/>
    </row>
    <row r="242" spans="2:11" s="13" customFormat="1" x14ac:dyDescent="0.2">
      <c r="B242" s="3"/>
      <c r="C242" s="3"/>
      <c r="D242" s="3"/>
      <c r="E242" s="3"/>
      <c r="F242" s="89"/>
      <c r="G242" s="3"/>
      <c r="H242" s="89"/>
      <c r="I242" s="90"/>
      <c r="K242" s="31"/>
    </row>
    <row r="243" spans="2:11" s="13" customFormat="1" x14ac:dyDescent="0.2">
      <c r="B243" s="3"/>
      <c r="C243" s="3"/>
      <c r="D243" s="3"/>
      <c r="E243" s="3"/>
      <c r="F243" s="89"/>
      <c r="G243" s="3"/>
      <c r="H243" s="89"/>
      <c r="I243" s="90"/>
      <c r="K243" s="31"/>
    </row>
    <row r="244" spans="2:11" s="13" customFormat="1" x14ac:dyDescent="0.2">
      <c r="B244" s="3"/>
      <c r="C244" s="3"/>
      <c r="D244" s="3"/>
      <c r="E244" s="3"/>
      <c r="F244" s="89"/>
      <c r="G244" s="3"/>
      <c r="H244" s="89"/>
      <c r="I244" s="90"/>
      <c r="K244" s="31"/>
    </row>
    <row r="245" spans="2:11" s="13" customFormat="1" x14ac:dyDescent="0.2">
      <c r="B245" s="3"/>
      <c r="C245" s="3"/>
      <c r="D245" s="3"/>
      <c r="E245" s="3"/>
      <c r="F245" s="89"/>
      <c r="G245" s="3"/>
      <c r="H245" s="89"/>
      <c r="I245" s="90"/>
      <c r="K245" s="31"/>
    </row>
    <row r="246" spans="2:11" s="13" customFormat="1" x14ac:dyDescent="0.2">
      <c r="B246" s="3"/>
      <c r="C246" s="3"/>
      <c r="D246" s="3"/>
      <c r="E246" s="3"/>
      <c r="F246" s="89"/>
      <c r="G246" s="3"/>
      <c r="H246" s="89"/>
      <c r="I246" s="90"/>
      <c r="K246" s="31"/>
    </row>
    <row r="247" spans="2:11" s="13" customFormat="1" x14ac:dyDescent="0.2">
      <c r="B247" s="3"/>
      <c r="C247" s="3"/>
      <c r="D247" s="3"/>
      <c r="E247" s="3"/>
      <c r="F247" s="89"/>
      <c r="G247" s="3"/>
      <c r="H247" s="89"/>
      <c r="I247" s="90"/>
      <c r="K247" s="31"/>
    </row>
    <row r="248" spans="2:11" s="13" customFormat="1" x14ac:dyDescent="0.2">
      <c r="B248" s="3"/>
      <c r="C248" s="3"/>
      <c r="D248" s="3"/>
      <c r="E248" s="3"/>
      <c r="F248" s="89"/>
      <c r="G248" s="3"/>
      <c r="H248" s="89"/>
      <c r="I248" s="90"/>
      <c r="K248" s="31"/>
    </row>
    <row r="249" spans="2:11" s="13" customFormat="1" x14ac:dyDescent="0.2">
      <c r="B249" s="3"/>
      <c r="C249" s="3"/>
      <c r="D249" s="3"/>
      <c r="E249" s="3"/>
      <c r="F249" s="89"/>
      <c r="G249" s="3"/>
      <c r="H249" s="89"/>
      <c r="I249" s="90"/>
      <c r="K249" s="31"/>
    </row>
    <row r="250" spans="2:11" s="13" customFormat="1" x14ac:dyDescent="0.2">
      <c r="B250" s="3"/>
      <c r="C250" s="3"/>
      <c r="D250" s="3"/>
      <c r="E250" s="3"/>
      <c r="F250" s="89"/>
      <c r="G250" s="3"/>
      <c r="H250" s="89"/>
      <c r="I250" s="90"/>
      <c r="K250" s="31"/>
    </row>
    <row r="251" spans="2:11" s="13" customFormat="1" x14ac:dyDescent="0.2">
      <c r="B251" s="3"/>
      <c r="C251" s="3"/>
      <c r="D251" s="3"/>
      <c r="E251" s="3"/>
      <c r="F251" s="89"/>
      <c r="G251" s="3"/>
      <c r="H251" s="89"/>
      <c r="I251" s="90"/>
      <c r="K251" s="31"/>
    </row>
    <row r="252" spans="2:11" s="13" customFormat="1" x14ac:dyDescent="0.2">
      <c r="B252" s="3"/>
      <c r="C252" s="3"/>
      <c r="D252" s="3"/>
      <c r="E252" s="3"/>
      <c r="F252" s="89"/>
      <c r="G252" s="3"/>
      <c r="H252" s="89"/>
      <c r="I252" s="90"/>
      <c r="K252" s="31"/>
    </row>
    <row r="253" spans="2:11" s="13" customFormat="1" x14ac:dyDescent="0.2">
      <c r="B253" s="3"/>
      <c r="C253" s="3"/>
      <c r="D253" s="3"/>
      <c r="E253" s="3"/>
      <c r="F253" s="89"/>
      <c r="G253" s="3"/>
      <c r="H253" s="89"/>
      <c r="I253" s="90"/>
      <c r="K253" s="31"/>
    </row>
    <row r="254" spans="2:11" s="13" customFormat="1" x14ac:dyDescent="0.2">
      <c r="B254" s="3"/>
      <c r="C254" s="3"/>
      <c r="D254" s="3"/>
      <c r="E254" s="3"/>
      <c r="F254" s="89"/>
      <c r="G254" s="3"/>
      <c r="H254" s="89"/>
      <c r="I254" s="90"/>
      <c r="K254" s="31"/>
    </row>
    <row r="255" spans="2:11" s="13" customFormat="1" x14ac:dyDescent="0.2">
      <c r="B255" s="3"/>
      <c r="C255" s="3"/>
      <c r="D255" s="3"/>
      <c r="E255" s="3"/>
      <c r="F255" s="89"/>
      <c r="G255" s="3"/>
      <c r="H255" s="89"/>
      <c r="I255" s="90"/>
      <c r="K255" s="31"/>
    </row>
    <row r="256" spans="2:11" s="13" customFormat="1" x14ac:dyDescent="0.2">
      <c r="B256" s="3"/>
      <c r="C256" s="3"/>
      <c r="D256" s="3"/>
      <c r="E256" s="3"/>
      <c r="F256" s="89"/>
      <c r="G256" s="3"/>
      <c r="H256" s="89"/>
      <c r="I256" s="90"/>
      <c r="K256" s="31"/>
    </row>
    <row r="257" spans="1:13" s="13" customFormat="1" x14ac:dyDescent="0.2">
      <c r="B257" s="3"/>
      <c r="C257" s="3"/>
      <c r="D257" s="3"/>
      <c r="E257" s="3"/>
      <c r="F257" s="89"/>
      <c r="G257" s="3"/>
      <c r="H257" s="89"/>
      <c r="I257" s="90"/>
      <c r="K257" s="31"/>
    </row>
    <row r="258" spans="1:13" s="13" customFormat="1" x14ac:dyDescent="0.2">
      <c r="B258" s="3"/>
      <c r="C258" s="3"/>
      <c r="D258" s="3"/>
      <c r="E258" s="3"/>
      <c r="F258" s="89"/>
      <c r="G258" s="3"/>
      <c r="H258" s="89"/>
      <c r="I258" s="90"/>
      <c r="K258" s="31"/>
    </row>
    <row r="259" spans="1:13" s="13" customFormat="1" x14ac:dyDescent="0.2">
      <c r="B259" s="3"/>
      <c r="C259" s="3"/>
      <c r="D259" s="3"/>
      <c r="E259" s="3"/>
      <c r="F259" s="89"/>
      <c r="G259" s="3"/>
      <c r="H259" s="89"/>
      <c r="I259" s="90"/>
      <c r="K259" s="31"/>
    </row>
    <row r="260" spans="1:13" s="13" customFormat="1" x14ac:dyDescent="0.2">
      <c r="B260" s="3"/>
      <c r="C260" s="3"/>
      <c r="D260" s="3"/>
      <c r="E260" s="3"/>
      <c r="F260" s="89"/>
      <c r="G260" s="3"/>
      <c r="H260" s="89"/>
      <c r="I260" s="90"/>
      <c r="K260" s="31"/>
    </row>
    <row r="261" spans="1:13" s="13" customFormat="1" x14ac:dyDescent="0.2">
      <c r="B261" s="3"/>
      <c r="C261" s="3"/>
      <c r="D261" s="3"/>
      <c r="E261" s="3"/>
      <c r="F261" s="89"/>
      <c r="G261" s="3"/>
      <c r="H261" s="89"/>
      <c r="I261" s="90"/>
      <c r="K261" s="31"/>
    </row>
    <row r="262" spans="1:13" s="13" customFormat="1" x14ac:dyDescent="0.2">
      <c r="B262" s="3"/>
      <c r="C262" s="3"/>
      <c r="D262" s="3"/>
      <c r="E262" s="3"/>
      <c r="F262" s="89"/>
      <c r="G262" s="3"/>
      <c r="H262" s="89"/>
      <c r="I262" s="90"/>
      <c r="K262" s="31"/>
    </row>
    <row r="263" spans="1:13" s="13" customFormat="1" x14ac:dyDescent="0.2">
      <c r="B263" s="3"/>
      <c r="C263" s="3"/>
      <c r="D263" s="3"/>
      <c r="E263" s="3"/>
      <c r="F263" s="89"/>
      <c r="G263" s="3"/>
      <c r="H263" s="89"/>
      <c r="I263" s="90"/>
      <c r="K263" s="31"/>
    </row>
    <row r="264" spans="1:13" s="13" customFormat="1" x14ac:dyDescent="0.2">
      <c r="B264" s="3"/>
      <c r="C264" s="3"/>
      <c r="D264" s="3"/>
      <c r="E264" s="3"/>
      <c r="F264" s="89"/>
      <c r="G264" s="3"/>
      <c r="H264" s="89"/>
      <c r="I264" s="90"/>
      <c r="K264" s="31"/>
    </row>
    <row r="265" spans="1:13" s="89" customFormat="1" x14ac:dyDescent="0.2">
      <c r="A265" s="13"/>
      <c r="B265" s="3"/>
      <c r="C265" s="3"/>
      <c r="D265" s="3"/>
      <c r="E265" s="3"/>
      <c r="G265" s="3"/>
      <c r="I265" s="90"/>
      <c r="J265" s="13"/>
      <c r="K265" s="31"/>
      <c r="L265" s="13"/>
      <c r="M265" s="13"/>
    </row>
    <row r="266" spans="1:13" s="89" customFormat="1" x14ac:dyDescent="0.2">
      <c r="A266" s="13"/>
      <c r="B266" s="3"/>
      <c r="C266" s="3"/>
      <c r="D266" s="3"/>
      <c r="E266" s="3"/>
      <c r="G266" s="91"/>
      <c r="I266" s="90"/>
      <c r="J266" s="13"/>
      <c r="K266" s="31"/>
      <c r="L266" s="13"/>
      <c r="M266" s="13"/>
    </row>
    <row r="267" spans="1:13" s="89" customFormat="1" x14ac:dyDescent="0.2">
      <c r="A267" s="13"/>
      <c r="B267" s="3"/>
      <c r="C267" s="3"/>
      <c r="D267" s="3"/>
      <c r="E267" s="3"/>
      <c r="G267" s="92"/>
      <c r="I267" s="90"/>
      <c r="J267" s="13"/>
      <c r="K267" s="31"/>
      <c r="L267" s="13"/>
      <c r="M267" s="13"/>
    </row>
    <row r="268" spans="1:13" s="89" customFormat="1" x14ac:dyDescent="0.2">
      <c r="A268" s="13"/>
      <c r="B268" s="3"/>
      <c r="C268" s="3"/>
      <c r="D268" s="3"/>
      <c r="E268" s="3"/>
      <c r="G268" s="93"/>
      <c r="I268" s="90"/>
      <c r="J268" s="13"/>
      <c r="K268" s="31"/>
      <c r="L268" s="13"/>
      <c r="M268" s="13"/>
    </row>
    <row r="269" spans="1:13" s="89" customFormat="1" x14ac:dyDescent="0.2">
      <c r="A269" s="13"/>
      <c r="B269" s="3"/>
      <c r="C269" s="3"/>
      <c r="D269" s="3"/>
      <c r="E269" s="3"/>
      <c r="G269" s="94"/>
      <c r="I269" s="90"/>
      <c r="J269" s="13"/>
      <c r="K269" s="31"/>
      <c r="L269" s="13"/>
      <c r="M269" s="13"/>
    </row>
    <row r="270" spans="1:13" s="89" customFormat="1" x14ac:dyDescent="0.2">
      <c r="A270" s="13"/>
      <c r="B270" s="3"/>
      <c r="C270" s="3"/>
      <c r="D270" s="3"/>
      <c r="E270" s="3"/>
      <c r="G270" s="91"/>
      <c r="I270" s="90"/>
      <c r="J270" s="13"/>
      <c r="K270" s="31"/>
      <c r="L270" s="13"/>
      <c r="M270" s="13"/>
    </row>
    <row r="271" spans="1:13" s="13" customFormat="1" x14ac:dyDescent="0.2">
      <c r="B271" s="3"/>
      <c r="C271" s="3"/>
      <c r="D271" s="3"/>
      <c r="E271" s="3"/>
      <c r="F271" s="89"/>
      <c r="G271" s="3"/>
      <c r="H271" s="89"/>
      <c r="I271" s="90"/>
      <c r="K271" s="31"/>
    </row>
    <row r="272" spans="1:13" s="13" customFormat="1" x14ac:dyDescent="0.2">
      <c r="B272" s="3"/>
      <c r="C272" s="3"/>
      <c r="D272" s="3"/>
      <c r="E272" s="3"/>
      <c r="F272" s="89"/>
      <c r="G272" s="3"/>
      <c r="H272" s="89"/>
      <c r="I272" s="90"/>
      <c r="K272" s="31"/>
    </row>
    <row r="273" spans="1:13" s="13" customFormat="1" x14ac:dyDescent="0.2">
      <c r="B273" s="3"/>
      <c r="C273" s="3"/>
      <c r="D273" s="3"/>
      <c r="E273" s="3"/>
      <c r="F273" s="89"/>
      <c r="G273" s="3"/>
      <c r="H273" s="89"/>
      <c r="I273" s="90"/>
      <c r="K273" s="31"/>
    </row>
    <row r="274" spans="1:13" s="89" customFormat="1" x14ac:dyDescent="0.2">
      <c r="A274" s="13"/>
      <c r="B274" s="3"/>
      <c r="C274" s="3"/>
      <c r="D274" s="3"/>
      <c r="E274" s="3"/>
      <c r="G274" s="95"/>
      <c r="I274" s="90"/>
      <c r="J274" s="13"/>
      <c r="K274" s="31"/>
      <c r="L274" s="13"/>
      <c r="M274" s="13"/>
    </row>
    <row r="275" spans="1:13" s="89" customFormat="1" x14ac:dyDescent="0.2">
      <c r="A275" s="13"/>
      <c r="B275" s="3"/>
      <c r="C275" s="3"/>
      <c r="D275" s="3"/>
      <c r="E275" s="3"/>
      <c r="G275" s="96"/>
      <c r="I275" s="90"/>
      <c r="J275" s="13"/>
      <c r="K275" s="31"/>
      <c r="L275" s="13"/>
      <c r="M275" s="13"/>
    </row>
    <row r="276" spans="1:13" s="89" customFormat="1" x14ac:dyDescent="0.2">
      <c r="A276" s="13"/>
      <c r="B276" s="3"/>
      <c r="C276" s="3"/>
      <c r="D276" s="3"/>
      <c r="E276" s="3"/>
      <c r="G276" s="93"/>
      <c r="I276" s="90"/>
      <c r="J276" s="13"/>
      <c r="K276" s="31"/>
      <c r="L276" s="13"/>
      <c r="M276" s="13"/>
    </row>
    <row r="277" spans="1:13" s="89" customFormat="1" x14ac:dyDescent="0.2">
      <c r="A277" s="13"/>
      <c r="B277" s="3"/>
      <c r="C277" s="3"/>
      <c r="D277" s="3"/>
      <c r="E277" s="3"/>
      <c r="G277" s="93"/>
      <c r="I277" s="90"/>
      <c r="J277" s="13"/>
      <c r="K277" s="31"/>
      <c r="L277" s="13"/>
      <c r="M277" s="13"/>
    </row>
    <row r="278" spans="1:13" s="89" customFormat="1" x14ac:dyDescent="0.2">
      <c r="A278" s="13"/>
      <c r="B278" s="3"/>
      <c r="C278" s="3"/>
      <c r="D278" s="3"/>
      <c r="E278" s="3"/>
      <c r="G278" s="91"/>
      <c r="I278" s="90"/>
      <c r="J278" s="13"/>
      <c r="K278" s="31"/>
      <c r="L278" s="13"/>
      <c r="M278" s="13"/>
    </row>
    <row r="279" spans="1:13" s="13" customFormat="1" x14ac:dyDescent="0.2">
      <c r="B279" s="3"/>
      <c r="C279" s="3"/>
      <c r="D279" s="3"/>
      <c r="E279" s="3"/>
      <c r="F279" s="89"/>
      <c r="G279" s="3"/>
      <c r="H279" s="89"/>
      <c r="I279" s="90"/>
      <c r="K279" s="31"/>
    </row>
    <row r="280" spans="1:13" s="13" customFormat="1" x14ac:dyDescent="0.2">
      <c r="B280" s="3"/>
      <c r="C280" s="3"/>
      <c r="D280" s="3"/>
      <c r="E280" s="3"/>
      <c r="F280" s="89"/>
      <c r="G280" s="3"/>
      <c r="H280" s="89"/>
      <c r="I280" s="90"/>
      <c r="K280" s="31"/>
    </row>
    <row r="281" spans="1:13" s="13" customFormat="1" x14ac:dyDescent="0.2">
      <c r="B281" s="3"/>
      <c r="C281" s="3"/>
      <c r="D281" s="3"/>
      <c r="E281" s="3"/>
      <c r="F281" s="89"/>
      <c r="G281" s="3"/>
      <c r="H281" s="89"/>
      <c r="I281" s="90"/>
      <c r="K281" s="31"/>
    </row>
    <row r="282" spans="1:13" s="89" customFormat="1" x14ac:dyDescent="0.2">
      <c r="A282" s="13"/>
      <c r="B282" s="3"/>
      <c r="C282" s="3"/>
      <c r="D282" s="3"/>
      <c r="E282" s="3"/>
      <c r="G282" s="95"/>
      <c r="I282" s="90"/>
      <c r="J282" s="13"/>
      <c r="K282" s="31"/>
      <c r="L282" s="13"/>
      <c r="M282" s="13"/>
    </row>
    <row r="283" spans="1:13" s="89" customFormat="1" x14ac:dyDescent="0.2">
      <c r="A283" s="13"/>
      <c r="B283" s="3"/>
      <c r="C283" s="3"/>
      <c r="D283" s="3"/>
      <c r="E283" s="3"/>
      <c r="G283" s="96"/>
      <c r="I283" s="90"/>
      <c r="J283" s="13"/>
      <c r="K283" s="31"/>
      <c r="L283" s="13"/>
      <c r="M283" s="13"/>
    </row>
    <row r="284" spans="1:13" s="89" customFormat="1" x14ac:dyDescent="0.2">
      <c r="A284" s="13"/>
      <c r="B284" s="3"/>
      <c r="C284" s="3"/>
      <c r="D284" s="3"/>
      <c r="E284" s="3"/>
      <c r="G284" s="93"/>
      <c r="I284" s="90"/>
      <c r="J284" s="13"/>
      <c r="K284" s="31"/>
      <c r="L284" s="13"/>
      <c r="M284" s="13"/>
    </row>
    <row r="285" spans="1:13" s="89" customFormat="1" x14ac:dyDescent="0.2">
      <c r="A285" s="13"/>
      <c r="B285" s="3"/>
      <c r="C285" s="3"/>
      <c r="D285" s="3"/>
      <c r="E285" s="3"/>
      <c r="G285" s="93"/>
      <c r="I285" s="90"/>
      <c r="J285" s="13"/>
      <c r="K285" s="31"/>
      <c r="L285" s="13"/>
      <c r="M285" s="13"/>
    </row>
    <row r="286" spans="1:13" s="89" customFormat="1" x14ac:dyDescent="0.2">
      <c r="A286" s="13"/>
      <c r="B286" s="3"/>
      <c r="C286" s="3"/>
      <c r="D286" s="3"/>
      <c r="E286" s="3"/>
      <c r="G286" s="95"/>
      <c r="I286" s="90"/>
      <c r="J286" s="13"/>
      <c r="K286" s="31"/>
      <c r="L286" s="13"/>
      <c r="M286" s="13"/>
    </row>
    <row r="287" spans="1:13" s="89" customFormat="1" x14ac:dyDescent="0.2">
      <c r="A287" s="13"/>
      <c r="B287" s="3"/>
      <c r="C287" s="3"/>
      <c r="D287" s="3"/>
      <c r="E287" s="3"/>
      <c r="G287" s="97"/>
      <c r="I287" s="90"/>
      <c r="J287" s="13"/>
      <c r="K287" s="31"/>
      <c r="L287" s="13"/>
      <c r="M287" s="13"/>
    </row>
    <row r="288" spans="1:13" s="89" customFormat="1" x14ac:dyDescent="0.2">
      <c r="A288" s="13"/>
      <c r="B288" s="3"/>
      <c r="C288" s="3"/>
      <c r="D288" s="3"/>
      <c r="E288" s="3"/>
      <c r="G288" s="95"/>
      <c r="I288" s="90"/>
      <c r="J288" s="13"/>
      <c r="K288" s="31"/>
      <c r="L288" s="13"/>
      <c r="M288" s="13"/>
    </row>
    <row r="289" spans="2:11" s="13" customFormat="1" x14ac:dyDescent="0.2">
      <c r="B289" s="3"/>
      <c r="C289" s="3"/>
      <c r="D289" s="3"/>
      <c r="E289" s="3"/>
      <c r="F289" s="89"/>
      <c r="G289" s="3"/>
      <c r="H289" s="89"/>
      <c r="I289" s="90"/>
      <c r="K289" s="31"/>
    </row>
    <row r="290" spans="2:11" s="13" customFormat="1" x14ac:dyDescent="0.2">
      <c r="B290" s="3"/>
      <c r="C290" s="3"/>
      <c r="D290" s="3"/>
      <c r="E290" s="3"/>
      <c r="F290" s="89"/>
      <c r="G290" s="3"/>
      <c r="H290" s="89"/>
      <c r="I290" s="90"/>
      <c r="K290" s="31"/>
    </row>
    <row r="291" spans="2:11" s="13" customFormat="1" x14ac:dyDescent="0.2">
      <c r="B291" s="3"/>
      <c r="C291" s="3"/>
      <c r="D291" s="3"/>
      <c r="E291" s="3"/>
      <c r="F291" s="89"/>
      <c r="G291" s="3"/>
      <c r="H291" s="89"/>
      <c r="I291" s="90"/>
      <c r="K291" s="31"/>
    </row>
    <row r="292" spans="2:11" s="13" customFormat="1" x14ac:dyDescent="0.2">
      <c r="B292" s="3"/>
      <c r="C292" s="3"/>
      <c r="D292" s="3"/>
      <c r="E292" s="3"/>
      <c r="F292" s="89"/>
      <c r="G292" s="3"/>
      <c r="H292" s="89"/>
      <c r="I292" s="90"/>
      <c r="K292" s="31"/>
    </row>
    <row r="293" spans="2:11" s="13" customFormat="1" x14ac:dyDescent="0.2">
      <c r="B293" s="3"/>
      <c r="C293" s="3"/>
      <c r="D293" s="3"/>
      <c r="E293" s="3"/>
      <c r="F293" s="89"/>
      <c r="G293" s="3"/>
      <c r="H293" s="89"/>
      <c r="I293" s="90"/>
      <c r="K293" s="31"/>
    </row>
    <row r="294" spans="2:11" s="13" customFormat="1" x14ac:dyDescent="0.2">
      <c r="B294" s="3"/>
      <c r="C294" s="3"/>
      <c r="D294" s="3"/>
      <c r="E294" s="3"/>
      <c r="F294" s="89"/>
      <c r="G294" s="3"/>
      <c r="H294" s="89"/>
      <c r="I294" s="90"/>
      <c r="K294" s="31"/>
    </row>
    <row r="295" spans="2:11" s="13" customFormat="1" x14ac:dyDescent="0.2">
      <c r="B295" s="3"/>
      <c r="C295" s="3"/>
      <c r="D295" s="3"/>
      <c r="E295" s="3"/>
      <c r="F295" s="89"/>
      <c r="G295" s="3"/>
      <c r="H295" s="89"/>
      <c r="I295" s="90"/>
      <c r="K295" s="31"/>
    </row>
    <row r="296" spans="2:11" s="13" customFormat="1" x14ac:dyDescent="0.2">
      <c r="B296" s="3"/>
      <c r="C296" s="3"/>
      <c r="D296" s="3"/>
      <c r="E296" s="3"/>
      <c r="F296" s="89"/>
      <c r="G296" s="3"/>
      <c r="H296" s="89"/>
      <c r="I296" s="90"/>
      <c r="K296" s="31"/>
    </row>
    <row r="297" spans="2:11" s="13" customFormat="1" x14ac:dyDescent="0.2">
      <c r="B297" s="3"/>
      <c r="C297" s="3"/>
      <c r="D297" s="3"/>
      <c r="E297" s="3"/>
      <c r="F297" s="89"/>
      <c r="G297" s="3"/>
      <c r="H297" s="89"/>
      <c r="I297" s="90"/>
      <c r="K297" s="31"/>
    </row>
    <row r="298" spans="2:11" s="13" customFormat="1" x14ac:dyDescent="0.2">
      <c r="B298" s="3"/>
      <c r="C298" s="3"/>
      <c r="D298" s="3"/>
      <c r="E298" s="3"/>
      <c r="F298" s="89"/>
      <c r="G298" s="3"/>
      <c r="H298" s="89"/>
      <c r="I298" s="90"/>
      <c r="K298" s="31"/>
    </row>
    <row r="299" spans="2:11" s="13" customFormat="1" x14ac:dyDescent="0.2">
      <c r="B299" s="3"/>
      <c r="C299" s="3"/>
      <c r="D299" s="3"/>
      <c r="E299" s="3"/>
      <c r="F299" s="89"/>
      <c r="G299" s="3"/>
      <c r="H299" s="89"/>
      <c r="I299" s="90"/>
      <c r="K299" s="31"/>
    </row>
    <row r="300" spans="2:11" s="13" customFormat="1" x14ac:dyDescent="0.2">
      <c r="B300" s="3"/>
      <c r="C300" s="3"/>
      <c r="D300" s="3"/>
      <c r="E300" s="3"/>
      <c r="F300" s="89"/>
      <c r="G300" s="3"/>
      <c r="H300" s="89"/>
      <c r="I300" s="90"/>
      <c r="K300" s="31"/>
    </row>
    <row r="301" spans="2:11" s="13" customFormat="1" x14ac:dyDescent="0.2">
      <c r="B301" s="3"/>
      <c r="C301" s="3"/>
      <c r="D301" s="3"/>
      <c r="E301" s="3"/>
      <c r="F301" s="89"/>
      <c r="G301" s="3"/>
      <c r="H301" s="89"/>
      <c r="I301" s="90"/>
      <c r="K301" s="31"/>
    </row>
    <row r="302" spans="2:11" s="13" customFormat="1" x14ac:dyDescent="0.2">
      <c r="B302" s="3"/>
      <c r="C302" s="3"/>
      <c r="D302" s="3"/>
      <c r="E302" s="3"/>
      <c r="F302" s="89"/>
      <c r="G302" s="3"/>
      <c r="H302" s="89"/>
      <c r="I302" s="90"/>
      <c r="K302" s="31"/>
    </row>
    <row r="303" spans="2:11" s="13" customFormat="1" x14ac:dyDescent="0.2">
      <c r="B303" s="3"/>
      <c r="C303" s="3"/>
      <c r="D303" s="3"/>
      <c r="E303" s="3"/>
      <c r="F303" s="89"/>
      <c r="G303" s="3"/>
      <c r="H303" s="89"/>
      <c r="I303" s="90"/>
      <c r="K303" s="31"/>
    </row>
    <row r="304" spans="2:11" s="13" customFormat="1" x14ac:dyDescent="0.2">
      <c r="B304" s="3"/>
      <c r="C304" s="3"/>
      <c r="D304" s="3"/>
      <c r="E304" s="3"/>
      <c r="F304" s="89"/>
      <c r="G304" s="3"/>
      <c r="H304" s="89"/>
      <c r="I304" s="90"/>
      <c r="K304" s="31"/>
    </row>
    <row r="305" spans="2:11" s="13" customFormat="1" x14ac:dyDescent="0.2">
      <c r="B305" s="3"/>
      <c r="C305" s="3"/>
      <c r="D305" s="3"/>
      <c r="E305" s="3"/>
      <c r="F305" s="89"/>
      <c r="G305" s="3"/>
      <c r="H305" s="89"/>
      <c r="I305" s="90"/>
      <c r="K305" s="31"/>
    </row>
    <row r="306" spans="2:11" s="13" customFormat="1" x14ac:dyDescent="0.2">
      <c r="B306" s="3"/>
      <c r="C306" s="3"/>
      <c r="D306" s="3"/>
      <c r="E306" s="3"/>
      <c r="F306" s="89"/>
      <c r="G306" s="3"/>
      <c r="H306" s="89"/>
      <c r="I306" s="90"/>
      <c r="K306" s="31"/>
    </row>
    <row r="307" spans="2:11" s="13" customFormat="1" x14ac:dyDescent="0.2">
      <c r="B307" s="3"/>
      <c r="C307" s="3"/>
      <c r="D307" s="3"/>
      <c r="E307" s="3"/>
      <c r="F307" s="89"/>
      <c r="G307" s="3"/>
      <c r="H307" s="89"/>
      <c r="I307" s="90"/>
      <c r="K307" s="31"/>
    </row>
    <row r="308" spans="2:11" s="13" customFormat="1" x14ac:dyDescent="0.2">
      <c r="B308" s="3"/>
      <c r="C308" s="3"/>
      <c r="D308" s="3"/>
      <c r="E308" s="3"/>
      <c r="F308" s="89"/>
      <c r="G308" s="3"/>
      <c r="H308" s="89"/>
      <c r="I308" s="90"/>
      <c r="K308" s="31"/>
    </row>
    <row r="309" spans="2:11" s="13" customFormat="1" x14ac:dyDescent="0.2">
      <c r="B309" s="3"/>
      <c r="C309" s="3"/>
      <c r="D309" s="3"/>
      <c r="E309" s="3"/>
      <c r="F309" s="89"/>
      <c r="G309" s="3"/>
      <c r="H309" s="89"/>
      <c r="I309" s="90"/>
      <c r="K309" s="31"/>
    </row>
    <row r="310" spans="2:11" s="13" customFormat="1" x14ac:dyDescent="0.2">
      <c r="B310" s="3"/>
      <c r="C310" s="3"/>
      <c r="D310" s="3"/>
      <c r="E310" s="3"/>
      <c r="F310" s="89"/>
      <c r="G310" s="3"/>
      <c r="H310" s="89"/>
      <c r="I310" s="90"/>
      <c r="K310" s="31"/>
    </row>
    <row r="311" spans="2:11" s="13" customFormat="1" x14ac:dyDescent="0.2">
      <c r="B311" s="3"/>
      <c r="C311" s="3"/>
      <c r="D311" s="3"/>
      <c r="E311" s="3"/>
      <c r="F311" s="89"/>
      <c r="G311" s="3"/>
      <c r="H311" s="89"/>
      <c r="I311" s="90"/>
      <c r="K311" s="31"/>
    </row>
    <row r="312" spans="2:11" s="13" customFormat="1" x14ac:dyDescent="0.2">
      <c r="B312" s="3"/>
      <c r="C312" s="3"/>
      <c r="D312" s="3"/>
      <c r="E312" s="3"/>
      <c r="F312" s="89"/>
      <c r="G312" s="3"/>
      <c r="H312" s="89"/>
      <c r="I312" s="90"/>
      <c r="K312" s="31"/>
    </row>
    <row r="313" spans="2:11" s="13" customFormat="1" x14ac:dyDescent="0.2">
      <c r="B313" s="3"/>
      <c r="C313" s="3"/>
      <c r="D313" s="3"/>
      <c r="E313" s="3"/>
      <c r="F313" s="89"/>
      <c r="G313" s="3"/>
      <c r="H313" s="89"/>
      <c r="I313" s="90"/>
      <c r="K313" s="31"/>
    </row>
  </sheetData>
  <mergeCells count="54">
    <mergeCell ref="G55:H55"/>
    <mergeCell ref="G56:H56"/>
    <mergeCell ref="G57:H57"/>
    <mergeCell ref="G48:H48"/>
    <mergeCell ref="E49:F51"/>
    <mergeCell ref="G49:H49"/>
    <mergeCell ref="G50:H50"/>
    <mergeCell ref="G51:H51"/>
    <mergeCell ref="E52:F54"/>
    <mergeCell ref="G52:H52"/>
    <mergeCell ref="G53:H53"/>
    <mergeCell ref="G54:H54"/>
    <mergeCell ref="B55:B57"/>
    <mergeCell ref="C55:C57"/>
    <mergeCell ref="D55:D57"/>
    <mergeCell ref="E48:F48"/>
    <mergeCell ref="E55:F57"/>
    <mergeCell ref="B49:B51"/>
    <mergeCell ref="C49:C51"/>
    <mergeCell ref="D49:D51"/>
    <mergeCell ref="B52:B54"/>
    <mergeCell ref="C52:C54"/>
    <mergeCell ref="D52:D54"/>
    <mergeCell ref="B35:B40"/>
    <mergeCell ref="C35:C40"/>
    <mergeCell ref="D35:D40"/>
    <mergeCell ref="E35:E40"/>
    <mergeCell ref="B41:B46"/>
    <mergeCell ref="C41:C46"/>
    <mergeCell ref="D41:D46"/>
    <mergeCell ref="E41:E46"/>
    <mergeCell ref="B23:B28"/>
    <mergeCell ref="C23:C28"/>
    <mergeCell ref="D23:D28"/>
    <mergeCell ref="E23:E28"/>
    <mergeCell ref="B29:B34"/>
    <mergeCell ref="C29:C34"/>
    <mergeCell ref="D29:D34"/>
    <mergeCell ref="E29:E34"/>
    <mergeCell ref="B17:B22"/>
    <mergeCell ref="C17:C22"/>
    <mergeCell ref="D17:D22"/>
    <mergeCell ref="E17:E22"/>
    <mergeCell ref="B2:J2"/>
    <mergeCell ref="B4:J4"/>
    <mergeCell ref="B6:H8"/>
    <mergeCell ref="I6:J6"/>
    <mergeCell ref="I7:J8"/>
    <mergeCell ref="C10:J10"/>
    <mergeCell ref="C11:J11"/>
    <mergeCell ref="B14:B16"/>
    <mergeCell ref="C14:C16"/>
    <mergeCell ref="D14:D16"/>
    <mergeCell ref="E14:E16"/>
  </mergeCells>
  <conditionalFormatting sqref="I1">
    <cfRule type="cellIs" dxfId="299" priority="19" operator="equal">
      <formula>1</formula>
    </cfRule>
  </conditionalFormatting>
  <conditionalFormatting sqref="I7">
    <cfRule type="cellIs" dxfId="298" priority="17" operator="equal">
      <formula>1</formula>
    </cfRule>
  </conditionalFormatting>
  <conditionalFormatting sqref="I58:I1048576">
    <cfRule type="cellIs" dxfId="293" priority="18" operator="equal">
      <formula>1</formula>
    </cfRule>
  </conditionalFormatting>
  <conditionalFormatting sqref="I49:I57">
    <cfRule type="expression" dxfId="139" priority="5" stopIfTrue="1">
      <formula>TRIM(UPPER(I49))="N/A"</formula>
    </cfRule>
    <cfRule type="expression" dxfId="138" priority="6">
      <formula>I49&gt;=0.9</formula>
    </cfRule>
    <cfRule type="expression" dxfId="137" priority="7">
      <formula>AND(I49&gt;=0.8, I49&lt;0.9)</formula>
    </cfRule>
    <cfRule type="expression" dxfId="136" priority="8">
      <formula>I49&lt;0.8</formula>
    </cfRule>
  </conditionalFormatting>
  <conditionalFormatting sqref="I14:I46">
    <cfRule type="expression" dxfId="135" priority="1" stopIfTrue="1">
      <formula>TRIM(UPPER(I14))="N/A"</formula>
    </cfRule>
    <cfRule type="expression" dxfId="134" priority="2">
      <formula>I14&gt;=0.9</formula>
    </cfRule>
    <cfRule type="expression" dxfId="133" priority="3">
      <formula>AND(I14&gt;=0.8, I14&lt;0.9)</formula>
    </cfRule>
    <cfRule type="expression" dxfId="132" priority="4">
      <formula>I14&lt;0.8</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E592465-37A0-BC41-BDB7-25D08DBB558A}">
          <x14:formula1>
            <xm:f>'Listas desplegables'!$C$4:$C$15</xm:f>
          </x14:formula1>
          <xm:sqref>I49:I57 I14:I46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1AD13-2F62-43C5-A1CC-71D0604D9250}">
  <sheetPr>
    <tabColor rgb="FF0098AA"/>
  </sheetPr>
  <dimension ref="A1:AF288"/>
  <sheetViews>
    <sheetView zoomScale="80" zoomScaleNormal="80" workbookViewId="0">
      <selection activeCell="H19" sqref="H19"/>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3" customWidth="1"/>
    <col min="14" max="32" width="10.6640625" style="13"/>
    <col min="33" max="16384" width="10.6640625" style="1"/>
  </cols>
  <sheetData>
    <row r="1" spans="2:32" ht="5.25" customHeight="1" x14ac:dyDescent="0.2"/>
    <row r="2" spans="2:32" ht="60" customHeight="1" x14ac:dyDescent="0.2">
      <c r="B2" s="155" t="s">
        <v>28</v>
      </c>
      <c r="C2" s="155"/>
      <c r="D2" s="155"/>
      <c r="E2" s="155"/>
      <c r="F2" s="155"/>
      <c r="G2" s="155"/>
      <c r="H2" s="155"/>
      <c r="I2" s="155"/>
      <c r="J2" s="156"/>
      <c r="K2" s="31"/>
      <c r="L2" s="13"/>
    </row>
    <row r="3" spans="2:32" s="13" customFormat="1" ht="4.5" customHeight="1" x14ac:dyDescent="0.2">
      <c r="B3" s="14"/>
      <c r="C3" s="14"/>
      <c r="D3" s="14"/>
      <c r="E3" s="14"/>
      <c r="F3" s="14"/>
      <c r="G3" s="45"/>
      <c r="H3" s="14"/>
      <c r="I3" s="14"/>
      <c r="K3" s="31"/>
    </row>
    <row r="4" spans="2:32" s="2" customFormat="1" ht="45" customHeight="1" x14ac:dyDescent="0.2">
      <c r="B4" s="157" t="s">
        <v>1269</v>
      </c>
      <c r="C4" s="158"/>
      <c r="D4" s="158"/>
      <c r="E4" s="158"/>
      <c r="F4" s="158"/>
      <c r="G4" s="158"/>
      <c r="H4" s="158"/>
      <c r="I4" s="158"/>
      <c r="J4" s="159"/>
      <c r="K4" s="99"/>
      <c r="L4" s="3"/>
      <c r="M4" s="3"/>
      <c r="N4" s="3"/>
      <c r="O4" s="3"/>
      <c r="P4" s="3"/>
      <c r="Q4" s="3"/>
      <c r="R4" s="3"/>
      <c r="S4" s="3"/>
      <c r="T4" s="3"/>
      <c r="U4" s="3"/>
      <c r="V4" s="3"/>
      <c r="W4" s="3"/>
      <c r="X4" s="3"/>
      <c r="Y4" s="3"/>
      <c r="Z4" s="3"/>
      <c r="AA4" s="3"/>
      <c r="AB4" s="3"/>
      <c r="AC4" s="3"/>
      <c r="AD4" s="3"/>
      <c r="AE4" s="3"/>
      <c r="AF4" s="3"/>
    </row>
    <row r="5" spans="2:32" ht="4.5" customHeight="1" x14ac:dyDescent="0.2">
      <c r="B5" s="7"/>
      <c r="C5" s="7"/>
      <c r="D5" s="7"/>
      <c r="E5" s="7"/>
      <c r="F5" s="8"/>
      <c r="G5" s="46"/>
      <c r="H5" s="8"/>
      <c r="I5" s="8"/>
      <c r="J5" s="8"/>
      <c r="K5" s="31"/>
      <c r="L5" s="13"/>
    </row>
    <row r="6" spans="2:32" ht="23" customHeight="1" x14ac:dyDescent="0.2">
      <c r="B6" s="160" t="s">
        <v>12</v>
      </c>
      <c r="C6" s="160"/>
      <c r="D6" s="160"/>
      <c r="E6" s="160"/>
      <c r="F6" s="160"/>
      <c r="G6" s="160"/>
      <c r="H6" s="160"/>
      <c r="I6" s="162" t="s">
        <v>11</v>
      </c>
      <c r="J6" s="108"/>
      <c r="K6" s="100"/>
      <c r="L6" s="31"/>
    </row>
    <row r="7" spans="2:32" ht="15.75" customHeight="1" x14ac:dyDescent="0.2">
      <c r="B7" s="160"/>
      <c r="C7" s="160"/>
      <c r="D7" s="160"/>
      <c r="E7" s="160"/>
      <c r="F7" s="160"/>
      <c r="G7" s="160"/>
      <c r="H7" s="160"/>
      <c r="I7" s="163" t="e">
        <f>AVERAGEIF(I14:I31,"&lt;&gt;N/A")</f>
        <v>#DIV/0!</v>
      </c>
      <c r="J7" s="164"/>
      <c r="K7" s="100"/>
      <c r="L7" s="31"/>
    </row>
    <row r="8" spans="2:32" ht="15.75" customHeight="1" x14ac:dyDescent="0.2">
      <c r="B8" s="161"/>
      <c r="C8" s="161"/>
      <c r="D8" s="161"/>
      <c r="E8" s="161"/>
      <c r="F8" s="161"/>
      <c r="G8" s="161"/>
      <c r="H8" s="161"/>
      <c r="I8" s="163"/>
      <c r="J8" s="164"/>
      <c r="K8" s="100"/>
      <c r="L8" s="31"/>
    </row>
    <row r="9" spans="2:32" ht="5.25" customHeight="1" x14ac:dyDescent="0.2">
      <c r="F9" s="5"/>
      <c r="G9" s="47"/>
      <c r="K9" s="31"/>
      <c r="L9" s="13"/>
    </row>
    <row r="10" spans="2:32" ht="165" customHeight="1" x14ac:dyDescent="0.2">
      <c r="B10" s="40" t="s">
        <v>13</v>
      </c>
      <c r="C10" s="147" t="s">
        <v>2329</v>
      </c>
      <c r="D10" s="148"/>
      <c r="E10" s="148"/>
      <c r="F10" s="148"/>
      <c r="G10" s="148"/>
      <c r="H10" s="148"/>
      <c r="I10" s="148"/>
      <c r="J10" s="149"/>
      <c r="K10" s="31"/>
      <c r="L10" s="13"/>
    </row>
    <row r="11" spans="2:32" ht="157" customHeight="1" x14ac:dyDescent="0.2">
      <c r="B11" s="39" t="s">
        <v>14</v>
      </c>
      <c r="C11" s="150" t="s">
        <v>1270</v>
      </c>
      <c r="D11" s="150"/>
      <c r="E11" s="150"/>
      <c r="F11" s="150"/>
      <c r="G11" s="150"/>
      <c r="H11" s="150"/>
      <c r="I11" s="150"/>
      <c r="J11" s="150"/>
      <c r="K11" s="31"/>
      <c r="L11" s="13"/>
    </row>
    <row r="12" spans="2:32" ht="5.25" customHeight="1" x14ac:dyDescent="0.2"/>
    <row r="13" spans="2:32" s="73" customFormat="1" ht="32" x14ac:dyDescent="0.2">
      <c r="B13" s="69" t="s">
        <v>34</v>
      </c>
      <c r="C13" s="69" t="s">
        <v>15</v>
      </c>
      <c r="D13" s="69" t="s">
        <v>108</v>
      </c>
      <c r="E13" s="69" t="s">
        <v>109</v>
      </c>
      <c r="F13" s="70" t="s">
        <v>32</v>
      </c>
      <c r="G13" s="69" t="s">
        <v>40</v>
      </c>
      <c r="H13" s="70" t="s">
        <v>16</v>
      </c>
      <c r="I13" s="71" t="s">
        <v>8</v>
      </c>
      <c r="J13" s="69" t="s">
        <v>17</v>
      </c>
      <c r="K13" s="72" t="s">
        <v>44</v>
      </c>
      <c r="L13" s="69" t="s">
        <v>45</v>
      </c>
      <c r="M13" s="98"/>
      <c r="N13" s="98"/>
      <c r="O13" s="98"/>
      <c r="P13" s="98"/>
      <c r="Q13" s="98"/>
      <c r="R13" s="98"/>
      <c r="S13" s="98"/>
      <c r="T13" s="98"/>
      <c r="U13" s="98"/>
      <c r="V13" s="98"/>
      <c r="W13" s="98"/>
      <c r="X13" s="98"/>
      <c r="Y13" s="98"/>
      <c r="Z13" s="98"/>
      <c r="AA13" s="98"/>
      <c r="AB13" s="98"/>
      <c r="AC13" s="98"/>
      <c r="AD13" s="98"/>
      <c r="AE13" s="98"/>
      <c r="AF13" s="98"/>
    </row>
    <row r="14" spans="2:32" ht="60.5" customHeight="1" x14ac:dyDescent="0.2">
      <c r="B14" s="151" t="s">
        <v>89</v>
      </c>
      <c r="C14" s="151" t="s">
        <v>19</v>
      </c>
      <c r="D14" s="153" t="s">
        <v>1271</v>
      </c>
      <c r="E14" s="153" t="s">
        <v>1272</v>
      </c>
      <c r="F14" s="22" t="s">
        <v>1273</v>
      </c>
      <c r="G14" s="12" t="s">
        <v>43</v>
      </c>
      <c r="H14" s="34" t="s">
        <v>1274</v>
      </c>
      <c r="I14" s="28" t="s">
        <v>10</v>
      </c>
      <c r="J14" s="11"/>
      <c r="K14" s="33"/>
      <c r="L14" s="29"/>
    </row>
    <row r="15" spans="2:32" ht="60.5" customHeight="1" x14ac:dyDescent="0.2">
      <c r="B15" s="152"/>
      <c r="C15" s="152"/>
      <c r="D15" s="154"/>
      <c r="E15" s="154"/>
      <c r="F15" s="22" t="s">
        <v>1275</v>
      </c>
      <c r="G15" s="12" t="s">
        <v>36</v>
      </c>
      <c r="H15" s="34" t="s">
        <v>1276</v>
      </c>
      <c r="I15" s="28" t="s">
        <v>10</v>
      </c>
      <c r="J15" s="11"/>
      <c r="K15" s="33"/>
      <c r="L15" s="29"/>
    </row>
    <row r="16" spans="2:32" ht="60.5" customHeight="1" x14ac:dyDescent="0.2">
      <c r="B16" s="152"/>
      <c r="C16" s="152"/>
      <c r="D16" s="154"/>
      <c r="E16" s="154"/>
      <c r="F16" s="22" t="s">
        <v>1277</v>
      </c>
      <c r="G16" s="12" t="s">
        <v>35</v>
      </c>
      <c r="H16" s="34" t="s">
        <v>1278</v>
      </c>
      <c r="I16" s="28" t="s">
        <v>10</v>
      </c>
      <c r="J16" s="11"/>
      <c r="K16" s="33"/>
      <c r="L16" s="29"/>
    </row>
    <row r="17" spans="2:12" ht="60.5" customHeight="1" x14ac:dyDescent="0.2">
      <c r="B17" s="152"/>
      <c r="C17" s="152"/>
      <c r="D17" s="154"/>
      <c r="E17" s="154"/>
      <c r="F17" s="22" t="s">
        <v>1279</v>
      </c>
      <c r="G17" s="12" t="s">
        <v>39</v>
      </c>
      <c r="H17" s="34" t="s">
        <v>1280</v>
      </c>
      <c r="I17" s="28" t="s">
        <v>10</v>
      </c>
      <c r="J17" s="11"/>
      <c r="K17" s="33"/>
      <c r="L17" s="29"/>
    </row>
    <row r="18" spans="2:12" ht="60.5" customHeight="1" x14ac:dyDescent="0.2">
      <c r="B18" s="152"/>
      <c r="C18" s="152"/>
      <c r="D18" s="154"/>
      <c r="E18" s="154"/>
      <c r="F18" s="22" t="s">
        <v>1281</v>
      </c>
      <c r="G18" s="12" t="s">
        <v>36</v>
      </c>
      <c r="H18" s="34" t="s">
        <v>1282</v>
      </c>
      <c r="I18" s="28" t="s">
        <v>10</v>
      </c>
      <c r="J18" s="11"/>
      <c r="K18" s="33"/>
      <c r="L18" s="29"/>
    </row>
    <row r="19" spans="2:12" ht="60.5" customHeight="1" x14ac:dyDescent="0.2">
      <c r="B19" s="173"/>
      <c r="C19" s="173"/>
      <c r="D19" s="184"/>
      <c r="E19" s="184"/>
      <c r="F19" s="22" t="s">
        <v>1283</v>
      </c>
      <c r="G19" s="12" t="s">
        <v>35</v>
      </c>
      <c r="H19" s="34" t="s">
        <v>1284</v>
      </c>
      <c r="I19" s="28" t="s">
        <v>10</v>
      </c>
      <c r="J19" s="11"/>
      <c r="K19" s="33"/>
      <c r="L19" s="29"/>
    </row>
    <row r="20" spans="2:12" ht="88.75" customHeight="1" x14ac:dyDescent="0.2">
      <c r="B20" s="143" t="s">
        <v>1285</v>
      </c>
      <c r="C20" s="143" t="s">
        <v>20</v>
      </c>
      <c r="D20" s="145" t="s">
        <v>1286</v>
      </c>
      <c r="E20" s="145" t="s">
        <v>1287</v>
      </c>
      <c r="F20" s="23" t="s">
        <v>1288</v>
      </c>
      <c r="G20" s="41" t="s">
        <v>36</v>
      </c>
      <c r="H20" s="35" t="s">
        <v>1289</v>
      </c>
      <c r="I20" s="28" t="s">
        <v>10</v>
      </c>
      <c r="J20" s="36"/>
      <c r="K20" s="37"/>
      <c r="L20" s="38"/>
    </row>
    <row r="21" spans="2:12" ht="88.75" customHeight="1" x14ac:dyDescent="0.2">
      <c r="B21" s="144"/>
      <c r="C21" s="144"/>
      <c r="D21" s="146"/>
      <c r="E21" s="146"/>
      <c r="F21" s="23" t="s">
        <v>1290</v>
      </c>
      <c r="G21" s="41" t="s">
        <v>1291</v>
      </c>
      <c r="H21" s="35" t="s">
        <v>1292</v>
      </c>
      <c r="I21" s="28" t="s">
        <v>10</v>
      </c>
      <c r="J21" s="36"/>
      <c r="K21" s="37"/>
      <c r="L21" s="38"/>
    </row>
    <row r="22" spans="2:12" ht="88.75" customHeight="1" x14ac:dyDescent="0.2">
      <c r="B22" s="144"/>
      <c r="C22" s="144"/>
      <c r="D22" s="146"/>
      <c r="E22" s="146"/>
      <c r="F22" s="23" t="s">
        <v>1293</v>
      </c>
      <c r="G22" s="41" t="s">
        <v>1291</v>
      </c>
      <c r="H22" s="35" t="s">
        <v>1294</v>
      </c>
      <c r="I22" s="28" t="s">
        <v>10</v>
      </c>
      <c r="J22" s="36"/>
      <c r="K22" s="37"/>
      <c r="L22" s="38"/>
    </row>
    <row r="23" spans="2:12" ht="88.75" customHeight="1" x14ac:dyDescent="0.2">
      <c r="B23" s="144"/>
      <c r="C23" s="144"/>
      <c r="D23" s="146"/>
      <c r="E23" s="146"/>
      <c r="F23" s="23" t="s">
        <v>1295</v>
      </c>
      <c r="G23" s="41" t="s">
        <v>35</v>
      </c>
      <c r="H23" s="35" t="s">
        <v>1296</v>
      </c>
      <c r="I23" s="28" t="s">
        <v>10</v>
      </c>
      <c r="J23" s="36"/>
      <c r="K23" s="37"/>
      <c r="L23" s="38"/>
    </row>
    <row r="24" spans="2:12" ht="88.75" customHeight="1" x14ac:dyDescent="0.2">
      <c r="B24" s="144"/>
      <c r="C24" s="144"/>
      <c r="D24" s="146"/>
      <c r="E24" s="146"/>
      <c r="F24" s="23" t="s">
        <v>1297</v>
      </c>
      <c r="G24" s="41" t="s">
        <v>1298</v>
      </c>
      <c r="H24" s="35" t="s">
        <v>1299</v>
      </c>
      <c r="I24" s="28" t="s">
        <v>10</v>
      </c>
      <c r="J24" s="36"/>
      <c r="K24" s="37"/>
      <c r="L24" s="38"/>
    </row>
    <row r="25" spans="2:12" ht="88.75" customHeight="1" x14ac:dyDescent="0.2">
      <c r="B25" s="144"/>
      <c r="C25" s="144"/>
      <c r="D25" s="146"/>
      <c r="E25" s="146"/>
      <c r="F25" s="23" t="s">
        <v>1300</v>
      </c>
      <c r="G25" s="41" t="s">
        <v>36</v>
      </c>
      <c r="H25" s="35" t="s">
        <v>1301</v>
      </c>
      <c r="I25" s="28" t="s">
        <v>10</v>
      </c>
      <c r="J25" s="36"/>
      <c r="K25" s="37"/>
      <c r="L25" s="38"/>
    </row>
    <row r="26" spans="2:12" ht="67.25" customHeight="1" x14ac:dyDescent="0.2">
      <c r="B26" s="151" t="s">
        <v>1285</v>
      </c>
      <c r="C26" s="151" t="s">
        <v>23</v>
      </c>
      <c r="D26" s="167" t="s">
        <v>1302</v>
      </c>
      <c r="E26" s="167" t="s">
        <v>1303</v>
      </c>
      <c r="F26" s="22" t="s">
        <v>1304</v>
      </c>
      <c r="G26" s="12" t="s">
        <v>36</v>
      </c>
      <c r="H26" s="34" t="s">
        <v>1305</v>
      </c>
      <c r="I26" s="28" t="s">
        <v>10</v>
      </c>
      <c r="J26" s="11"/>
      <c r="K26" s="33"/>
      <c r="L26" s="29"/>
    </row>
    <row r="27" spans="2:12" ht="67.25" customHeight="1" x14ac:dyDescent="0.2">
      <c r="B27" s="152"/>
      <c r="C27" s="152"/>
      <c r="D27" s="168"/>
      <c r="E27" s="168"/>
      <c r="F27" s="22" t="s">
        <v>1306</v>
      </c>
      <c r="G27" s="12" t="s">
        <v>1291</v>
      </c>
      <c r="H27" s="34" t="s">
        <v>1307</v>
      </c>
      <c r="I27" s="28" t="s">
        <v>10</v>
      </c>
      <c r="J27" s="11"/>
      <c r="K27" s="33"/>
      <c r="L27" s="29"/>
    </row>
    <row r="28" spans="2:12" ht="67.25" customHeight="1" x14ac:dyDescent="0.2">
      <c r="B28" s="152"/>
      <c r="C28" s="152"/>
      <c r="D28" s="168"/>
      <c r="E28" s="168"/>
      <c r="F28" s="22" t="s">
        <v>1308</v>
      </c>
      <c r="G28" s="12" t="s">
        <v>43</v>
      </c>
      <c r="H28" s="34" t="s">
        <v>1309</v>
      </c>
      <c r="I28" s="28" t="s">
        <v>10</v>
      </c>
      <c r="J28" s="11"/>
      <c r="K28" s="33"/>
      <c r="L28" s="29"/>
    </row>
    <row r="29" spans="2:12" ht="67.25" customHeight="1" x14ac:dyDescent="0.2">
      <c r="B29" s="152"/>
      <c r="C29" s="152"/>
      <c r="D29" s="168"/>
      <c r="E29" s="168"/>
      <c r="F29" s="22" t="s">
        <v>1310</v>
      </c>
      <c r="G29" s="12" t="s">
        <v>1291</v>
      </c>
      <c r="H29" s="34" t="s">
        <v>1311</v>
      </c>
      <c r="I29" s="28" t="s">
        <v>10</v>
      </c>
      <c r="J29" s="11"/>
      <c r="K29" s="33"/>
      <c r="L29" s="29"/>
    </row>
    <row r="30" spans="2:12" ht="67.25" customHeight="1" x14ac:dyDescent="0.2">
      <c r="B30" s="152"/>
      <c r="C30" s="152"/>
      <c r="D30" s="168"/>
      <c r="E30" s="168"/>
      <c r="F30" s="22" t="s">
        <v>1312</v>
      </c>
      <c r="G30" s="12" t="s">
        <v>39</v>
      </c>
      <c r="H30" s="34" t="s">
        <v>1313</v>
      </c>
      <c r="I30" s="28" t="s">
        <v>10</v>
      </c>
      <c r="J30" s="11"/>
      <c r="K30" s="33"/>
      <c r="L30" s="29"/>
    </row>
    <row r="31" spans="2:12" ht="67.25" customHeight="1" x14ac:dyDescent="0.2">
      <c r="B31" s="152"/>
      <c r="C31" s="152"/>
      <c r="D31" s="168"/>
      <c r="E31" s="168"/>
      <c r="F31" s="22" t="s">
        <v>1314</v>
      </c>
      <c r="G31" s="12" t="s">
        <v>35</v>
      </c>
      <c r="H31" s="34" t="s">
        <v>1315</v>
      </c>
      <c r="I31" s="28" t="s">
        <v>10</v>
      </c>
      <c r="J31" s="11"/>
      <c r="K31" s="33"/>
      <c r="L31" s="29"/>
    </row>
    <row r="32" spans="2:12" ht="63" customHeight="1" x14ac:dyDescent="0.2">
      <c r="B32" s="151" t="s">
        <v>1285</v>
      </c>
      <c r="C32" s="151" t="s">
        <v>24</v>
      </c>
      <c r="D32" s="167" t="s">
        <v>635</v>
      </c>
      <c r="E32" s="167" t="s">
        <v>1316</v>
      </c>
      <c r="F32" s="22" t="s">
        <v>1317</v>
      </c>
      <c r="G32" s="12" t="s">
        <v>36</v>
      </c>
      <c r="H32" s="34" t="s">
        <v>1318</v>
      </c>
      <c r="I32" s="28" t="s">
        <v>10</v>
      </c>
      <c r="J32" s="11"/>
      <c r="K32" s="33"/>
      <c r="L32" s="29"/>
    </row>
    <row r="33" spans="2:32" ht="63" customHeight="1" x14ac:dyDescent="0.2">
      <c r="B33" s="152"/>
      <c r="C33" s="152"/>
      <c r="D33" s="168"/>
      <c r="E33" s="168"/>
      <c r="F33" s="22" t="s">
        <v>1319</v>
      </c>
      <c r="G33" s="12" t="s">
        <v>43</v>
      </c>
      <c r="H33" s="34" t="s">
        <v>1320</v>
      </c>
      <c r="I33" s="28" t="s">
        <v>10</v>
      </c>
      <c r="J33" s="11"/>
      <c r="K33" s="33"/>
      <c r="L33" s="29"/>
    </row>
    <row r="34" spans="2:32" ht="63" customHeight="1" x14ac:dyDescent="0.2">
      <c r="B34" s="152"/>
      <c r="C34" s="152"/>
      <c r="D34" s="168"/>
      <c r="E34" s="168"/>
      <c r="F34" s="22" t="s">
        <v>1321</v>
      </c>
      <c r="G34" s="12" t="s">
        <v>39</v>
      </c>
      <c r="H34" s="34" t="s">
        <v>1322</v>
      </c>
      <c r="I34" s="28" t="s">
        <v>10</v>
      </c>
      <c r="J34" s="11"/>
      <c r="K34" s="33"/>
      <c r="L34" s="29"/>
    </row>
    <row r="35" spans="2:32" ht="63" customHeight="1" x14ac:dyDescent="0.2">
      <c r="B35" s="152"/>
      <c r="C35" s="152"/>
      <c r="D35" s="168"/>
      <c r="E35" s="168"/>
      <c r="F35" s="22" t="s">
        <v>1323</v>
      </c>
      <c r="G35" s="12" t="s">
        <v>35</v>
      </c>
      <c r="H35" s="34" t="s">
        <v>1324</v>
      </c>
      <c r="I35" s="28" t="s">
        <v>10</v>
      </c>
      <c r="J35" s="11"/>
      <c r="K35" s="33"/>
      <c r="L35" s="29"/>
    </row>
    <row r="36" spans="2:32" ht="63" customHeight="1" x14ac:dyDescent="0.2">
      <c r="B36" s="152"/>
      <c r="C36" s="152"/>
      <c r="D36" s="168"/>
      <c r="E36" s="168"/>
      <c r="F36" s="22" t="s">
        <v>1325</v>
      </c>
      <c r="G36" s="12" t="s">
        <v>43</v>
      </c>
      <c r="H36" s="34" t="s">
        <v>1326</v>
      </c>
      <c r="I36" s="28" t="s">
        <v>10</v>
      </c>
      <c r="J36" s="11"/>
      <c r="K36" s="33"/>
      <c r="L36" s="29"/>
    </row>
    <row r="37" spans="2:32" ht="63" customHeight="1" x14ac:dyDescent="0.2">
      <c r="B37" s="152"/>
      <c r="C37" s="152"/>
      <c r="D37" s="168"/>
      <c r="E37" s="168"/>
      <c r="F37" s="22" t="s">
        <v>1327</v>
      </c>
      <c r="G37" s="12" t="s">
        <v>36</v>
      </c>
      <c r="H37" s="34" t="s">
        <v>1328</v>
      </c>
      <c r="I37" s="28" t="s">
        <v>10</v>
      </c>
      <c r="J37" s="11"/>
      <c r="K37" s="33"/>
      <c r="L37" s="29"/>
    </row>
    <row r="38" spans="2:32" ht="5.25" customHeight="1" x14ac:dyDescent="0.2">
      <c r="B38" s="3"/>
      <c r="M38" s="1"/>
      <c r="N38" s="1"/>
      <c r="O38" s="1"/>
      <c r="P38" s="1"/>
      <c r="Q38" s="1"/>
      <c r="R38" s="1"/>
      <c r="S38" s="1"/>
      <c r="T38" s="1"/>
      <c r="U38" s="1"/>
      <c r="V38" s="1"/>
      <c r="W38" s="1"/>
      <c r="X38" s="1"/>
      <c r="Y38" s="1"/>
      <c r="Z38" s="1"/>
      <c r="AA38" s="1"/>
      <c r="AB38" s="1"/>
      <c r="AC38" s="1"/>
      <c r="AD38" s="1"/>
      <c r="AE38" s="1"/>
      <c r="AF38" s="1"/>
    </row>
    <row r="39" spans="2:32" ht="31" customHeight="1" x14ac:dyDescent="0.2">
      <c r="B39" s="69" t="s">
        <v>34</v>
      </c>
      <c r="C39" s="69" t="s">
        <v>258</v>
      </c>
      <c r="D39" s="69" t="s">
        <v>259</v>
      </c>
      <c r="E39" s="169" t="s">
        <v>32</v>
      </c>
      <c r="F39" s="170"/>
      <c r="G39" s="169" t="s">
        <v>16</v>
      </c>
      <c r="H39" s="170"/>
      <c r="I39" s="71" t="s">
        <v>8</v>
      </c>
      <c r="J39" s="69" t="s">
        <v>17</v>
      </c>
      <c r="K39" s="72" t="s">
        <v>44</v>
      </c>
      <c r="L39" s="69" t="s">
        <v>45</v>
      </c>
      <c r="M39" s="1"/>
      <c r="N39" s="1"/>
      <c r="O39" s="1"/>
      <c r="P39" s="1"/>
      <c r="Q39" s="1"/>
      <c r="R39" s="1"/>
      <c r="S39" s="1"/>
      <c r="T39" s="1"/>
      <c r="U39" s="1"/>
      <c r="V39" s="1"/>
      <c r="W39" s="1"/>
      <c r="X39" s="1"/>
      <c r="Y39" s="1"/>
      <c r="Z39" s="1"/>
      <c r="AA39" s="1"/>
      <c r="AB39" s="1"/>
      <c r="AC39" s="1"/>
      <c r="AD39" s="1"/>
      <c r="AE39" s="1"/>
      <c r="AF39" s="1"/>
    </row>
    <row r="40" spans="2:32" ht="81.5" customHeight="1" x14ac:dyDescent="0.2">
      <c r="B40" s="151" t="s">
        <v>1285</v>
      </c>
      <c r="C40" s="151" t="s">
        <v>260</v>
      </c>
      <c r="D40" s="185" t="s">
        <v>1329</v>
      </c>
      <c r="E40" s="129" t="s">
        <v>1330</v>
      </c>
      <c r="F40" s="130"/>
      <c r="G40" s="127" t="s">
        <v>1331</v>
      </c>
      <c r="H40" s="128"/>
      <c r="I40" s="28" t="s">
        <v>10</v>
      </c>
      <c r="J40" s="11"/>
      <c r="K40" s="33"/>
      <c r="L40" s="29"/>
      <c r="Y40" s="1"/>
      <c r="Z40" s="1"/>
      <c r="AA40" s="1"/>
      <c r="AB40" s="1"/>
      <c r="AC40" s="1"/>
      <c r="AD40" s="1"/>
      <c r="AE40" s="1"/>
      <c r="AF40" s="1"/>
    </row>
    <row r="41" spans="2:32" ht="81.5" customHeight="1" x14ac:dyDescent="0.2">
      <c r="B41" s="152"/>
      <c r="C41" s="152"/>
      <c r="D41" s="186"/>
      <c r="E41" s="131"/>
      <c r="F41" s="132"/>
      <c r="G41" s="127" t="s">
        <v>1332</v>
      </c>
      <c r="H41" s="128"/>
      <c r="I41" s="28" t="s">
        <v>10</v>
      </c>
      <c r="J41" s="11"/>
      <c r="K41" s="33"/>
      <c r="L41" s="29"/>
      <c r="Y41" s="1"/>
      <c r="Z41" s="1"/>
      <c r="AA41" s="1"/>
      <c r="AB41" s="1"/>
      <c r="AC41" s="1"/>
      <c r="AD41" s="1"/>
      <c r="AE41" s="1"/>
      <c r="AF41" s="1"/>
    </row>
    <row r="42" spans="2:32" ht="81.5" customHeight="1" x14ac:dyDescent="0.2">
      <c r="B42" s="152"/>
      <c r="C42" s="152"/>
      <c r="D42" s="186"/>
      <c r="E42" s="133"/>
      <c r="F42" s="134"/>
      <c r="G42" s="127" t="s">
        <v>1333</v>
      </c>
      <c r="H42" s="128"/>
      <c r="I42" s="28" t="s">
        <v>10</v>
      </c>
      <c r="J42" s="11"/>
      <c r="K42" s="33"/>
      <c r="L42" s="29"/>
      <c r="Y42" s="1"/>
      <c r="Z42" s="1"/>
      <c r="AA42" s="1"/>
      <c r="AB42" s="1"/>
      <c r="AC42" s="1"/>
      <c r="AD42" s="1"/>
      <c r="AE42" s="1"/>
      <c r="AF42" s="1"/>
    </row>
    <row r="43" spans="2:32" ht="87" customHeight="1" x14ac:dyDescent="0.2">
      <c r="B43" s="143" t="s">
        <v>1285</v>
      </c>
      <c r="C43" s="143" t="s">
        <v>261</v>
      </c>
      <c r="D43" s="181" t="s">
        <v>1334</v>
      </c>
      <c r="E43" s="135" t="s">
        <v>1335</v>
      </c>
      <c r="F43" s="136"/>
      <c r="G43" s="141" t="s">
        <v>1336</v>
      </c>
      <c r="H43" s="142"/>
      <c r="I43" s="28" t="s">
        <v>10</v>
      </c>
      <c r="J43" s="36"/>
      <c r="K43" s="37"/>
      <c r="L43" s="38"/>
      <c r="Y43" s="1"/>
      <c r="Z43" s="1"/>
      <c r="AA43" s="1"/>
      <c r="AB43" s="1"/>
      <c r="AC43" s="1"/>
      <c r="AD43" s="1"/>
      <c r="AE43" s="1"/>
      <c r="AF43" s="1"/>
    </row>
    <row r="44" spans="2:32" ht="87" customHeight="1" x14ac:dyDescent="0.2">
      <c r="B44" s="144"/>
      <c r="C44" s="144"/>
      <c r="D44" s="182"/>
      <c r="E44" s="137"/>
      <c r="F44" s="138"/>
      <c r="G44" s="141" t="s">
        <v>1337</v>
      </c>
      <c r="H44" s="142"/>
      <c r="I44" s="28" t="s">
        <v>10</v>
      </c>
      <c r="J44" s="36"/>
      <c r="K44" s="37"/>
      <c r="L44" s="38"/>
      <c r="Y44" s="1"/>
      <c r="Z44" s="1"/>
      <c r="AA44" s="1"/>
      <c r="AB44" s="1"/>
      <c r="AC44" s="1"/>
      <c r="AD44" s="1"/>
      <c r="AE44" s="1"/>
      <c r="AF44" s="1"/>
    </row>
    <row r="45" spans="2:32" ht="87" customHeight="1" x14ac:dyDescent="0.2">
      <c r="B45" s="144"/>
      <c r="C45" s="144"/>
      <c r="D45" s="182"/>
      <c r="E45" s="139"/>
      <c r="F45" s="140"/>
      <c r="G45" s="141" t="s">
        <v>1338</v>
      </c>
      <c r="H45" s="142"/>
      <c r="I45" s="28" t="s">
        <v>10</v>
      </c>
      <c r="J45" s="36"/>
      <c r="K45" s="37"/>
      <c r="L45" s="38"/>
      <c r="Y45" s="1"/>
      <c r="Z45" s="1"/>
      <c r="AA45" s="1"/>
      <c r="AB45" s="1"/>
      <c r="AC45" s="1"/>
      <c r="AD45" s="1"/>
      <c r="AE45" s="1"/>
      <c r="AF45" s="1"/>
    </row>
    <row r="46" spans="2:32" ht="81.5" customHeight="1" x14ac:dyDescent="0.2">
      <c r="B46" s="151" t="s">
        <v>1285</v>
      </c>
      <c r="C46" s="151" t="s">
        <v>262</v>
      </c>
      <c r="D46" s="185" t="s">
        <v>1339</v>
      </c>
      <c r="E46" s="129" t="s">
        <v>1340</v>
      </c>
      <c r="F46" s="130"/>
      <c r="G46" s="127" t="s">
        <v>1341</v>
      </c>
      <c r="H46" s="128"/>
      <c r="I46" s="28" t="s">
        <v>10</v>
      </c>
      <c r="J46" s="11"/>
      <c r="K46" s="33"/>
      <c r="L46" s="29"/>
      <c r="Y46" s="1"/>
      <c r="Z46" s="1"/>
      <c r="AA46" s="1"/>
      <c r="AB46" s="1"/>
      <c r="AC46" s="1"/>
      <c r="AD46" s="1"/>
      <c r="AE46" s="1"/>
      <c r="AF46" s="1"/>
    </row>
    <row r="47" spans="2:32" ht="81.5" customHeight="1" x14ac:dyDescent="0.2">
      <c r="B47" s="152"/>
      <c r="C47" s="152"/>
      <c r="D47" s="186"/>
      <c r="E47" s="131"/>
      <c r="F47" s="132"/>
      <c r="G47" s="127" t="s">
        <v>1342</v>
      </c>
      <c r="H47" s="128"/>
      <c r="I47" s="28" t="s">
        <v>10</v>
      </c>
      <c r="J47" s="11"/>
      <c r="K47" s="33"/>
      <c r="L47" s="29"/>
      <c r="Y47" s="1"/>
      <c r="Z47" s="1"/>
      <c r="AA47" s="1"/>
      <c r="AB47" s="1"/>
      <c r="AC47" s="1"/>
      <c r="AD47" s="1"/>
      <c r="AE47" s="1"/>
      <c r="AF47" s="1"/>
    </row>
    <row r="48" spans="2:32" ht="81.5" customHeight="1" x14ac:dyDescent="0.2">
      <c r="B48" s="152"/>
      <c r="C48" s="152"/>
      <c r="D48" s="186"/>
      <c r="E48" s="133"/>
      <c r="F48" s="134"/>
      <c r="G48" s="127" t="s">
        <v>1343</v>
      </c>
      <c r="H48" s="128"/>
      <c r="I48" s="28" t="s">
        <v>10</v>
      </c>
      <c r="J48" s="11"/>
      <c r="K48" s="33"/>
      <c r="L48" s="29"/>
      <c r="Y48" s="1"/>
      <c r="Z48" s="1"/>
      <c r="AA48" s="1"/>
      <c r="AB48" s="1"/>
      <c r="AC48" s="1"/>
      <c r="AD48" s="1"/>
      <c r="AE48" s="1"/>
      <c r="AF48" s="1"/>
    </row>
    <row r="49" spans="2:11" s="13" customFormat="1" x14ac:dyDescent="0.2">
      <c r="B49" s="3"/>
      <c r="C49" s="3"/>
      <c r="D49" s="3"/>
      <c r="E49" s="3"/>
      <c r="F49" s="89"/>
      <c r="G49" s="3"/>
      <c r="H49" s="89"/>
      <c r="I49" s="90"/>
      <c r="K49" s="31"/>
    </row>
    <row r="50" spans="2:11" s="13" customFormat="1" x14ac:dyDescent="0.2">
      <c r="B50" s="3"/>
      <c r="C50" s="3"/>
      <c r="D50" s="3"/>
      <c r="E50" s="3"/>
      <c r="F50" s="89"/>
      <c r="G50" s="3"/>
      <c r="H50" s="89"/>
      <c r="I50" s="90"/>
      <c r="K50" s="31"/>
    </row>
    <row r="51" spans="2:11" s="3" customFormat="1" ht="15" hidden="1" x14ac:dyDescent="0.2">
      <c r="C51" s="3" t="s">
        <v>1124</v>
      </c>
      <c r="F51" s="89"/>
      <c r="H51" s="89"/>
      <c r="I51" s="90"/>
      <c r="J51" s="13"/>
      <c r="K51" s="31"/>
    </row>
    <row r="52" spans="2:11" s="13" customFormat="1" x14ac:dyDescent="0.2">
      <c r="B52" s="3"/>
      <c r="C52" s="3"/>
      <c r="D52" s="3"/>
      <c r="E52" s="3"/>
      <c r="F52" s="89"/>
      <c r="G52" s="3"/>
      <c r="H52" s="89"/>
      <c r="I52" s="90"/>
      <c r="K52" s="31"/>
    </row>
    <row r="53" spans="2:11" s="13" customFormat="1" x14ac:dyDescent="0.2">
      <c r="B53" s="3"/>
      <c r="C53" s="3"/>
      <c r="D53" s="3"/>
      <c r="E53" s="3"/>
      <c r="F53" s="89"/>
      <c r="G53" s="3"/>
      <c r="H53" s="89"/>
      <c r="I53" s="90"/>
      <c r="K53" s="31"/>
    </row>
    <row r="54" spans="2:11" s="13" customFormat="1" x14ac:dyDescent="0.2">
      <c r="B54" s="3"/>
      <c r="C54" s="3"/>
      <c r="D54" s="3"/>
      <c r="E54" s="3"/>
      <c r="F54" s="89"/>
      <c r="G54" s="3"/>
      <c r="H54" s="89"/>
      <c r="I54" s="90"/>
      <c r="K54" s="31"/>
    </row>
    <row r="55" spans="2:11" s="13" customFormat="1" x14ac:dyDescent="0.2">
      <c r="B55" s="3"/>
      <c r="C55" s="3"/>
      <c r="D55" s="3"/>
      <c r="E55" s="3"/>
      <c r="F55" s="89"/>
      <c r="G55" s="3"/>
      <c r="H55" s="89"/>
      <c r="I55" s="90"/>
      <c r="K55" s="31"/>
    </row>
    <row r="56" spans="2:11" s="13" customFormat="1" x14ac:dyDescent="0.2">
      <c r="B56" s="3"/>
      <c r="C56" s="3"/>
      <c r="D56" s="3"/>
      <c r="E56" s="3"/>
      <c r="F56" s="89"/>
      <c r="G56" s="3"/>
      <c r="H56" s="89"/>
      <c r="I56" s="90"/>
      <c r="K56" s="31"/>
    </row>
    <row r="57" spans="2:11" s="13" customFormat="1" x14ac:dyDescent="0.2">
      <c r="B57" s="3"/>
      <c r="C57" s="3"/>
      <c r="D57" s="3"/>
      <c r="E57" s="3"/>
      <c r="F57" s="89"/>
      <c r="G57" s="3"/>
      <c r="H57" s="89"/>
      <c r="I57" s="90"/>
      <c r="K57" s="31"/>
    </row>
    <row r="58" spans="2:11" s="13" customFormat="1" x14ac:dyDescent="0.2">
      <c r="B58" s="3"/>
      <c r="C58" s="3"/>
      <c r="D58" s="3"/>
      <c r="E58" s="3"/>
      <c r="F58" s="89"/>
      <c r="G58" s="3"/>
      <c r="H58" s="89"/>
      <c r="I58" s="90"/>
      <c r="K58" s="31"/>
    </row>
    <row r="59" spans="2:11" s="13" customFormat="1" x14ac:dyDescent="0.2">
      <c r="B59" s="3"/>
      <c r="C59" s="3"/>
      <c r="D59" s="3"/>
      <c r="E59" s="3"/>
      <c r="F59" s="89"/>
      <c r="G59" s="3"/>
      <c r="H59" s="89"/>
      <c r="I59" s="90"/>
      <c r="K59" s="31"/>
    </row>
    <row r="60" spans="2:11" s="13" customFormat="1" x14ac:dyDescent="0.2">
      <c r="B60" s="3"/>
      <c r="C60" s="3"/>
      <c r="D60" s="3"/>
      <c r="E60" s="3"/>
      <c r="F60" s="89"/>
      <c r="G60" s="3"/>
      <c r="H60" s="89"/>
      <c r="I60" s="90"/>
      <c r="K60" s="31"/>
    </row>
    <row r="61" spans="2:11" s="13" customFormat="1" x14ac:dyDescent="0.2">
      <c r="B61" s="3"/>
      <c r="C61" s="3"/>
      <c r="D61" s="3"/>
      <c r="E61" s="3"/>
      <c r="F61" s="89"/>
      <c r="G61" s="3"/>
      <c r="H61" s="89"/>
      <c r="I61" s="90"/>
      <c r="K61" s="31"/>
    </row>
    <row r="62" spans="2:11" s="13" customFormat="1" x14ac:dyDescent="0.2">
      <c r="B62" s="3"/>
      <c r="C62" s="3"/>
      <c r="D62" s="3"/>
      <c r="E62" s="3"/>
      <c r="F62" s="89"/>
      <c r="G62" s="3"/>
      <c r="H62" s="89"/>
      <c r="I62" s="90"/>
      <c r="K62" s="31"/>
    </row>
    <row r="63" spans="2:11" s="13" customFormat="1" x14ac:dyDescent="0.2">
      <c r="B63" s="3"/>
      <c r="C63" s="3"/>
      <c r="D63" s="3"/>
      <c r="E63" s="3"/>
      <c r="F63" s="89"/>
      <c r="G63" s="3"/>
      <c r="H63" s="89"/>
      <c r="I63" s="90"/>
      <c r="K63" s="31"/>
    </row>
    <row r="64" spans="2:11" s="13" customFormat="1" x14ac:dyDescent="0.2">
      <c r="B64" s="3"/>
      <c r="C64" s="3"/>
      <c r="D64" s="3"/>
      <c r="E64" s="3"/>
      <c r="F64" s="89"/>
      <c r="G64" s="3"/>
      <c r="H64" s="89"/>
      <c r="I64" s="90"/>
      <c r="K64" s="31"/>
    </row>
    <row r="65" spans="2:11" s="13" customFormat="1" x14ac:dyDescent="0.2">
      <c r="B65" s="3"/>
      <c r="C65" s="3"/>
      <c r="D65" s="3"/>
      <c r="E65" s="3"/>
      <c r="F65" s="89"/>
      <c r="G65" s="3"/>
      <c r="H65" s="89"/>
      <c r="I65" s="90"/>
      <c r="K65" s="31"/>
    </row>
    <row r="66" spans="2:11" s="13" customFormat="1" x14ac:dyDescent="0.2">
      <c r="B66" s="3"/>
      <c r="C66" s="3"/>
      <c r="D66" s="3"/>
      <c r="E66" s="3"/>
      <c r="F66" s="89"/>
      <c r="G66" s="3"/>
      <c r="H66" s="89"/>
      <c r="I66" s="90"/>
      <c r="K66" s="31"/>
    </row>
    <row r="67" spans="2:11" s="13" customFormat="1" x14ac:dyDescent="0.2">
      <c r="B67" s="3"/>
      <c r="C67" s="3"/>
      <c r="D67" s="3"/>
      <c r="E67" s="3"/>
      <c r="F67" s="89"/>
      <c r="G67" s="3"/>
      <c r="H67" s="89"/>
      <c r="I67" s="90"/>
      <c r="K67" s="31"/>
    </row>
    <row r="68" spans="2:11" s="13" customFormat="1" x14ac:dyDescent="0.2">
      <c r="B68" s="3"/>
      <c r="C68" s="3"/>
      <c r="D68" s="3"/>
      <c r="E68" s="3"/>
      <c r="F68" s="89"/>
      <c r="G68" s="3"/>
      <c r="H68" s="89"/>
      <c r="I68" s="90"/>
      <c r="K68" s="31"/>
    </row>
    <row r="69" spans="2:11" s="13" customFormat="1" x14ac:dyDescent="0.2">
      <c r="B69" s="3"/>
      <c r="C69" s="3"/>
      <c r="D69" s="3"/>
      <c r="E69" s="3"/>
      <c r="F69" s="89"/>
      <c r="G69" s="3"/>
      <c r="H69" s="89"/>
      <c r="I69" s="90"/>
      <c r="K69" s="31"/>
    </row>
    <row r="70" spans="2:11" s="13" customFormat="1" x14ac:dyDescent="0.2">
      <c r="B70" s="3"/>
      <c r="C70" s="3"/>
      <c r="D70" s="3"/>
      <c r="E70" s="3"/>
      <c r="F70" s="89"/>
      <c r="G70" s="3"/>
      <c r="H70" s="89"/>
      <c r="I70" s="90"/>
      <c r="K70" s="31"/>
    </row>
    <row r="71" spans="2:11" s="13" customFormat="1" x14ac:dyDescent="0.2">
      <c r="B71" s="3"/>
      <c r="C71" s="3"/>
      <c r="D71" s="3"/>
      <c r="E71" s="3"/>
      <c r="F71" s="89"/>
      <c r="G71" s="3"/>
      <c r="H71" s="89"/>
      <c r="I71" s="90"/>
      <c r="K71" s="31"/>
    </row>
    <row r="72" spans="2:11" s="13" customFormat="1" x14ac:dyDescent="0.2">
      <c r="B72" s="3"/>
      <c r="C72" s="3"/>
      <c r="D72" s="3"/>
      <c r="E72" s="3"/>
      <c r="F72" s="89"/>
      <c r="G72" s="3"/>
      <c r="H72" s="89"/>
      <c r="I72" s="90"/>
      <c r="K72" s="31"/>
    </row>
    <row r="73" spans="2:11" s="13" customFormat="1" x14ac:dyDescent="0.2">
      <c r="B73" s="3"/>
      <c r="C73" s="3"/>
      <c r="D73" s="3"/>
      <c r="E73" s="3"/>
      <c r="F73" s="89"/>
      <c r="G73" s="3"/>
      <c r="H73" s="89"/>
      <c r="I73" s="90"/>
      <c r="K73" s="31"/>
    </row>
    <row r="74" spans="2:11" s="13" customFormat="1" x14ac:dyDescent="0.2">
      <c r="B74" s="3"/>
      <c r="C74" s="3"/>
      <c r="D74" s="3"/>
      <c r="E74" s="3"/>
      <c r="F74" s="89"/>
      <c r="G74" s="3"/>
      <c r="H74" s="89"/>
      <c r="I74" s="90"/>
      <c r="K74" s="31"/>
    </row>
    <row r="75" spans="2:11" s="13" customFormat="1" x14ac:dyDescent="0.2">
      <c r="B75" s="3"/>
      <c r="C75" s="3"/>
      <c r="D75" s="3"/>
      <c r="E75" s="3"/>
      <c r="F75" s="89"/>
      <c r="G75" s="3"/>
      <c r="H75" s="89"/>
      <c r="I75" s="90"/>
      <c r="K75" s="31"/>
    </row>
    <row r="76" spans="2:11" s="13" customFormat="1" x14ac:dyDescent="0.2">
      <c r="B76" s="3"/>
      <c r="C76" s="3"/>
      <c r="D76" s="3"/>
      <c r="E76" s="3"/>
      <c r="F76" s="89"/>
      <c r="G76" s="3"/>
      <c r="H76" s="89"/>
      <c r="I76" s="90"/>
      <c r="K76" s="31"/>
    </row>
    <row r="77" spans="2:11" s="13" customFormat="1" x14ac:dyDescent="0.2">
      <c r="B77" s="3"/>
      <c r="C77" s="3"/>
      <c r="D77" s="3"/>
      <c r="E77" s="3"/>
      <c r="F77" s="89"/>
      <c r="G77" s="3"/>
      <c r="H77" s="89"/>
      <c r="I77" s="90"/>
      <c r="K77" s="31"/>
    </row>
    <row r="78" spans="2:11" s="13" customFormat="1" x14ac:dyDescent="0.2">
      <c r="B78" s="3"/>
      <c r="C78" s="3"/>
      <c r="D78" s="3"/>
      <c r="E78" s="3"/>
      <c r="F78" s="89"/>
      <c r="G78" s="3"/>
      <c r="H78" s="89"/>
      <c r="I78" s="90"/>
      <c r="K78" s="31"/>
    </row>
    <row r="79" spans="2:11" s="13" customFormat="1" x14ac:dyDescent="0.2">
      <c r="B79" s="3"/>
      <c r="C79" s="3"/>
      <c r="D79" s="3"/>
      <c r="E79" s="3"/>
      <c r="F79" s="89"/>
      <c r="G79" s="3"/>
      <c r="H79" s="89"/>
      <c r="I79" s="90"/>
      <c r="K79" s="31"/>
    </row>
    <row r="80" spans="2:11" s="13" customFormat="1" x14ac:dyDescent="0.2">
      <c r="B80" s="3"/>
      <c r="C80" s="3"/>
      <c r="D80" s="3"/>
      <c r="E80" s="3"/>
      <c r="F80" s="89"/>
      <c r="G80" s="3"/>
      <c r="H80" s="89"/>
      <c r="I80" s="90"/>
      <c r="K80" s="31"/>
    </row>
    <row r="81" spans="2:11" s="13" customFormat="1" x14ac:dyDescent="0.2">
      <c r="B81" s="3"/>
      <c r="C81" s="3"/>
      <c r="D81" s="3"/>
      <c r="E81" s="3"/>
      <c r="F81" s="89"/>
      <c r="G81" s="3"/>
      <c r="H81" s="89"/>
      <c r="I81" s="90"/>
      <c r="K81" s="31"/>
    </row>
    <row r="82" spans="2:11" s="13" customFormat="1" x14ac:dyDescent="0.2">
      <c r="B82" s="3"/>
      <c r="C82" s="3"/>
      <c r="D82" s="3"/>
      <c r="E82" s="3"/>
      <c r="F82" s="89"/>
      <c r="G82" s="3"/>
      <c r="H82" s="89"/>
      <c r="I82" s="90"/>
      <c r="K82" s="31"/>
    </row>
    <row r="83" spans="2:11" s="13" customFormat="1" x14ac:dyDescent="0.2">
      <c r="B83" s="3"/>
      <c r="C83" s="3"/>
      <c r="D83" s="3"/>
      <c r="E83" s="3"/>
      <c r="F83" s="89"/>
      <c r="G83" s="3"/>
      <c r="H83" s="89"/>
      <c r="I83" s="90"/>
      <c r="K83" s="31"/>
    </row>
    <row r="84" spans="2:11" s="13" customFormat="1" x14ac:dyDescent="0.2">
      <c r="B84" s="3"/>
      <c r="C84" s="3"/>
      <c r="D84" s="3"/>
      <c r="E84" s="3"/>
      <c r="F84" s="89"/>
      <c r="G84" s="3"/>
      <c r="H84" s="89"/>
      <c r="I84" s="90"/>
      <c r="K84" s="31"/>
    </row>
    <row r="85" spans="2:11" s="13" customFormat="1" x14ac:dyDescent="0.2">
      <c r="B85" s="3"/>
      <c r="C85" s="3"/>
      <c r="D85" s="3"/>
      <c r="E85" s="3"/>
      <c r="F85" s="89"/>
      <c r="G85" s="3"/>
      <c r="H85" s="89"/>
      <c r="I85" s="90"/>
      <c r="K85" s="31"/>
    </row>
    <row r="86" spans="2:11" s="13" customFormat="1" x14ac:dyDescent="0.2">
      <c r="B86" s="3"/>
      <c r="C86" s="3"/>
      <c r="D86" s="3"/>
      <c r="E86" s="3"/>
      <c r="F86" s="89"/>
      <c r="G86" s="3"/>
      <c r="H86" s="89"/>
      <c r="I86" s="90"/>
      <c r="K86" s="31"/>
    </row>
    <row r="87" spans="2:11" s="13" customFormat="1" x14ac:dyDescent="0.2">
      <c r="B87" s="3"/>
      <c r="C87" s="3"/>
      <c r="D87" s="3"/>
      <c r="E87" s="3"/>
      <c r="F87" s="89"/>
      <c r="G87" s="3"/>
      <c r="H87" s="89"/>
      <c r="I87" s="90"/>
      <c r="K87" s="31"/>
    </row>
    <row r="88" spans="2:11" s="13" customFormat="1" x14ac:dyDescent="0.2">
      <c r="B88" s="3"/>
      <c r="C88" s="3"/>
      <c r="D88" s="3"/>
      <c r="E88" s="3"/>
      <c r="F88" s="89"/>
      <c r="G88" s="3"/>
      <c r="H88" s="89"/>
      <c r="I88" s="90"/>
      <c r="K88" s="31"/>
    </row>
    <row r="89" spans="2:11" s="13" customFormat="1" x14ac:dyDescent="0.2">
      <c r="B89" s="3"/>
      <c r="C89" s="3"/>
      <c r="D89" s="3"/>
      <c r="E89" s="3"/>
      <c r="F89" s="89"/>
      <c r="G89" s="3"/>
      <c r="H89" s="89"/>
      <c r="I89" s="90"/>
      <c r="K89" s="31"/>
    </row>
    <row r="90" spans="2:11" s="13" customFormat="1" x14ac:dyDescent="0.2">
      <c r="B90" s="3"/>
      <c r="C90" s="3"/>
      <c r="D90" s="3"/>
      <c r="E90" s="3"/>
      <c r="F90" s="89"/>
      <c r="G90" s="3"/>
      <c r="H90" s="89"/>
      <c r="I90" s="90"/>
      <c r="K90" s="31"/>
    </row>
    <row r="91" spans="2:11" s="13" customFormat="1" x14ac:dyDescent="0.2">
      <c r="B91" s="3"/>
      <c r="C91" s="3"/>
      <c r="D91" s="3"/>
      <c r="E91" s="3"/>
      <c r="F91" s="89"/>
      <c r="G91" s="3"/>
      <c r="H91" s="89"/>
      <c r="I91" s="90"/>
      <c r="K91" s="31"/>
    </row>
    <row r="92" spans="2:11" s="13" customFormat="1" x14ac:dyDescent="0.2">
      <c r="B92" s="3"/>
      <c r="C92" s="3"/>
      <c r="D92" s="3"/>
      <c r="E92" s="3"/>
      <c r="F92" s="89"/>
      <c r="G92" s="3"/>
      <c r="H92" s="89"/>
      <c r="I92" s="90"/>
      <c r="K92" s="31"/>
    </row>
    <row r="93" spans="2:11" s="13" customFormat="1" x14ac:dyDescent="0.2">
      <c r="B93" s="3"/>
      <c r="C93" s="3"/>
      <c r="D93" s="3"/>
      <c r="E93" s="3"/>
      <c r="F93" s="89"/>
      <c r="G93" s="3"/>
      <c r="H93" s="89"/>
      <c r="I93" s="90"/>
      <c r="K93" s="31"/>
    </row>
    <row r="94" spans="2:11" s="13" customFormat="1" x14ac:dyDescent="0.2">
      <c r="B94" s="3"/>
      <c r="C94" s="3"/>
      <c r="D94" s="3"/>
      <c r="E94" s="3"/>
      <c r="F94" s="89"/>
      <c r="G94" s="3"/>
      <c r="H94" s="89"/>
      <c r="I94" s="90"/>
      <c r="K94" s="31"/>
    </row>
    <row r="95" spans="2:11" s="13" customFormat="1" x14ac:dyDescent="0.2">
      <c r="B95" s="3"/>
      <c r="C95" s="3"/>
      <c r="D95" s="3"/>
      <c r="E95" s="3"/>
      <c r="F95" s="89"/>
      <c r="G95" s="3"/>
      <c r="H95" s="89"/>
      <c r="I95" s="90"/>
      <c r="K95" s="31"/>
    </row>
    <row r="96" spans="2:11" s="13" customFormat="1" x14ac:dyDescent="0.2">
      <c r="B96" s="3"/>
      <c r="C96" s="3"/>
      <c r="D96" s="3"/>
      <c r="E96" s="3"/>
      <c r="F96" s="89"/>
      <c r="G96" s="3"/>
      <c r="H96" s="89"/>
      <c r="I96" s="90"/>
      <c r="K96" s="31"/>
    </row>
    <row r="97" spans="2:11" s="13" customFormat="1" x14ac:dyDescent="0.2">
      <c r="B97" s="3"/>
      <c r="C97" s="3"/>
      <c r="D97" s="3"/>
      <c r="E97" s="3"/>
      <c r="F97" s="89"/>
      <c r="G97" s="3"/>
      <c r="H97" s="89"/>
      <c r="I97" s="90"/>
      <c r="K97" s="31"/>
    </row>
    <row r="98" spans="2:11" s="13" customFormat="1" x14ac:dyDescent="0.2">
      <c r="B98" s="3"/>
      <c r="C98" s="3"/>
      <c r="D98" s="3"/>
      <c r="E98" s="3"/>
      <c r="F98" s="89"/>
      <c r="G98" s="3"/>
      <c r="H98" s="89"/>
      <c r="I98" s="90"/>
      <c r="K98" s="31"/>
    </row>
    <row r="99" spans="2:11" s="13" customFormat="1" x14ac:dyDescent="0.2">
      <c r="B99" s="3"/>
      <c r="C99" s="3"/>
      <c r="D99" s="3"/>
      <c r="E99" s="3"/>
      <c r="F99" s="89"/>
      <c r="G99" s="3"/>
      <c r="H99" s="89"/>
      <c r="I99" s="90"/>
      <c r="K99" s="31"/>
    </row>
    <row r="100" spans="2:11" s="13" customFormat="1" x14ac:dyDescent="0.2">
      <c r="B100" s="3"/>
      <c r="C100" s="3"/>
      <c r="D100" s="3"/>
      <c r="E100" s="3"/>
      <c r="F100" s="89"/>
      <c r="G100" s="3"/>
      <c r="H100" s="89"/>
      <c r="I100" s="90"/>
      <c r="K100" s="31"/>
    </row>
    <row r="101" spans="2:11" s="13" customFormat="1" x14ac:dyDescent="0.2">
      <c r="B101" s="3"/>
      <c r="C101" s="3"/>
      <c r="D101" s="3"/>
      <c r="E101" s="3"/>
      <c r="F101" s="89"/>
      <c r="G101" s="3"/>
      <c r="H101" s="89"/>
      <c r="I101" s="90"/>
      <c r="K101" s="31"/>
    </row>
    <row r="102" spans="2:11" s="13" customFormat="1" x14ac:dyDescent="0.2">
      <c r="B102" s="3"/>
      <c r="C102" s="3"/>
      <c r="D102" s="3"/>
      <c r="E102" s="3"/>
      <c r="F102" s="89"/>
      <c r="G102" s="3"/>
      <c r="H102" s="89"/>
      <c r="I102" s="90"/>
      <c r="K102" s="31"/>
    </row>
    <row r="103" spans="2:11" s="13" customFormat="1" x14ac:dyDescent="0.2">
      <c r="B103" s="3"/>
      <c r="C103" s="3"/>
      <c r="D103" s="3"/>
      <c r="E103" s="3"/>
      <c r="F103" s="89"/>
      <c r="G103" s="3"/>
      <c r="H103" s="89"/>
      <c r="I103" s="90"/>
      <c r="K103" s="31"/>
    </row>
    <row r="104" spans="2:11" s="13" customFormat="1" x14ac:dyDescent="0.2">
      <c r="B104" s="3"/>
      <c r="C104" s="3"/>
      <c r="D104" s="3"/>
      <c r="E104" s="3"/>
      <c r="F104" s="89"/>
      <c r="G104" s="3"/>
      <c r="H104" s="89"/>
      <c r="I104" s="90"/>
      <c r="K104" s="31"/>
    </row>
    <row r="105" spans="2:11" s="13" customFormat="1" x14ac:dyDescent="0.2">
      <c r="B105" s="3"/>
      <c r="C105" s="3"/>
      <c r="D105" s="3"/>
      <c r="E105" s="3"/>
      <c r="F105" s="89"/>
      <c r="G105" s="3"/>
      <c r="H105" s="89"/>
      <c r="I105" s="90"/>
      <c r="K105" s="31"/>
    </row>
    <row r="106" spans="2:11" s="13" customFormat="1" x14ac:dyDescent="0.2">
      <c r="B106" s="3"/>
      <c r="C106" s="3"/>
      <c r="D106" s="3"/>
      <c r="E106" s="3"/>
      <c r="F106" s="89"/>
      <c r="G106" s="3"/>
      <c r="H106" s="89"/>
      <c r="I106" s="90"/>
      <c r="K106" s="31"/>
    </row>
    <row r="107" spans="2:11" s="13" customFormat="1" x14ac:dyDescent="0.2">
      <c r="B107" s="3"/>
      <c r="C107" s="3"/>
      <c r="D107" s="3"/>
      <c r="E107" s="3"/>
      <c r="F107" s="89"/>
      <c r="G107" s="3"/>
      <c r="H107" s="89"/>
      <c r="I107" s="90"/>
      <c r="K107" s="31"/>
    </row>
    <row r="108" spans="2:11" s="13" customFormat="1" x14ac:dyDescent="0.2">
      <c r="B108" s="3"/>
      <c r="C108" s="3"/>
      <c r="D108" s="3"/>
      <c r="E108" s="3"/>
      <c r="F108" s="89"/>
      <c r="G108" s="3"/>
      <c r="H108" s="89"/>
      <c r="I108" s="90"/>
      <c r="K108" s="31"/>
    </row>
    <row r="109" spans="2:11" s="13" customFormat="1" x14ac:dyDescent="0.2">
      <c r="B109" s="3"/>
      <c r="C109" s="3"/>
      <c r="D109" s="3"/>
      <c r="E109" s="3"/>
      <c r="F109" s="89"/>
      <c r="G109" s="3"/>
      <c r="H109" s="89"/>
      <c r="I109" s="90"/>
      <c r="K109" s="31"/>
    </row>
    <row r="110" spans="2:11" s="13" customFormat="1" x14ac:dyDescent="0.2">
      <c r="B110" s="3"/>
      <c r="C110" s="3"/>
      <c r="D110" s="3"/>
      <c r="E110" s="3"/>
      <c r="F110" s="89"/>
      <c r="G110" s="3"/>
      <c r="H110" s="89"/>
      <c r="I110" s="90"/>
      <c r="K110" s="31"/>
    </row>
    <row r="111" spans="2:11" s="13" customFormat="1" x14ac:dyDescent="0.2">
      <c r="B111" s="3"/>
      <c r="C111" s="3"/>
      <c r="D111" s="3"/>
      <c r="E111" s="3"/>
      <c r="F111" s="89"/>
      <c r="G111" s="3"/>
      <c r="H111" s="89"/>
      <c r="I111" s="90"/>
      <c r="K111" s="31"/>
    </row>
    <row r="112" spans="2:11" s="13" customFormat="1" x14ac:dyDescent="0.2">
      <c r="B112" s="3"/>
      <c r="C112" s="3"/>
      <c r="D112" s="3"/>
      <c r="E112" s="3"/>
      <c r="F112" s="89"/>
      <c r="G112" s="3"/>
      <c r="H112" s="89"/>
      <c r="I112" s="90"/>
      <c r="K112" s="31"/>
    </row>
    <row r="113" spans="2:11" s="13" customFormat="1" x14ac:dyDescent="0.2">
      <c r="B113" s="3"/>
      <c r="C113" s="3"/>
      <c r="D113" s="3"/>
      <c r="E113" s="3"/>
      <c r="F113" s="89"/>
      <c r="G113" s="3"/>
      <c r="H113" s="89"/>
      <c r="I113" s="90"/>
      <c r="K113" s="31"/>
    </row>
    <row r="114" spans="2:11" s="13" customFormat="1" x14ac:dyDescent="0.2">
      <c r="B114" s="3"/>
      <c r="C114" s="3"/>
      <c r="D114" s="3"/>
      <c r="E114" s="3"/>
      <c r="F114" s="89"/>
      <c r="G114" s="3"/>
      <c r="H114" s="89"/>
      <c r="I114" s="90"/>
      <c r="K114" s="31"/>
    </row>
    <row r="115" spans="2:11" s="13" customFormat="1" x14ac:dyDescent="0.2">
      <c r="B115" s="3"/>
      <c r="C115" s="3"/>
      <c r="D115" s="3"/>
      <c r="E115" s="3"/>
      <c r="F115" s="89"/>
      <c r="G115" s="3"/>
      <c r="H115" s="89"/>
      <c r="I115" s="90"/>
      <c r="K115" s="31"/>
    </row>
    <row r="116" spans="2:11" s="13" customFormat="1" x14ac:dyDescent="0.2">
      <c r="B116" s="3"/>
      <c r="C116" s="3"/>
      <c r="D116" s="3"/>
      <c r="E116" s="3"/>
      <c r="F116" s="89"/>
      <c r="G116" s="3"/>
      <c r="H116" s="89"/>
      <c r="I116" s="90"/>
      <c r="K116" s="31"/>
    </row>
    <row r="117" spans="2:11" s="13" customFormat="1" x14ac:dyDescent="0.2">
      <c r="B117" s="3"/>
      <c r="C117" s="3"/>
      <c r="D117" s="3"/>
      <c r="E117" s="3"/>
      <c r="F117" s="89"/>
      <c r="G117" s="3"/>
      <c r="H117" s="89"/>
      <c r="I117" s="90"/>
      <c r="K117" s="31"/>
    </row>
    <row r="118" spans="2:11" s="13" customFormat="1" x14ac:dyDescent="0.2">
      <c r="B118" s="3"/>
      <c r="C118" s="3"/>
      <c r="D118" s="3"/>
      <c r="E118" s="3"/>
      <c r="F118" s="89"/>
      <c r="G118" s="3"/>
      <c r="H118" s="89"/>
      <c r="I118" s="90"/>
      <c r="K118" s="31"/>
    </row>
    <row r="119" spans="2:11" s="13" customFormat="1" x14ac:dyDescent="0.2">
      <c r="B119" s="3"/>
      <c r="C119" s="3"/>
      <c r="D119" s="3"/>
      <c r="E119" s="3"/>
      <c r="F119" s="89"/>
      <c r="G119" s="3"/>
      <c r="H119" s="89"/>
      <c r="I119" s="90"/>
      <c r="K119" s="31"/>
    </row>
    <row r="120" spans="2:11" s="13" customFormat="1" x14ac:dyDescent="0.2">
      <c r="B120" s="3"/>
      <c r="C120" s="3"/>
      <c r="D120" s="3"/>
      <c r="E120" s="3"/>
      <c r="F120" s="89"/>
      <c r="G120" s="3"/>
      <c r="H120" s="89"/>
      <c r="I120" s="90"/>
      <c r="K120" s="31"/>
    </row>
    <row r="121" spans="2:11" s="13" customFormat="1" x14ac:dyDescent="0.2">
      <c r="B121" s="3"/>
      <c r="C121" s="3"/>
      <c r="D121" s="3"/>
      <c r="E121" s="3"/>
      <c r="F121" s="89"/>
      <c r="G121" s="3"/>
      <c r="H121" s="89"/>
      <c r="I121" s="90"/>
      <c r="K121" s="31"/>
    </row>
    <row r="122" spans="2:11" s="13" customFormat="1" x14ac:dyDescent="0.2">
      <c r="B122" s="3"/>
      <c r="C122" s="3"/>
      <c r="D122" s="3"/>
      <c r="E122" s="3"/>
      <c r="F122" s="89"/>
      <c r="G122" s="3"/>
      <c r="H122" s="89"/>
      <c r="I122" s="90"/>
      <c r="K122" s="31"/>
    </row>
    <row r="123" spans="2:11" s="13" customFormat="1" x14ac:dyDescent="0.2">
      <c r="B123" s="3"/>
      <c r="C123" s="3"/>
      <c r="D123" s="3"/>
      <c r="E123" s="3"/>
      <c r="F123" s="89"/>
      <c r="G123" s="3"/>
      <c r="H123" s="89"/>
      <c r="I123" s="90"/>
      <c r="K123" s="31"/>
    </row>
    <row r="124" spans="2:11" s="13" customFormat="1" x14ac:dyDescent="0.2">
      <c r="B124" s="3"/>
      <c r="C124" s="3"/>
      <c r="D124" s="3"/>
      <c r="E124" s="3"/>
      <c r="F124" s="89"/>
      <c r="G124" s="3"/>
      <c r="H124" s="89"/>
      <c r="I124" s="90"/>
      <c r="K124" s="31"/>
    </row>
    <row r="125" spans="2:11" s="13" customFormat="1" x14ac:dyDescent="0.2">
      <c r="B125" s="3"/>
      <c r="C125" s="3"/>
      <c r="D125" s="3"/>
      <c r="E125" s="3"/>
      <c r="F125" s="89"/>
      <c r="G125" s="3"/>
      <c r="H125" s="89"/>
      <c r="I125" s="90"/>
      <c r="K125" s="31"/>
    </row>
    <row r="126" spans="2:11" s="13" customFormat="1" x14ac:dyDescent="0.2">
      <c r="B126" s="3"/>
      <c r="C126" s="3"/>
      <c r="D126" s="3"/>
      <c r="E126" s="3"/>
      <c r="F126" s="89"/>
      <c r="G126" s="3"/>
      <c r="H126" s="89"/>
      <c r="I126" s="90"/>
      <c r="K126" s="31"/>
    </row>
    <row r="127" spans="2:11" s="13" customFormat="1" x14ac:dyDescent="0.2">
      <c r="B127" s="3"/>
      <c r="C127" s="3"/>
      <c r="D127" s="3"/>
      <c r="E127" s="3"/>
      <c r="F127" s="89"/>
      <c r="G127" s="3"/>
      <c r="H127" s="89"/>
      <c r="I127" s="90"/>
      <c r="K127" s="31"/>
    </row>
    <row r="128" spans="2:11" s="13" customFormat="1" x14ac:dyDescent="0.2">
      <c r="B128" s="3"/>
      <c r="C128" s="3"/>
      <c r="D128" s="3"/>
      <c r="E128" s="3"/>
      <c r="F128" s="89"/>
      <c r="G128" s="3"/>
      <c r="H128" s="89"/>
      <c r="I128" s="90"/>
      <c r="K128" s="31"/>
    </row>
    <row r="129" spans="2:11" s="13" customFormat="1" x14ac:dyDescent="0.2">
      <c r="B129" s="3"/>
      <c r="C129" s="3"/>
      <c r="D129" s="3"/>
      <c r="E129" s="3"/>
      <c r="F129" s="89"/>
      <c r="G129" s="3"/>
      <c r="H129" s="89"/>
      <c r="I129" s="90"/>
      <c r="K129" s="31"/>
    </row>
    <row r="130" spans="2:11" s="13" customFormat="1" x14ac:dyDescent="0.2">
      <c r="B130" s="3"/>
      <c r="C130" s="3"/>
      <c r="D130" s="3"/>
      <c r="E130" s="3"/>
      <c r="F130" s="89"/>
      <c r="G130" s="3"/>
      <c r="H130" s="89"/>
      <c r="I130" s="90"/>
      <c r="K130" s="31"/>
    </row>
    <row r="131" spans="2:11" s="13" customFormat="1" x14ac:dyDescent="0.2">
      <c r="B131" s="3"/>
      <c r="C131" s="3"/>
      <c r="D131" s="3"/>
      <c r="E131" s="3"/>
      <c r="F131" s="89"/>
      <c r="G131" s="3"/>
      <c r="H131" s="89"/>
      <c r="I131" s="90"/>
      <c r="K131" s="31"/>
    </row>
    <row r="132" spans="2:11" s="13" customFormat="1" x14ac:dyDescent="0.2">
      <c r="B132" s="3"/>
      <c r="C132" s="3"/>
      <c r="D132" s="3"/>
      <c r="E132" s="3"/>
      <c r="F132" s="89"/>
      <c r="G132" s="3"/>
      <c r="H132" s="89"/>
      <c r="I132" s="90"/>
      <c r="K132" s="31"/>
    </row>
    <row r="133" spans="2:11" s="13" customFormat="1" x14ac:dyDescent="0.2">
      <c r="B133" s="3"/>
      <c r="C133" s="3"/>
      <c r="D133" s="3"/>
      <c r="E133" s="3"/>
      <c r="F133" s="89"/>
      <c r="G133" s="3"/>
      <c r="H133" s="89"/>
      <c r="I133" s="90"/>
      <c r="K133" s="31"/>
    </row>
    <row r="134" spans="2:11" s="13" customFormat="1" x14ac:dyDescent="0.2">
      <c r="B134" s="3"/>
      <c r="C134" s="3"/>
      <c r="D134" s="3"/>
      <c r="E134" s="3"/>
      <c r="F134" s="89"/>
      <c r="G134" s="3"/>
      <c r="H134" s="89"/>
      <c r="I134" s="90"/>
      <c r="K134" s="31"/>
    </row>
    <row r="135" spans="2:11" s="13" customFormat="1" x14ac:dyDescent="0.2">
      <c r="B135" s="3"/>
      <c r="C135" s="3"/>
      <c r="D135" s="3"/>
      <c r="E135" s="3"/>
      <c r="F135" s="89"/>
      <c r="G135" s="3"/>
      <c r="H135" s="89"/>
      <c r="I135" s="90"/>
      <c r="K135" s="31"/>
    </row>
    <row r="136" spans="2:11" s="13" customFormat="1" x14ac:dyDescent="0.2">
      <c r="B136" s="3"/>
      <c r="C136" s="3"/>
      <c r="D136" s="3"/>
      <c r="E136" s="3"/>
      <c r="F136" s="89"/>
      <c r="G136" s="3"/>
      <c r="H136" s="89"/>
      <c r="I136" s="90"/>
      <c r="K136" s="31"/>
    </row>
    <row r="137" spans="2:11" s="13" customFormat="1" x14ac:dyDescent="0.2">
      <c r="B137" s="3"/>
      <c r="C137" s="3"/>
      <c r="D137" s="3"/>
      <c r="E137" s="3"/>
      <c r="F137" s="89"/>
      <c r="G137" s="3"/>
      <c r="H137" s="89"/>
      <c r="I137" s="90"/>
      <c r="K137" s="31"/>
    </row>
    <row r="138" spans="2:11" s="13" customFormat="1" x14ac:dyDescent="0.2">
      <c r="B138" s="3"/>
      <c r="C138" s="3"/>
      <c r="D138" s="3"/>
      <c r="E138" s="3"/>
      <c r="F138" s="89"/>
      <c r="G138" s="3"/>
      <c r="H138" s="89"/>
      <c r="I138" s="90"/>
      <c r="K138" s="31"/>
    </row>
    <row r="139" spans="2:11" s="13" customFormat="1" x14ac:dyDescent="0.2">
      <c r="B139" s="3"/>
      <c r="C139" s="3"/>
      <c r="D139" s="3"/>
      <c r="E139" s="3"/>
      <c r="F139" s="89"/>
      <c r="G139" s="3"/>
      <c r="H139" s="89"/>
      <c r="I139" s="90"/>
      <c r="K139" s="31"/>
    </row>
    <row r="140" spans="2:11" s="13" customFormat="1" x14ac:dyDescent="0.2">
      <c r="B140" s="3"/>
      <c r="C140" s="3"/>
      <c r="D140" s="3"/>
      <c r="E140" s="3"/>
      <c r="F140" s="89"/>
      <c r="G140" s="3"/>
      <c r="H140" s="89"/>
      <c r="I140" s="90"/>
      <c r="K140" s="31"/>
    </row>
    <row r="141" spans="2:11" s="13" customFormat="1" x14ac:dyDescent="0.2">
      <c r="B141" s="3"/>
      <c r="C141" s="3"/>
      <c r="D141" s="3"/>
      <c r="E141" s="3"/>
      <c r="F141" s="89"/>
      <c r="G141" s="3"/>
      <c r="H141" s="89"/>
      <c r="I141" s="90"/>
      <c r="K141" s="31"/>
    </row>
    <row r="142" spans="2:11" s="13" customFormat="1" x14ac:dyDescent="0.2">
      <c r="B142" s="3"/>
      <c r="C142" s="3"/>
      <c r="D142" s="3"/>
      <c r="E142" s="3"/>
      <c r="F142" s="89"/>
      <c r="G142" s="3"/>
      <c r="H142" s="89"/>
      <c r="I142" s="90"/>
      <c r="K142" s="31"/>
    </row>
    <row r="143" spans="2:11" s="13" customFormat="1" x14ac:dyDescent="0.2">
      <c r="B143" s="3"/>
      <c r="C143" s="3"/>
      <c r="D143" s="3"/>
      <c r="E143" s="3"/>
      <c r="F143" s="89"/>
      <c r="G143" s="3"/>
      <c r="H143" s="89"/>
      <c r="I143" s="90"/>
      <c r="K143" s="31"/>
    </row>
    <row r="144" spans="2:11" s="13" customFormat="1" x14ac:dyDescent="0.2">
      <c r="B144" s="3"/>
      <c r="C144" s="3"/>
      <c r="D144" s="3"/>
      <c r="E144" s="3"/>
      <c r="F144" s="89"/>
      <c r="G144" s="3"/>
      <c r="H144" s="89"/>
      <c r="I144" s="90"/>
      <c r="K144" s="31"/>
    </row>
    <row r="145" spans="2:11" s="13" customFormat="1" x14ac:dyDescent="0.2">
      <c r="B145" s="3"/>
      <c r="C145" s="3"/>
      <c r="D145" s="3"/>
      <c r="E145" s="3"/>
      <c r="F145" s="89"/>
      <c r="G145" s="3"/>
      <c r="H145" s="89"/>
      <c r="I145" s="90"/>
      <c r="K145" s="31"/>
    </row>
    <row r="146" spans="2:11" s="13" customFormat="1" x14ac:dyDescent="0.2">
      <c r="B146" s="3"/>
      <c r="C146" s="3"/>
      <c r="D146" s="3"/>
      <c r="E146" s="3"/>
      <c r="F146" s="89"/>
      <c r="G146" s="3"/>
      <c r="H146" s="89"/>
      <c r="I146" s="90"/>
      <c r="K146" s="31"/>
    </row>
    <row r="147" spans="2:11" s="13" customFormat="1" x14ac:dyDescent="0.2">
      <c r="B147" s="3"/>
      <c r="C147" s="3"/>
      <c r="D147" s="3"/>
      <c r="E147" s="3"/>
      <c r="F147" s="89"/>
      <c r="G147" s="3"/>
      <c r="H147" s="89"/>
      <c r="I147" s="90"/>
      <c r="K147" s="31"/>
    </row>
    <row r="148" spans="2:11" s="13" customFormat="1" x14ac:dyDescent="0.2">
      <c r="B148" s="3"/>
      <c r="C148" s="3"/>
      <c r="D148" s="3"/>
      <c r="E148" s="3"/>
      <c r="F148" s="89"/>
      <c r="G148" s="3"/>
      <c r="H148" s="89"/>
      <c r="I148" s="90"/>
      <c r="K148" s="31"/>
    </row>
    <row r="149" spans="2:11" s="13" customFormat="1" x14ac:dyDescent="0.2">
      <c r="B149" s="3"/>
      <c r="C149" s="3"/>
      <c r="D149" s="3"/>
      <c r="E149" s="3"/>
      <c r="F149" s="89"/>
      <c r="G149" s="3"/>
      <c r="H149" s="89"/>
      <c r="I149" s="90"/>
      <c r="K149" s="31"/>
    </row>
    <row r="150" spans="2:11" s="13" customFormat="1" x14ac:dyDescent="0.2">
      <c r="B150" s="3"/>
      <c r="C150" s="3"/>
      <c r="D150" s="3"/>
      <c r="E150" s="3"/>
      <c r="F150" s="89"/>
      <c r="G150" s="3"/>
      <c r="H150" s="89"/>
      <c r="I150" s="90"/>
      <c r="K150" s="31"/>
    </row>
    <row r="151" spans="2:11" s="13" customFormat="1" x14ac:dyDescent="0.2">
      <c r="B151" s="3"/>
      <c r="C151" s="3"/>
      <c r="D151" s="3"/>
      <c r="E151" s="3"/>
      <c r="F151" s="89"/>
      <c r="G151" s="3"/>
      <c r="H151" s="89"/>
      <c r="I151" s="90"/>
      <c r="K151" s="31"/>
    </row>
    <row r="152" spans="2:11" s="13" customFormat="1" x14ac:dyDescent="0.2">
      <c r="B152" s="3"/>
      <c r="C152" s="3"/>
      <c r="D152" s="3"/>
      <c r="E152" s="3"/>
      <c r="F152" s="89"/>
      <c r="G152" s="3"/>
      <c r="H152" s="89"/>
      <c r="I152" s="90"/>
      <c r="K152" s="31"/>
    </row>
    <row r="153" spans="2:11" s="13" customFormat="1" x14ac:dyDescent="0.2">
      <c r="B153" s="3"/>
      <c r="C153" s="3"/>
      <c r="D153" s="3"/>
      <c r="E153" s="3"/>
      <c r="F153" s="89"/>
      <c r="G153" s="3"/>
      <c r="H153" s="89"/>
      <c r="I153" s="90"/>
      <c r="K153" s="31"/>
    </row>
    <row r="154" spans="2:11" s="13" customFormat="1" x14ac:dyDescent="0.2">
      <c r="B154" s="3"/>
      <c r="C154" s="3"/>
      <c r="D154" s="3"/>
      <c r="E154" s="3"/>
      <c r="F154" s="89"/>
      <c r="G154" s="3"/>
      <c r="H154" s="89"/>
      <c r="I154" s="90"/>
      <c r="K154" s="31"/>
    </row>
    <row r="155" spans="2:11" s="13" customFormat="1" x14ac:dyDescent="0.2">
      <c r="B155" s="3"/>
      <c r="C155" s="3"/>
      <c r="D155" s="3"/>
      <c r="E155" s="3"/>
      <c r="F155" s="89"/>
      <c r="G155" s="3"/>
      <c r="H155" s="89"/>
      <c r="I155" s="90"/>
      <c r="K155" s="31"/>
    </row>
    <row r="156" spans="2:11" s="13" customFormat="1" x14ac:dyDescent="0.2">
      <c r="B156" s="3"/>
      <c r="C156" s="3"/>
      <c r="D156" s="3"/>
      <c r="E156" s="3"/>
      <c r="F156" s="89"/>
      <c r="G156" s="3"/>
      <c r="H156" s="89"/>
      <c r="I156" s="90"/>
      <c r="K156" s="31"/>
    </row>
    <row r="157" spans="2:11" s="13" customFormat="1" x14ac:dyDescent="0.2">
      <c r="B157" s="3"/>
      <c r="C157" s="3"/>
      <c r="D157" s="3"/>
      <c r="E157" s="3"/>
      <c r="F157" s="89"/>
      <c r="G157" s="3"/>
      <c r="H157" s="89"/>
      <c r="I157" s="90"/>
      <c r="K157" s="31"/>
    </row>
    <row r="158" spans="2:11" s="13" customFormat="1" x14ac:dyDescent="0.2">
      <c r="B158" s="3"/>
      <c r="C158" s="3"/>
      <c r="D158" s="3"/>
      <c r="E158" s="3"/>
      <c r="F158" s="89"/>
      <c r="G158" s="3"/>
      <c r="H158" s="89"/>
      <c r="I158" s="90"/>
      <c r="K158" s="31"/>
    </row>
    <row r="159" spans="2:11" s="13" customFormat="1" x14ac:dyDescent="0.2">
      <c r="B159" s="3"/>
      <c r="C159" s="3"/>
      <c r="D159" s="3"/>
      <c r="E159" s="3"/>
      <c r="F159" s="89"/>
      <c r="G159" s="3"/>
      <c r="H159" s="89"/>
      <c r="I159" s="90"/>
      <c r="K159" s="31"/>
    </row>
    <row r="160" spans="2:11" s="13" customFormat="1" x14ac:dyDescent="0.2">
      <c r="B160" s="3"/>
      <c r="C160" s="3"/>
      <c r="D160" s="3"/>
      <c r="E160" s="3"/>
      <c r="F160" s="89"/>
      <c r="G160" s="3"/>
      <c r="H160" s="89"/>
      <c r="I160" s="90"/>
      <c r="K160" s="31"/>
    </row>
    <row r="161" spans="2:11" s="13" customFormat="1" x14ac:dyDescent="0.2">
      <c r="B161" s="3"/>
      <c r="C161" s="3"/>
      <c r="D161" s="3"/>
      <c r="E161" s="3"/>
      <c r="F161" s="89"/>
      <c r="G161" s="3"/>
      <c r="H161" s="89"/>
      <c r="I161" s="90"/>
      <c r="K161" s="31"/>
    </row>
    <row r="162" spans="2:11" s="13" customFormat="1" x14ac:dyDescent="0.2">
      <c r="B162" s="3"/>
      <c r="C162" s="3"/>
      <c r="D162" s="3"/>
      <c r="E162" s="3"/>
      <c r="F162" s="89"/>
      <c r="G162" s="3"/>
      <c r="H162" s="89"/>
      <c r="I162" s="90"/>
      <c r="K162" s="31"/>
    </row>
    <row r="163" spans="2:11" s="13" customFormat="1" x14ac:dyDescent="0.2">
      <c r="B163" s="3"/>
      <c r="C163" s="3"/>
      <c r="D163" s="3"/>
      <c r="E163" s="3"/>
      <c r="F163" s="89"/>
      <c r="G163" s="3"/>
      <c r="H163" s="89"/>
      <c r="I163" s="90"/>
      <c r="K163" s="31"/>
    </row>
    <row r="164" spans="2:11" s="13" customFormat="1" x14ac:dyDescent="0.2">
      <c r="B164" s="3"/>
      <c r="C164" s="3"/>
      <c r="D164" s="3"/>
      <c r="E164" s="3"/>
      <c r="F164" s="89"/>
      <c r="G164" s="3"/>
      <c r="H164" s="89"/>
      <c r="I164" s="90"/>
      <c r="K164" s="31"/>
    </row>
    <row r="165" spans="2:11" s="13" customFormat="1" x14ac:dyDescent="0.2">
      <c r="B165" s="3"/>
      <c r="C165" s="3"/>
      <c r="D165" s="3"/>
      <c r="E165" s="3"/>
      <c r="F165" s="89"/>
      <c r="G165" s="3"/>
      <c r="H165" s="89"/>
      <c r="I165" s="90"/>
      <c r="K165" s="31"/>
    </row>
    <row r="166" spans="2:11" s="13" customFormat="1" x14ac:dyDescent="0.2">
      <c r="B166" s="3"/>
      <c r="C166" s="3"/>
      <c r="D166" s="3"/>
      <c r="E166" s="3"/>
      <c r="F166" s="89"/>
      <c r="G166" s="3"/>
      <c r="H166" s="89"/>
      <c r="I166" s="90"/>
      <c r="K166" s="31"/>
    </row>
    <row r="167" spans="2:11" s="13" customFormat="1" x14ac:dyDescent="0.2">
      <c r="B167" s="3"/>
      <c r="C167" s="3"/>
      <c r="D167" s="3"/>
      <c r="E167" s="3"/>
      <c r="F167" s="89"/>
      <c r="G167" s="3"/>
      <c r="H167" s="89"/>
      <c r="I167" s="90"/>
      <c r="K167" s="31"/>
    </row>
    <row r="168" spans="2:11" s="13" customFormat="1" x14ac:dyDescent="0.2">
      <c r="B168" s="3"/>
      <c r="C168" s="3"/>
      <c r="D168" s="3"/>
      <c r="E168" s="3"/>
      <c r="F168" s="89"/>
      <c r="G168" s="3"/>
      <c r="H168" s="89"/>
      <c r="I168" s="90"/>
      <c r="K168" s="31"/>
    </row>
    <row r="169" spans="2:11" s="13" customFormat="1" x14ac:dyDescent="0.2">
      <c r="B169" s="3"/>
      <c r="C169" s="3"/>
      <c r="D169" s="3"/>
      <c r="E169" s="3"/>
      <c r="F169" s="89"/>
      <c r="G169" s="3"/>
      <c r="H169" s="89"/>
      <c r="I169" s="90"/>
      <c r="K169" s="31"/>
    </row>
    <row r="170" spans="2:11" s="13" customFormat="1" x14ac:dyDescent="0.2">
      <c r="B170" s="3"/>
      <c r="C170" s="3"/>
      <c r="D170" s="3"/>
      <c r="E170" s="3"/>
      <c r="F170" s="89"/>
      <c r="G170" s="3"/>
      <c r="H170" s="89"/>
      <c r="I170" s="90"/>
      <c r="K170" s="31"/>
    </row>
    <row r="171" spans="2:11" s="13" customFormat="1" x14ac:dyDescent="0.2">
      <c r="B171" s="3"/>
      <c r="C171" s="3"/>
      <c r="D171" s="3"/>
      <c r="E171" s="3"/>
      <c r="F171" s="89"/>
      <c r="G171" s="3"/>
      <c r="H171" s="89"/>
      <c r="I171" s="90"/>
      <c r="K171" s="31"/>
    </row>
    <row r="172" spans="2:11" s="13" customFormat="1" x14ac:dyDescent="0.2">
      <c r="B172" s="3"/>
      <c r="C172" s="3"/>
      <c r="D172" s="3"/>
      <c r="E172" s="3"/>
      <c r="F172" s="89"/>
      <c r="G172" s="3"/>
      <c r="H172" s="89"/>
      <c r="I172" s="90"/>
      <c r="K172" s="31"/>
    </row>
    <row r="173" spans="2:11" s="13" customFormat="1" x14ac:dyDescent="0.2">
      <c r="B173" s="3"/>
      <c r="C173" s="3"/>
      <c r="D173" s="3"/>
      <c r="E173" s="3"/>
      <c r="F173" s="89"/>
      <c r="G173" s="3"/>
      <c r="H173" s="89"/>
      <c r="I173" s="90"/>
      <c r="K173" s="31"/>
    </row>
    <row r="174" spans="2:11" s="13" customFormat="1" x14ac:dyDescent="0.2">
      <c r="B174" s="3"/>
      <c r="C174" s="3"/>
      <c r="D174" s="3"/>
      <c r="E174" s="3"/>
      <c r="F174" s="89"/>
      <c r="G174" s="3"/>
      <c r="H174" s="89"/>
      <c r="I174" s="90"/>
      <c r="K174" s="31"/>
    </row>
    <row r="175" spans="2:11" s="13" customFormat="1" x14ac:dyDescent="0.2">
      <c r="B175" s="3"/>
      <c r="C175" s="3"/>
      <c r="D175" s="3"/>
      <c r="E175" s="3"/>
      <c r="F175" s="89"/>
      <c r="G175" s="3"/>
      <c r="H175" s="89"/>
      <c r="I175" s="90"/>
      <c r="K175" s="31"/>
    </row>
    <row r="176" spans="2:11" s="13" customFormat="1" x14ac:dyDescent="0.2">
      <c r="B176" s="3"/>
      <c r="C176" s="3"/>
      <c r="D176" s="3"/>
      <c r="E176" s="3"/>
      <c r="F176" s="89"/>
      <c r="G176" s="3"/>
      <c r="H176" s="89"/>
      <c r="I176" s="90"/>
      <c r="K176" s="31"/>
    </row>
    <row r="177" spans="2:11" s="13" customFormat="1" x14ac:dyDescent="0.2">
      <c r="B177" s="3"/>
      <c r="C177" s="3"/>
      <c r="D177" s="3"/>
      <c r="E177" s="3"/>
      <c r="F177" s="89"/>
      <c r="G177" s="3"/>
      <c r="H177" s="89"/>
      <c r="I177" s="90"/>
      <c r="K177" s="31"/>
    </row>
    <row r="178" spans="2:11" s="13" customFormat="1" x14ac:dyDescent="0.2">
      <c r="B178" s="3"/>
      <c r="C178" s="3"/>
      <c r="D178" s="3"/>
      <c r="E178" s="3"/>
      <c r="F178" s="89"/>
      <c r="G178" s="3"/>
      <c r="H178" s="89"/>
      <c r="I178" s="90"/>
      <c r="K178" s="31"/>
    </row>
    <row r="179" spans="2:11" s="13" customFormat="1" x14ac:dyDescent="0.2">
      <c r="B179" s="3"/>
      <c r="C179" s="3"/>
      <c r="D179" s="3"/>
      <c r="E179" s="3"/>
      <c r="F179" s="89"/>
      <c r="G179" s="3"/>
      <c r="H179" s="89"/>
      <c r="I179" s="90"/>
      <c r="K179" s="31"/>
    </row>
    <row r="180" spans="2:11" s="13" customFormat="1" x14ac:dyDescent="0.2">
      <c r="B180" s="3"/>
      <c r="C180" s="3"/>
      <c r="D180" s="3"/>
      <c r="E180" s="3"/>
      <c r="F180" s="89"/>
      <c r="G180" s="3"/>
      <c r="H180" s="89"/>
      <c r="I180" s="90"/>
      <c r="K180" s="31"/>
    </row>
    <row r="181" spans="2:11" s="13" customFormat="1" x14ac:dyDescent="0.2">
      <c r="B181" s="3"/>
      <c r="C181" s="3"/>
      <c r="D181" s="3"/>
      <c r="E181" s="3"/>
      <c r="F181" s="89"/>
      <c r="G181" s="3"/>
      <c r="H181" s="89"/>
      <c r="I181" s="90"/>
      <c r="K181" s="31"/>
    </row>
    <row r="182" spans="2:11" s="13" customFormat="1" x14ac:dyDescent="0.2">
      <c r="B182" s="3"/>
      <c r="C182" s="3"/>
      <c r="D182" s="3"/>
      <c r="E182" s="3"/>
      <c r="F182" s="89"/>
      <c r="G182" s="3"/>
      <c r="H182" s="89"/>
      <c r="I182" s="90"/>
      <c r="K182" s="31"/>
    </row>
    <row r="183" spans="2:11" s="13" customFormat="1" x14ac:dyDescent="0.2">
      <c r="B183" s="3"/>
      <c r="C183" s="3"/>
      <c r="D183" s="3"/>
      <c r="E183" s="3"/>
      <c r="F183" s="89"/>
      <c r="G183" s="3"/>
      <c r="H183" s="89"/>
      <c r="I183" s="90"/>
      <c r="K183" s="31"/>
    </row>
    <row r="184" spans="2:11" s="13" customFormat="1" x14ac:dyDescent="0.2">
      <c r="B184" s="3"/>
      <c r="C184" s="3"/>
      <c r="D184" s="3"/>
      <c r="E184" s="3"/>
      <c r="F184" s="89"/>
      <c r="G184" s="3"/>
      <c r="H184" s="89"/>
      <c r="I184" s="90"/>
      <c r="K184" s="31"/>
    </row>
    <row r="185" spans="2:11" s="13" customFormat="1" x14ac:dyDescent="0.2">
      <c r="B185" s="3"/>
      <c r="C185" s="3"/>
      <c r="D185" s="3"/>
      <c r="E185" s="3"/>
      <c r="F185" s="89"/>
      <c r="G185" s="3"/>
      <c r="H185" s="89"/>
      <c r="I185" s="90"/>
      <c r="K185" s="31"/>
    </row>
    <row r="186" spans="2:11" s="13" customFormat="1" x14ac:dyDescent="0.2">
      <c r="B186" s="3"/>
      <c r="C186" s="3"/>
      <c r="D186" s="3"/>
      <c r="E186" s="3"/>
      <c r="F186" s="89"/>
      <c r="G186" s="3"/>
      <c r="H186" s="89"/>
      <c r="I186" s="90"/>
      <c r="K186" s="31"/>
    </row>
    <row r="187" spans="2:11" s="13" customFormat="1" x14ac:dyDescent="0.2">
      <c r="B187" s="3"/>
      <c r="C187" s="3"/>
      <c r="D187" s="3"/>
      <c r="E187" s="3"/>
      <c r="F187" s="89"/>
      <c r="G187" s="3"/>
      <c r="H187" s="89"/>
      <c r="I187" s="90"/>
      <c r="K187" s="31"/>
    </row>
    <row r="188" spans="2:11" s="13" customFormat="1" x14ac:dyDescent="0.2">
      <c r="B188" s="3"/>
      <c r="C188" s="3"/>
      <c r="D188" s="3"/>
      <c r="E188" s="3"/>
      <c r="F188" s="89"/>
      <c r="G188" s="3"/>
      <c r="H188" s="89"/>
      <c r="I188" s="90"/>
      <c r="K188" s="31"/>
    </row>
    <row r="189" spans="2:11" s="13" customFormat="1" x14ac:dyDescent="0.2">
      <c r="B189" s="3"/>
      <c r="C189" s="3"/>
      <c r="D189" s="3"/>
      <c r="E189" s="3"/>
      <c r="F189" s="89"/>
      <c r="G189" s="3"/>
      <c r="H189" s="89"/>
      <c r="I189" s="90"/>
      <c r="K189" s="31"/>
    </row>
    <row r="190" spans="2:11" s="13" customFormat="1" x14ac:dyDescent="0.2">
      <c r="B190" s="3"/>
      <c r="C190" s="3"/>
      <c r="D190" s="3"/>
      <c r="E190" s="3"/>
      <c r="F190" s="89"/>
      <c r="G190" s="3"/>
      <c r="H190" s="89"/>
      <c r="I190" s="90"/>
      <c r="K190" s="31"/>
    </row>
    <row r="191" spans="2:11" s="13" customFormat="1" x14ac:dyDescent="0.2">
      <c r="B191" s="3"/>
      <c r="C191" s="3"/>
      <c r="D191" s="3"/>
      <c r="E191" s="3"/>
      <c r="F191" s="89"/>
      <c r="G191" s="3"/>
      <c r="H191" s="89"/>
      <c r="I191" s="90"/>
      <c r="K191" s="31"/>
    </row>
    <row r="192" spans="2:11" s="13" customFormat="1" x14ac:dyDescent="0.2">
      <c r="B192" s="3"/>
      <c r="C192" s="3"/>
      <c r="D192" s="3"/>
      <c r="E192" s="3"/>
      <c r="F192" s="89"/>
      <c r="G192" s="3"/>
      <c r="H192" s="89"/>
      <c r="I192" s="90"/>
      <c r="K192" s="31"/>
    </row>
    <row r="193" spans="2:11" s="13" customFormat="1" x14ac:dyDescent="0.2">
      <c r="B193" s="3"/>
      <c r="C193" s="3"/>
      <c r="D193" s="3"/>
      <c r="E193" s="3"/>
      <c r="F193" s="89"/>
      <c r="G193" s="3"/>
      <c r="H193" s="89"/>
      <c r="I193" s="90"/>
      <c r="K193" s="31"/>
    </row>
    <row r="194" spans="2:11" s="13" customFormat="1" x14ac:dyDescent="0.2">
      <c r="B194" s="3"/>
      <c r="C194" s="3"/>
      <c r="D194" s="3"/>
      <c r="E194" s="3"/>
      <c r="F194" s="89"/>
      <c r="G194" s="3"/>
      <c r="H194" s="89"/>
      <c r="I194" s="90"/>
      <c r="K194" s="31"/>
    </row>
    <row r="195" spans="2:11" s="13" customFormat="1" x14ac:dyDescent="0.2">
      <c r="B195" s="3"/>
      <c r="C195" s="3"/>
      <c r="D195" s="3"/>
      <c r="E195" s="3"/>
      <c r="F195" s="89"/>
      <c r="G195" s="3"/>
      <c r="H195" s="89"/>
      <c r="I195" s="90"/>
      <c r="K195" s="31"/>
    </row>
    <row r="196" spans="2:11" s="13" customFormat="1" x14ac:dyDescent="0.2">
      <c r="B196" s="3"/>
      <c r="C196" s="3"/>
      <c r="D196" s="3"/>
      <c r="E196" s="3"/>
      <c r="F196" s="89"/>
      <c r="G196" s="3"/>
      <c r="H196" s="89"/>
      <c r="I196" s="90"/>
      <c r="K196" s="31"/>
    </row>
    <row r="197" spans="2:11" s="13" customFormat="1" x14ac:dyDescent="0.2">
      <c r="B197" s="3"/>
      <c r="C197" s="3"/>
      <c r="D197" s="3"/>
      <c r="E197" s="3"/>
      <c r="F197" s="89"/>
      <c r="G197" s="3"/>
      <c r="H197" s="89"/>
      <c r="I197" s="90"/>
      <c r="K197" s="31"/>
    </row>
    <row r="198" spans="2:11" s="13" customFormat="1" x14ac:dyDescent="0.2">
      <c r="B198" s="3"/>
      <c r="C198" s="3"/>
      <c r="D198" s="3"/>
      <c r="E198" s="3"/>
      <c r="F198" s="89"/>
      <c r="G198" s="3"/>
      <c r="H198" s="89"/>
      <c r="I198" s="90"/>
      <c r="K198" s="31"/>
    </row>
    <row r="199" spans="2:11" s="13" customFormat="1" x14ac:dyDescent="0.2">
      <c r="B199" s="3"/>
      <c r="C199" s="3"/>
      <c r="D199" s="3"/>
      <c r="E199" s="3"/>
      <c r="F199" s="89"/>
      <c r="G199" s="3"/>
      <c r="H199" s="89"/>
      <c r="I199" s="90"/>
      <c r="K199" s="31"/>
    </row>
    <row r="200" spans="2:11" s="13" customFormat="1" x14ac:dyDescent="0.2">
      <c r="B200" s="3"/>
      <c r="C200" s="3"/>
      <c r="D200" s="3"/>
      <c r="E200" s="3"/>
      <c r="F200" s="89"/>
      <c r="G200" s="3"/>
      <c r="H200" s="89"/>
      <c r="I200" s="90"/>
      <c r="K200" s="31"/>
    </row>
    <row r="201" spans="2:11" s="13" customFormat="1" x14ac:dyDescent="0.2">
      <c r="B201" s="3"/>
      <c r="C201" s="3"/>
      <c r="D201" s="3"/>
      <c r="E201" s="3"/>
      <c r="F201" s="89"/>
      <c r="G201" s="3"/>
      <c r="H201" s="89"/>
      <c r="I201" s="90"/>
      <c r="K201" s="31"/>
    </row>
    <row r="202" spans="2:11" s="13" customFormat="1" x14ac:dyDescent="0.2">
      <c r="B202" s="3"/>
      <c r="C202" s="3"/>
      <c r="D202" s="3"/>
      <c r="E202" s="3"/>
      <c r="F202" s="89"/>
      <c r="G202" s="3"/>
      <c r="H202" s="89"/>
      <c r="I202" s="90"/>
      <c r="K202" s="31"/>
    </row>
    <row r="203" spans="2:11" s="13" customFormat="1" x14ac:dyDescent="0.2">
      <c r="B203" s="3"/>
      <c r="C203" s="3"/>
      <c r="D203" s="3"/>
      <c r="E203" s="3"/>
      <c r="F203" s="89"/>
      <c r="G203" s="3"/>
      <c r="H203" s="89"/>
      <c r="I203" s="90"/>
      <c r="K203" s="31"/>
    </row>
    <row r="204" spans="2:11" s="13" customFormat="1" x14ac:dyDescent="0.2">
      <c r="B204" s="3"/>
      <c r="C204" s="3"/>
      <c r="D204" s="3"/>
      <c r="E204" s="3"/>
      <c r="F204" s="89"/>
      <c r="G204" s="3"/>
      <c r="H204" s="89"/>
      <c r="I204" s="90"/>
      <c r="K204" s="31"/>
    </row>
    <row r="205" spans="2:11" s="13" customFormat="1" x14ac:dyDescent="0.2">
      <c r="B205" s="3"/>
      <c r="C205" s="3"/>
      <c r="D205" s="3"/>
      <c r="E205" s="3"/>
      <c r="F205" s="89"/>
      <c r="G205" s="3"/>
      <c r="H205" s="89"/>
      <c r="I205" s="90"/>
      <c r="K205" s="31"/>
    </row>
    <row r="206" spans="2:11" s="13" customFormat="1" x14ac:dyDescent="0.2">
      <c r="B206" s="3"/>
      <c r="C206" s="3"/>
      <c r="D206" s="3"/>
      <c r="E206" s="3"/>
      <c r="F206" s="89"/>
      <c r="G206" s="3"/>
      <c r="H206" s="89"/>
      <c r="I206" s="90"/>
      <c r="K206" s="31"/>
    </row>
    <row r="207" spans="2:11" s="13" customFormat="1" x14ac:dyDescent="0.2">
      <c r="B207" s="3"/>
      <c r="C207" s="3"/>
      <c r="D207" s="3"/>
      <c r="E207" s="3"/>
      <c r="F207" s="89"/>
      <c r="G207" s="3"/>
      <c r="H207" s="89"/>
      <c r="I207" s="90"/>
      <c r="K207" s="31"/>
    </row>
    <row r="208" spans="2:11" s="13" customFormat="1" x14ac:dyDescent="0.2">
      <c r="B208" s="3"/>
      <c r="C208" s="3"/>
      <c r="D208" s="3"/>
      <c r="E208" s="3"/>
      <c r="F208" s="89"/>
      <c r="G208" s="3"/>
      <c r="H208" s="89"/>
      <c r="I208" s="90"/>
      <c r="K208" s="31"/>
    </row>
    <row r="209" spans="2:11" s="13" customFormat="1" x14ac:dyDescent="0.2">
      <c r="B209" s="3"/>
      <c r="C209" s="3"/>
      <c r="D209" s="3"/>
      <c r="E209" s="3"/>
      <c r="F209" s="89"/>
      <c r="G209" s="3"/>
      <c r="H209" s="89"/>
      <c r="I209" s="90"/>
      <c r="K209" s="31"/>
    </row>
    <row r="210" spans="2:11" s="13" customFormat="1" x14ac:dyDescent="0.2">
      <c r="B210" s="3"/>
      <c r="C210" s="3"/>
      <c r="D210" s="3"/>
      <c r="E210" s="3"/>
      <c r="F210" s="89"/>
      <c r="G210" s="3"/>
      <c r="H210" s="89"/>
      <c r="I210" s="90"/>
      <c r="K210" s="31"/>
    </row>
    <row r="211" spans="2:11" s="13" customFormat="1" x14ac:dyDescent="0.2">
      <c r="B211" s="3"/>
      <c r="C211" s="3"/>
      <c r="D211" s="3"/>
      <c r="E211" s="3"/>
      <c r="F211" s="89"/>
      <c r="G211" s="3"/>
      <c r="H211" s="89"/>
      <c r="I211" s="90"/>
      <c r="K211" s="31"/>
    </row>
    <row r="212" spans="2:11" s="13" customFormat="1" x14ac:dyDescent="0.2">
      <c r="B212" s="3"/>
      <c r="C212" s="3"/>
      <c r="D212" s="3"/>
      <c r="E212" s="3"/>
      <c r="F212" s="89"/>
      <c r="G212" s="3"/>
      <c r="H212" s="89"/>
      <c r="I212" s="90"/>
      <c r="K212" s="31"/>
    </row>
    <row r="213" spans="2:11" s="13" customFormat="1" x14ac:dyDescent="0.2">
      <c r="B213" s="3"/>
      <c r="C213" s="3"/>
      <c r="D213" s="3"/>
      <c r="E213" s="3"/>
      <c r="F213" s="89"/>
      <c r="G213" s="3"/>
      <c r="H213" s="89"/>
      <c r="I213" s="90"/>
      <c r="K213" s="31"/>
    </row>
    <row r="214" spans="2:11" s="13" customFormat="1" x14ac:dyDescent="0.2">
      <c r="B214" s="3"/>
      <c r="C214" s="3"/>
      <c r="D214" s="3"/>
      <c r="E214" s="3"/>
      <c r="F214" s="89"/>
      <c r="G214" s="3"/>
      <c r="H214" s="89"/>
      <c r="I214" s="90"/>
      <c r="K214" s="31"/>
    </row>
    <row r="215" spans="2:11" s="13" customFormat="1" x14ac:dyDescent="0.2">
      <c r="B215" s="3"/>
      <c r="C215" s="3"/>
      <c r="D215" s="3"/>
      <c r="E215" s="3"/>
      <c r="F215" s="89"/>
      <c r="G215" s="3"/>
      <c r="H215" s="89"/>
      <c r="I215" s="90"/>
      <c r="K215" s="31"/>
    </row>
    <row r="216" spans="2:11" s="13" customFormat="1" x14ac:dyDescent="0.2">
      <c r="B216" s="3"/>
      <c r="C216" s="3"/>
      <c r="D216" s="3"/>
      <c r="E216" s="3"/>
      <c r="F216" s="89"/>
      <c r="G216" s="3"/>
      <c r="H216" s="89"/>
      <c r="I216" s="90"/>
      <c r="K216" s="31"/>
    </row>
    <row r="217" spans="2:11" s="13" customFormat="1" x14ac:dyDescent="0.2">
      <c r="B217" s="3"/>
      <c r="C217" s="3"/>
      <c r="D217" s="3"/>
      <c r="E217" s="3"/>
      <c r="F217" s="89"/>
      <c r="G217" s="3"/>
      <c r="H217" s="89"/>
      <c r="I217" s="90"/>
      <c r="K217" s="31"/>
    </row>
    <row r="218" spans="2:11" s="13" customFormat="1" x14ac:dyDescent="0.2">
      <c r="B218" s="3"/>
      <c r="C218" s="3"/>
      <c r="D218" s="3"/>
      <c r="E218" s="3"/>
      <c r="F218" s="89"/>
      <c r="G218" s="3"/>
      <c r="H218" s="89"/>
      <c r="I218" s="90"/>
      <c r="K218" s="31"/>
    </row>
    <row r="219" spans="2:11" s="13" customFormat="1" x14ac:dyDescent="0.2">
      <c r="B219" s="3"/>
      <c r="C219" s="3"/>
      <c r="D219" s="3"/>
      <c r="E219" s="3"/>
      <c r="F219" s="89"/>
      <c r="G219" s="3"/>
      <c r="H219" s="89"/>
      <c r="I219" s="90"/>
      <c r="K219" s="31"/>
    </row>
    <row r="220" spans="2:11" s="13" customFormat="1" x14ac:dyDescent="0.2">
      <c r="B220" s="3"/>
      <c r="C220" s="3"/>
      <c r="D220" s="3"/>
      <c r="E220" s="3"/>
      <c r="F220" s="89"/>
      <c r="G220" s="3"/>
      <c r="H220" s="89"/>
      <c r="I220" s="90"/>
      <c r="K220" s="31"/>
    </row>
    <row r="221" spans="2:11" s="13" customFormat="1" x14ac:dyDescent="0.2">
      <c r="B221" s="3"/>
      <c r="C221" s="3"/>
      <c r="D221" s="3"/>
      <c r="E221" s="3"/>
      <c r="F221" s="89"/>
      <c r="G221" s="3"/>
      <c r="H221" s="89"/>
      <c r="I221" s="90"/>
      <c r="K221" s="31"/>
    </row>
    <row r="222" spans="2:11" s="13" customFormat="1" x14ac:dyDescent="0.2">
      <c r="B222" s="3"/>
      <c r="C222" s="3"/>
      <c r="D222" s="3"/>
      <c r="E222" s="3"/>
      <c r="F222" s="89"/>
      <c r="G222" s="3"/>
      <c r="H222" s="89"/>
      <c r="I222" s="90"/>
      <c r="K222" s="31"/>
    </row>
    <row r="223" spans="2:11" s="13" customFormat="1" x14ac:dyDescent="0.2">
      <c r="B223" s="3"/>
      <c r="C223" s="3"/>
      <c r="D223" s="3"/>
      <c r="E223" s="3"/>
      <c r="F223" s="89"/>
      <c r="G223" s="3"/>
      <c r="H223" s="89"/>
      <c r="I223" s="90"/>
      <c r="K223" s="31"/>
    </row>
    <row r="224" spans="2:11" s="13" customFormat="1" x14ac:dyDescent="0.2">
      <c r="B224" s="3"/>
      <c r="C224" s="3"/>
      <c r="D224" s="3"/>
      <c r="E224" s="3"/>
      <c r="F224" s="89"/>
      <c r="G224" s="3"/>
      <c r="H224" s="89"/>
      <c r="I224" s="90"/>
      <c r="K224" s="31"/>
    </row>
    <row r="225" spans="2:11" s="13" customFormat="1" x14ac:dyDescent="0.2">
      <c r="B225" s="3"/>
      <c r="C225" s="3"/>
      <c r="D225" s="3"/>
      <c r="E225" s="3"/>
      <c r="F225" s="89"/>
      <c r="G225" s="3"/>
      <c r="H225" s="89"/>
      <c r="I225" s="90"/>
      <c r="K225" s="31"/>
    </row>
    <row r="226" spans="2:11" s="13" customFormat="1" x14ac:dyDescent="0.2">
      <c r="B226" s="3"/>
      <c r="C226" s="3"/>
      <c r="D226" s="3"/>
      <c r="E226" s="3"/>
      <c r="F226" s="89"/>
      <c r="G226" s="3"/>
      <c r="H226" s="89"/>
      <c r="I226" s="90"/>
      <c r="K226" s="31"/>
    </row>
    <row r="227" spans="2:11" s="13" customFormat="1" x14ac:dyDescent="0.2">
      <c r="B227" s="3"/>
      <c r="C227" s="3"/>
      <c r="D227" s="3"/>
      <c r="E227" s="3"/>
      <c r="F227" s="89"/>
      <c r="G227" s="3"/>
      <c r="H227" s="89"/>
      <c r="I227" s="90"/>
      <c r="K227" s="31"/>
    </row>
    <row r="228" spans="2:11" s="13" customFormat="1" x14ac:dyDescent="0.2">
      <c r="B228" s="3"/>
      <c r="C228" s="3"/>
      <c r="D228" s="3"/>
      <c r="E228" s="3"/>
      <c r="F228" s="89"/>
      <c r="G228" s="3"/>
      <c r="H228" s="89"/>
      <c r="I228" s="90"/>
      <c r="K228" s="31"/>
    </row>
    <row r="229" spans="2:11" s="13" customFormat="1" x14ac:dyDescent="0.2">
      <c r="B229" s="3"/>
      <c r="C229" s="3"/>
      <c r="D229" s="3"/>
      <c r="E229" s="3"/>
      <c r="F229" s="89"/>
      <c r="G229" s="3"/>
      <c r="H229" s="89"/>
      <c r="I229" s="90"/>
      <c r="K229" s="31"/>
    </row>
    <row r="230" spans="2:11" s="13" customFormat="1" x14ac:dyDescent="0.2">
      <c r="B230" s="3"/>
      <c r="C230" s="3"/>
      <c r="D230" s="3"/>
      <c r="E230" s="3"/>
      <c r="F230" s="89"/>
      <c r="G230" s="3"/>
      <c r="H230" s="89"/>
      <c r="I230" s="90"/>
      <c r="K230" s="31"/>
    </row>
    <row r="231" spans="2:11" s="13" customFormat="1" x14ac:dyDescent="0.2">
      <c r="B231" s="3"/>
      <c r="C231" s="3"/>
      <c r="D231" s="3"/>
      <c r="E231" s="3"/>
      <c r="F231" s="89"/>
      <c r="G231" s="3"/>
      <c r="H231" s="89"/>
      <c r="I231" s="90"/>
      <c r="K231" s="31"/>
    </row>
    <row r="232" spans="2:11" s="13" customFormat="1" x14ac:dyDescent="0.2">
      <c r="B232" s="3"/>
      <c r="C232" s="3"/>
      <c r="D232" s="3"/>
      <c r="E232" s="3"/>
      <c r="F232" s="89"/>
      <c r="G232" s="3"/>
      <c r="H232" s="89"/>
      <c r="I232" s="90"/>
      <c r="K232" s="31"/>
    </row>
    <row r="233" spans="2:11" s="13" customFormat="1" x14ac:dyDescent="0.2">
      <c r="B233" s="3"/>
      <c r="C233" s="3"/>
      <c r="D233" s="3"/>
      <c r="E233" s="3"/>
      <c r="F233" s="89"/>
      <c r="G233" s="3"/>
      <c r="H233" s="89"/>
      <c r="I233" s="90"/>
      <c r="K233" s="31"/>
    </row>
    <row r="234" spans="2:11" s="13" customFormat="1" x14ac:dyDescent="0.2">
      <c r="B234" s="3"/>
      <c r="C234" s="3"/>
      <c r="D234" s="3"/>
      <c r="E234" s="3"/>
      <c r="F234" s="89"/>
      <c r="G234" s="3"/>
      <c r="H234" s="89"/>
      <c r="I234" s="90"/>
      <c r="K234" s="31"/>
    </row>
    <row r="235" spans="2:11" s="13" customFormat="1" x14ac:dyDescent="0.2">
      <c r="B235" s="3"/>
      <c r="C235" s="3"/>
      <c r="D235" s="3"/>
      <c r="E235" s="3"/>
      <c r="F235" s="89"/>
      <c r="G235" s="3"/>
      <c r="H235" s="89"/>
      <c r="I235" s="90"/>
      <c r="K235" s="31"/>
    </row>
    <row r="236" spans="2:11" s="13" customFormat="1" x14ac:dyDescent="0.2">
      <c r="B236" s="3"/>
      <c r="C236" s="3"/>
      <c r="D236" s="3"/>
      <c r="E236" s="3"/>
      <c r="F236" s="89"/>
      <c r="G236" s="3"/>
      <c r="H236" s="89"/>
      <c r="I236" s="90"/>
      <c r="K236" s="31"/>
    </row>
    <row r="237" spans="2:11" s="13" customFormat="1" x14ac:dyDescent="0.2">
      <c r="B237" s="3"/>
      <c r="C237" s="3"/>
      <c r="D237" s="3"/>
      <c r="E237" s="3"/>
      <c r="F237" s="89"/>
      <c r="G237" s="3"/>
      <c r="H237" s="89"/>
      <c r="I237" s="90"/>
      <c r="K237" s="31"/>
    </row>
    <row r="238" spans="2:11" s="13" customFormat="1" x14ac:dyDescent="0.2">
      <c r="B238" s="3"/>
      <c r="C238" s="3"/>
      <c r="D238" s="3"/>
      <c r="E238" s="3"/>
      <c r="F238" s="89"/>
      <c r="G238" s="3"/>
      <c r="H238" s="89"/>
      <c r="I238" s="90"/>
      <c r="K238" s="31"/>
    </row>
    <row r="239" spans="2:11" s="13" customFormat="1" x14ac:dyDescent="0.2">
      <c r="B239" s="3"/>
      <c r="C239" s="3"/>
      <c r="D239" s="3"/>
      <c r="E239" s="3"/>
      <c r="F239" s="89"/>
      <c r="G239" s="3"/>
      <c r="H239" s="89"/>
      <c r="I239" s="90"/>
      <c r="K239" s="31"/>
    </row>
    <row r="240" spans="2:11" s="13" customFormat="1" x14ac:dyDescent="0.2">
      <c r="B240" s="3"/>
      <c r="C240" s="3"/>
      <c r="D240" s="3"/>
      <c r="E240" s="3"/>
      <c r="F240" s="89"/>
      <c r="G240" s="3"/>
      <c r="H240" s="89"/>
      <c r="I240" s="90"/>
      <c r="K240" s="31"/>
    </row>
    <row r="241" spans="1:13" s="13" customFormat="1" x14ac:dyDescent="0.2">
      <c r="B241" s="3"/>
      <c r="C241" s="3"/>
      <c r="D241" s="3"/>
      <c r="E241" s="3"/>
      <c r="F241" s="89"/>
      <c r="G241" s="3"/>
      <c r="H241" s="89"/>
      <c r="I241" s="90"/>
      <c r="K241" s="31"/>
    </row>
    <row r="242" spans="1:13" s="13" customFormat="1" x14ac:dyDescent="0.2">
      <c r="B242" s="3"/>
      <c r="C242" s="3"/>
      <c r="D242" s="3"/>
      <c r="E242" s="3"/>
      <c r="F242" s="89"/>
      <c r="G242" s="3"/>
      <c r="H242" s="89"/>
      <c r="I242" s="90"/>
      <c r="K242" s="31"/>
    </row>
    <row r="243" spans="1:13" s="13" customFormat="1" x14ac:dyDescent="0.2">
      <c r="B243" s="3"/>
      <c r="C243" s="3"/>
      <c r="D243" s="3"/>
      <c r="E243" s="3"/>
      <c r="F243" s="89"/>
      <c r="G243" s="3"/>
      <c r="H243" s="89"/>
      <c r="I243" s="90"/>
      <c r="K243" s="31"/>
    </row>
    <row r="244" spans="1:13" s="13" customFormat="1" x14ac:dyDescent="0.2">
      <c r="B244" s="3"/>
      <c r="C244" s="3"/>
      <c r="D244" s="3"/>
      <c r="E244" s="3"/>
      <c r="F244" s="89"/>
      <c r="G244" s="3"/>
      <c r="H244" s="89"/>
      <c r="I244" s="90"/>
      <c r="K244" s="31"/>
    </row>
    <row r="245" spans="1:13" s="13" customFormat="1" x14ac:dyDescent="0.2">
      <c r="B245" s="3"/>
      <c r="C245" s="3"/>
      <c r="D245" s="3"/>
      <c r="E245" s="3"/>
      <c r="F245" s="89"/>
      <c r="G245" s="3"/>
      <c r="H245" s="89"/>
      <c r="I245" s="90"/>
      <c r="K245" s="31"/>
    </row>
    <row r="246" spans="1:13" s="13" customFormat="1" x14ac:dyDescent="0.2">
      <c r="B246" s="3"/>
      <c r="C246" s="3"/>
      <c r="D246" s="3"/>
      <c r="E246" s="3"/>
      <c r="F246" s="89"/>
      <c r="G246" s="3"/>
      <c r="H246" s="89"/>
      <c r="I246" s="90"/>
      <c r="K246" s="31"/>
    </row>
    <row r="247" spans="1:13" s="13" customFormat="1" x14ac:dyDescent="0.2">
      <c r="B247" s="3"/>
      <c r="C247" s="3"/>
      <c r="D247" s="3"/>
      <c r="E247" s="3"/>
      <c r="F247" s="89"/>
      <c r="G247" s="3"/>
      <c r="H247" s="89"/>
      <c r="I247" s="90"/>
      <c r="K247" s="31"/>
    </row>
    <row r="248" spans="1:13" s="13" customFormat="1" x14ac:dyDescent="0.2">
      <c r="B248" s="3"/>
      <c r="C248" s="3"/>
      <c r="D248" s="3"/>
      <c r="E248" s="3"/>
      <c r="F248" s="89"/>
      <c r="G248" s="3"/>
      <c r="H248" s="89"/>
      <c r="I248" s="90"/>
      <c r="K248" s="31"/>
    </row>
    <row r="249" spans="1:13" s="13" customFormat="1" x14ac:dyDescent="0.2">
      <c r="B249" s="3"/>
      <c r="C249" s="3"/>
      <c r="D249" s="3"/>
      <c r="E249" s="3"/>
      <c r="F249" s="89"/>
      <c r="G249" s="3"/>
      <c r="H249" s="89"/>
      <c r="I249" s="90"/>
      <c r="K249" s="31"/>
    </row>
    <row r="250" spans="1:13" s="13" customFormat="1" x14ac:dyDescent="0.2">
      <c r="B250" s="3"/>
      <c r="C250" s="3"/>
      <c r="D250" s="3"/>
      <c r="E250" s="3"/>
      <c r="F250" s="89"/>
      <c r="G250" s="3"/>
      <c r="H250" s="89"/>
      <c r="I250" s="90"/>
      <c r="K250" s="31"/>
    </row>
    <row r="251" spans="1:13" s="13" customFormat="1" x14ac:dyDescent="0.2">
      <c r="B251" s="3"/>
      <c r="C251" s="3"/>
      <c r="D251" s="3"/>
      <c r="E251" s="3"/>
      <c r="F251" s="89"/>
      <c r="G251" s="3"/>
      <c r="H251" s="89"/>
      <c r="I251" s="90"/>
      <c r="K251" s="31"/>
    </row>
    <row r="252" spans="1:13" s="13" customFormat="1" x14ac:dyDescent="0.2">
      <c r="B252" s="3"/>
      <c r="C252" s="3"/>
      <c r="D252" s="3"/>
      <c r="E252" s="3"/>
      <c r="F252" s="89"/>
      <c r="G252" s="3"/>
      <c r="H252" s="89"/>
      <c r="I252" s="90"/>
      <c r="K252" s="31"/>
    </row>
    <row r="253" spans="1:13" s="13" customFormat="1" x14ac:dyDescent="0.2">
      <c r="B253" s="3"/>
      <c r="C253" s="3"/>
      <c r="D253" s="3"/>
      <c r="E253" s="3"/>
      <c r="F253" s="89"/>
      <c r="G253" s="3"/>
      <c r="H253" s="89"/>
      <c r="I253" s="90"/>
      <c r="K253" s="31"/>
    </row>
    <row r="254" spans="1:13" s="13" customFormat="1" x14ac:dyDescent="0.2">
      <c r="B254" s="3"/>
      <c r="C254" s="3"/>
      <c r="D254" s="3"/>
      <c r="E254" s="3"/>
      <c r="F254" s="89"/>
      <c r="G254" s="3"/>
      <c r="H254" s="89"/>
      <c r="I254" s="90"/>
      <c r="K254" s="31"/>
    </row>
    <row r="255" spans="1:13" s="13" customFormat="1" x14ac:dyDescent="0.2">
      <c r="B255" s="3"/>
      <c r="C255" s="3"/>
      <c r="D255" s="3"/>
      <c r="E255" s="3"/>
      <c r="F255" s="89"/>
      <c r="G255" s="3"/>
      <c r="H255" s="89"/>
      <c r="I255" s="90"/>
      <c r="K255" s="31"/>
    </row>
    <row r="256" spans="1:13" s="89" customFormat="1" x14ac:dyDescent="0.2">
      <c r="A256" s="13"/>
      <c r="B256" s="3"/>
      <c r="C256" s="3"/>
      <c r="D256" s="3"/>
      <c r="E256" s="3"/>
      <c r="G256" s="3"/>
      <c r="I256" s="90"/>
      <c r="J256" s="13"/>
      <c r="K256" s="31"/>
      <c r="L256" s="13"/>
      <c r="M256" s="13"/>
    </row>
    <row r="257" spans="1:13" s="89" customFormat="1" x14ac:dyDescent="0.2">
      <c r="A257" s="13"/>
      <c r="B257" s="3"/>
      <c r="C257" s="3"/>
      <c r="D257" s="3"/>
      <c r="E257" s="3"/>
      <c r="G257" s="91"/>
      <c r="I257" s="90"/>
      <c r="J257" s="13"/>
      <c r="K257" s="31"/>
      <c r="L257" s="13"/>
      <c r="M257" s="13"/>
    </row>
    <row r="258" spans="1:13" s="89" customFormat="1" x14ac:dyDescent="0.2">
      <c r="A258" s="13"/>
      <c r="B258" s="3"/>
      <c r="C258" s="3"/>
      <c r="D258" s="3"/>
      <c r="E258" s="3"/>
      <c r="G258" s="92"/>
      <c r="I258" s="90"/>
      <c r="J258" s="13"/>
      <c r="K258" s="31"/>
      <c r="L258" s="13"/>
      <c r="M258" s="13"/>
    </row>
    <row r="259" spans="1:13" s="89" customFormat="1" x14ac:dyDescent="0.2">
      <c r="A259" s="13"/>
      <c r="B259" s="3"/>
      <c r="C259" s="3"/>
      <c r="D259" s="3"/>
      <c r="E259" s="3"/>
      <c r="G259" s="93"/>
      <c r="I259" s="90"/>
      <c r="J259" s="13"/>
      <c r="K259" s="31"/>
      <c r="L259" s="13"/>
      <c r="M259" s="13"/>
    </row>
    <row r="260" spans="1:13" s="89" customFormat="1" x14ac:dyDescent="0.2">
      <c r="A260" s="13"/>
      <c r="B260" s="3"/>
      <c r="C260" s="3"/>
      <c r="D260" s="3"/>
      <c r="E260" s="3"/>
      <c r="G260" s="94"/>
      <c r="I260" s="90"/>
      <c r="J260" s="13"/>
      <c r="K260" s="31"/>
      <c r="L260" s="13"/>
      <c r="M260" s="13"/>
    </row>
    <row r="261" spans="1:13" s="89" customFormat="1" x14ac:dyDescent="0.2">
      <c r="A261" s="13"/>
      <c r="B261" s="3"/>
      <c r="C261" s="3"/>
      <c r="D261" s="3"/>
      <c r="E261" s="3"/>
      <c r="G261" s="91"/>
      <c r="I261" s="90"/>
      <c r="J261" s="13"/>
      <c r="K261" s="31"/>
      <c r="L261" s="13"/>
      <c r="M261" s="13"/>
    </row>
    <row r="262" spans="1:13" s="13" customFormat="1" x14ac:dyDescent="0.2">
      <c r="B262" s="3"/>
      <c r="C262" s="3"/>
      <c r="D262" s="3"/>
      <c r="E262" s="3"/>
      <c r="F262" s="89"/>
      <c r="G262" s="3"/>
      <c r="H262" s="89"/>
      <c r="I262" s="90"/>
      <c r="K262" s="31"/>
    </row>
    <row r="263" spans="1:13" s="13" customFormat="1" x14ac:dyDescent="0.2">
      <c r="B263" s="3"/>
      <c r="C263" s="3"/>
      <c r="D263" s="3"/>
      <c r="E263" s="3"/>
      <c r="F263" s="89"/>
      <c r="G263" s="3"/>
      <c r="H263" s="89"/>
      <c r="I263" s="90"/>
      <c r="K263" s="31"/>
    </row>
    <row r="264" spans="1:13" s="13" customFormat="1" x14ac:dyDescent="0.2">
      <c r="B264" s="3"/>
      <c r="C264" s="3"/>
      <c r="D264" s="3"/>
      <c r="E264" s="3"/>
      <c r="F264" s="89"/>
      <c r="G264" s="3"/>
      <c r="H264" s="89"/>
      <c r="I264" s="90"/>
      <c r="K264" s="31"/>
    </row>
    <row r="265" spans="1:13" s="89" customFormat="1" x14ac:dyDescent="0.2">
      <c r="A265" s="13"/>
      <c r="B265" s="3"/>
      <c r="C265" s="3"/>
      <c r="D265" s="3"/>
      <c r="E265" s="3"/>
      <c r="G265" s="95"/>
      <c r="I265" s="90"/>
      <c r="J265" s="13"/>
      <c r="K265" s="31"/>
      <c r="L265" s="13"/>
      <c r="M265" s="13"/>
    </row>
    <row r="266" spans="1:13" s="89" customFormat="1" x14ac:dyDescent="0.2">
      <c r="A266" s="13"/>
      <c r="B266" s="3"/>
      <c r="C266" s="3"/>
      <c r="D266" s="3"/>
      <c r="E266" s="3"/>
      <c r="G266" s="96"/>
      <c r="I266" s="90"/>
      <c r="J266" s="13"/>
      <c r="K266" s="31"/>
      <c r="L266" s="13"/>
      <c r="M266" s="13"/>
    </row>
    <row r="267" spans="1:13" s="89" customFormat="1" x14ac:dyDescent="0.2">
      <c r="A267" s="13"/>
      <c r="B267" s="3"/>
      <c r="C267" s="3"/>
      <c r="D267" s="3"/>
      <c r="E267" s="3"/>
      <c r="G267" s="93"/>
      <c r="I267" s="90"/>
      <c r="J267" s="13"/>
      <c r="K267" s="31"/>
      <c r="L267" s="13"/>
      <c r="M267" s="13"/>
    </row>
    <row r="268" spans="1:13" s="89" customFormat="1" x14ac:dyDescent="0.2">
      <c r="A268" s="13"/>
      <c r="B268" s="3"/>
      <c r="C268" s="3"/>
      <c r="D268" s="3"/>
      <c r="E268" s="3"/>
      <c r="G268" s="93"/>
      <c r="I268" s="90"/>
      <c r="J268" s="13"/>
      <c r="K268" s="31"/>
      <c r="L268" s="13"/>
      <c r="M268" s="13"/>
    </row>
    <row r="269" spans="1:13" s="89" customFormat="1" x14ac:dyDescent="0.2">
      <c r="A269" s="13"/>
      <c r="B269" s="3"/>
      <c r="C269" s="3"/>
      <c r="D269" s="3"/>
      <c r="E269" s="3"/>
      <c r="G269" s="91"/>
      <c r="I269" s="90"/>
      <c r="J269" s="13"/>
      <c r="K269" s="31"/>
      <c r="L269" s="13"/>
      <c r="M269" s="13"/>
    </row>
    <row r="270" spans="1:13" s="13" customFormat="1" x14ac:dyDescent="0.2">
      <c r="B270" s="3"/>
      <c r="C270" s="3"/>
      <c r="D270" s="3"/>
      <c r="E270" s="3"/>
      <c r="F270" s="89"/>
      <c r="G270" s="3"/>
      <c r="H270" s="89"/>
      <c r="I270" s="90"/>
      <c r="K270" s="31"/>
    </row>
    <row r="271" spans="1:13" s="13" customFormat="1" x14ac:dyDescent="0.2">
      <c r="B271" s="3"/>
      <c r="C271" s="3"/>
      <c r="D271" s="3"/>
      <c r="E271" s="3"/>
      <c r="F271" s="89"/>
      <c r="G271" s="3"/>
      <c r="H271" s="89"/>
      <c r="I271" s="90"/>
      <c r="K271" s="31"/>
    </row>
    <row r="272" spans="1:13" s="13" customFormat="1" x14ac:dyDescent="0.2">
      <c r="B272" s="3"/>
      <c r="C272" s="3"/>
      <c r="D272" s="3"/>
      <c r="E272" s="3"/>
      <c r="F272" s="89"/>
      <c r="G272" s="3"/>
      <c r="H272" s="89"/>
      <c r="I272" s="90"/>
      <c r="K272" s="31"/>
    </row>
    <row r="273" spans="1:13" s="89" customFormat="1" x14ac:dyDescent="0.2">
      <c r="A273" s="13"/>
      <c r="B273" s="3"/>
      <c r="C273" s="3"/>
      <c r="D273" s="3"/>
      <c r="E273" s="3"/>
      <c r="G273" s="95"/>
      <c r="I273" s="90"/>
      <c r="J273" s="13"/>
      <c r="K273" s="31"/>
      <c r="L273" s="13"/>
      <c r="M273" s="13"/>
    </row>
    <row r="274" spans="1:13" s="89" customFormat="1" x14ac:dyDescent="0.2">
      <c r="A274" s="13"/>
      <c r="B274" s="3"/>
      <c r="C274" s="3"/>
      <c r="D274" s="3"/>
      <c r="E274" s="3"/>
      <c r="G274" s="96"/>
      <c r="I274" s="90"/>
      <c r="J274" s="13"/>
      <c r="K274" s="31"/>
      <c r="L274" s="13"/>
      <c r="M274" s="13"/>
    </row>
    <row r="275" spans="1:13" s="89" customFormat="1" x14ac:dyDescent="0.2">
      <c r="A275" s="13"/>
      <c r="B275" s="3"/>
      <c r="C275" s="3"/>
      <c r="D275" s="3"/>
      <c r="E275" s="3"/>
      <c r="G275" s="93"/>
      <c r="I275" s="90"/>
      <c r="J275" s="13"/>
      <c r="K275" s="31"/>
      <c r="L275" s="13"/>
      <c r="M275" s="13"/>
    </row>
    <row r="276" spans="1:13" s="89" customFormat="1" x14ac:dyDescent="0.2">
      <c r="A276" s="13"/>
      <c r="B276" s="3"/>
      <c r="C276" s="3"/>
      <c r="D276" s="3"/>
      <c r="E276" s="3"/>
      <c r="G276" s="93"/>
      <c r="I276" s="90"/>
      <c r="J276" s="13"/>
      <c r="K276" s="31"/>
      <c r="L276" s="13"/>
      <c r="M276" s="13"/>
    </row>
    <row r="277" spans="1:13" s="89" customFormat="1" x14ac:dyDescent="0.2">
      <c r="A277" s="13"/>
      <c r="B277" s="3"/>
      <c r="C277" s="3"/>
      <c r="D277" s="3"/>
      <c r="E277" s="3"/>
      <c r="G277" s="95"/>
      <c r="I277" s="90"/>
      <c r="J277" s="13"/>
      <c r="K277" s="31"/>
      <c r="L277" s="13"/>
      <c r="M277" s="13"/>
    </row>
    <row r="278" spans="1:13" s="89" customFormat="1" x14ac:dyDescent="0.2">
      <c r="A278" s="13"/>
      <c r="B278" s="3"/>
      <c r="C278" s="3"/>
      <c r="D278" s="3"/>
      <c r="E278" s="3"/>
      <c r="G278" s="97"/>
      <c r="I278" s="90"/>
      <c r="J278" s="13"/>
      <c r="K278" s="31"/>
      <c r="L278" s="13"/>
      <c r="M278" s="13"/>
    </row>
    <row r="279" spans="1:13" s="89" customFormat="1" x14ac:dyDescent="0.2">
      <c r="A279" s="13"/>
      <c r="B279" s="3"/>
      <c r="C279" s="3"/>
      <c r="D279" s="3"/>
      <c r="E279" s="3"/>
      <c r="G279" s="95"/>
      <c r="I279" s="90"/>
      <c r="J279" s="13"/>
      <c r="K279" s="31"/>
      <c r="L279" s="13"/>
      <c r="M279" s="13"/>
    </row>
    <row r="280" spans="1:13" s="13" customFormat="1" x14ac:dyDescent="0.2">
      <c r="B280" s="3"/>
      <c r="C280" s="3"/>
      <c r="D280" s="3"/>
      <c r="E280" s="3"/>
      <c r="F280" s="89"/>
      <c r="G280" s="3"/>
      <c r="H280" s="89"/>
      <c r="I280" s="90"/>
      <c r="K280" s="31"/>
    </row>
    <row r="281" spans="1:13" s="13" customFormat="1" x14ac:dyDescent="0.2">
      <c r="B281" s="3"/>
      <c r="C281" s="3"/>
      <c r="D281" s="3"/>
      <c r="E281" s="3"/>
      <c r="F281" s="89"/>
      <c r="G281" s="3"/>
      <c r="H281" s="89"/>
      <c r="I281" s="90"/>
      <c r="K281" s="31"/>
    </row>
    <row r="282" spans="1:13" s="13" customFormat="1" x14ac:dyDescent="0.2">
      <c r="B282" s="3"/>
      <c r="C282" s="3"/>
      <c r="D282" s="3"/>
      <c r="E282" s="3"/>
      <c r="F282" s="89"/>
      <c r="G282" s="3"/>
      <c r="H282" s="89"/>
      <c r="I282" s="90"/>
      <c r="K282" s="31"/>
    </row>
    <row r="283" spans="1:13" s="13" customFormat="1" x14ac:dyDescent="0.2">
      <c r="B283" s="3"/>
      <c r="C283" s="3"/>
      <c r="D283" s="3"/>
      <c r="E283" s="3"/>
      <c r="F283" s="89"/>
      <c r="G283" s="3"/>
      <c r="H283" s="89"/>
      <c r="I283" s="90"/>
      <c r="K283" s="31"/>
    </row>
    <row r="284" spans="1:13" s="13" customFormat="1" x14ac:dyDescent="0.2">
      <c r="B284" s="3"/>
      <c r="C284" s="3"/>
      <c r="D284" s="3"/>
      <c r="E284" s="3"/>
      <c r="F284" s="89"/>
      <c r="G284" s="3"/>
      <c r="H284" s="89"/>
      <c r="I284" s="90"/>
      <c r="K284" s="31"/>
    </row>
    <row r="285" spans="1:13" s="13" customFormat="1" x14ac:dyDescent="0.2">
      <c r="B285" s="3"/>
      <c r="C285" s="3"/>
      <c r="D285" s="3"/>
      <c r="E285" s="3"/>
      <c r="F285" s="89"/>
      <c r="G285" s="3"/>
      <c r="H285" s="89"/>
      <c r="I285" s="90"/>
      <c r="K285" s="31"/>
    </row>
    <row r="286" spans="1:13" s="13" customFormat="1" x14ac:dyDescent="0.2">
      <c r="B286" s="3"/>
      <c r="C286" s="3"/>
      <c r="D286" s="3"/>
      <c r="E286" s="3"/>
      <c r="F286" s="89"/>
      <c r="G286" s="3"/>
      <c r="H286" s="89"/>
      <c r="I286" s="90"/>
      <c r="K286" s="31"/>
    </row>
    <row r="287" spans="1:13" s="13" customFormat="1" x14ac:dyDescent="0.2">
      <c r="B287" s="3"/>
      <c r="C287" s="3"/>
      <c r="D287" s="3"/>
      <c r="E287" s="3"/>
      <c r="F287" s="89"/>
      <c r="G287" s="3"/>
      <c r="H287" s="89"/>
      <c r="I287" s="90"/>
      <c r="K287" s="31"/>
    </row>
    <row r="288" spans="1:13" s="13" customFormat="1" x14ac:dyDescent="0.2">
      <c r="B288" s="3"/>
      <c r="C288" s="3"/>
      <c r="D288" s="3"/>
      <c r="E288" s="3"/>
      <c r="F288" s="89"/>
      <c r="G288" s="3"/>
      <c r="H288" s="89"/>
      <c r="I288" s="90"/>
      <c r="K288" s="31"/>
    </row>
  </sheetData>
  <mergeCells count="46">
    <mergeCell ref="G46:H46"/>
    <mergeCell ref="G47:H47"/>
    <mergeCell ref="G48:H48"/>
    <mergeCell ref="E40:F42"/>
    <mergeCell ref="G40:H40"/>
    <mergeCell ref="G41:H41"/>
    <mergeCell ref="G42:H42"/>
    <mergeCell ref="E43:F45"/>
    <mergeCell ref="G43:H43"/>
    <mergeCell ref="G44:H44"/>
    <mergeCell ref="G45:H45"/>
    <mergeCell ref="E39:F39"/>
    <mergeCell ref="G39:H39"/>
    <mergeCell ref="B46:B48"/>
    <mergeCell ref="C46:C48"/>
    <mergeCell ref="D46:D48"/>
    <mergeCell ref="E46:F48"/>
    <mergeCell ref="B40:B42"/>
    <mergeCell ref="C40:C42"/>
    <mergeCell ref="D40:D42"/>
    <mergeCell ref="B43:B45"/>
    <mergeCell ref="C43:C45"/>
    <mergeCell ref="D43:D45"/>
    <mergeCell ref="B26:B31"/>
    <mergeCell ref="C26:C31"/>
    <mergeCell ref="D26:D31"/>
    <mergeCell ref="E26:E31"/>
    <mergeCell ref="B32:B37"/>
    <mergeCell ref="C32:C37"/>
    <mergeCell ref="D32:D37"/>
    <mergeCell ref="E32:E37"/>
    <mergeCell ref="B20:B25"/>
    <mergeCell ref="C20:C25"/>
    <mergeCell ref="D20:D25"/>
    <mergeCell ref="E20:E25"/>
    <mergeCell ref="B2:J2"/>
    <mergeCell ref="B4:J4"/>
    <mergeCell ref="B6:H8"/>
    <mergeCell ref="I6:J6"/>
    <mergeCell ref="I7:J8"/>
    <mergeCell ref="C10:J10"/>
    <mergeCell ref="C11:J11"/>
    <mergeCell ref="B14:B19"/>
    <mergeCell ref="C14:C19"/>
    <mergeCell ref="D14:D19"/>
    <mergeCell ref="E14:E19"/>
  </mergeCells>
  <conditionalFormatting sqref="I1">
    <cfRule type="cellIs" dxfId="288" priority="23" operator="equal">
      <formula>1</formula>
    </cfRule>
  </conditionalFormatting>
  <conditionalFormatting sqref="I7">
    <cfRule type="cellIs" dxfId="287" priority="21" operator="equal">
      <formula>1</formula>
    </cfRule>
  </conditionalFormatting>
  <conditionalFormatting sqref="I49:I1048576">
    <cfRule type="cellIs" dxfId="282" priority="22" operator="equal">
      <formula>1</formula>
    </cfRule>
  </conditionalFormatting>
  <conditionalFormatting sqref="I40:I48">
    <cfRule type="expression" dxfId="131" priority="5" stopIfTrue="1">
      <formula>TRIM(UPPER(I40))="N/A"</formula>
    </cfRule>
    <cfRule type="expression" dxfId="130" priority="6">
      <formula>I40&gt;=0.9</formula>
    </cfRule>
    <cfRule type="expression" dxfId="129" priority="7">
      <formula>AND(I40&gt;=0.8, I40&lt;0.9)</formula>
    </cfRule>
    <cfRule type="expression" dxfId="128" priority="8">
      <formula>I40&lt;0.8</formula>
    </cfRule>
  </conditionalFormatting>
  <conditionalFormatting sqref="I14:I37">
    <cfRule type="expression" dxfId="127" priority="1" stopIfTrue="1">
      <formula>TRIM(UPPER(I14))="N/A"</formula>
    </cfRule>
    <cfRule type="expression" dxfId="126" priority="2">
      <formula>I14&gt;=0.9</formula>
    </cfRule>
    <cfRule type="expression" dxfId="125" priority="3">
      <formula>AND(I14&gt;=0.8, I14&lt;0.9)</formula>
    </cfRule>
    <cfRule type="expression" dxfId="124" priority="4">
      <formula>I14&lt;0.8</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DAE55FFE-3FF1-2A4F-9A3F-9BDC1FFFD694}">
          <x14:formula1>
            <xm:f>'Listas desplegables'!$C$4:$C$15</xm:f>
          </x14:formula1>
          <xm:sqref>I40:I48 I14:I37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83B68-4B80-474C-A5AC-E901169E8CFC}">
  <sheetPr>
    <tabColor rgb="FF0098AA"/>
  </sheetPr>
  <dimension ref="A1:M635"/>
  <sheetViews>
    <sheetView showGridLines="0" zoomScale="70" zoomScaleNormal="70" workbookViewId="0">
      <selection activeCell="C12" sqref="C12"/>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57" t="s">
        <v>900</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AVERAGEIF(I14:I42,"&lt;&gt;N/A")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107.5" customHeight="1" x14ac:dyDescent="0.2">
      <c r="B10" s="40" t="s">
        <v>13</v>
      </c>
      <c r="C10" s="147" t="s">
        <v>901</v>
      </c>
      <c r="D10" s="148"/>
      <c r="E10" s="148"/>
      <c r="F10" s="148"/>
      <c r="G10" s="148"/>
      <c r="H10" s="148"/>
      <c r="I10" s="148"/>
      <c r="J10" s="149"/>
    </row>
    <row r="11" spans="2:12" ht="64.75" customHeight="1" x14ac:dyDescent="0.2">
      <c r="B11" s="39" t="s">
        <v>14</v>
      </c>
      <c r="C11" s="150" t="s">
        <v>2420</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78.5" customHeight="1" x14ac:dyDescent="0.2">
      <c r="B14" s="151" t="s">
        <v>90</v>
      </c>
      <c r="C14" s="151" t="s">
        <v>19</v>
      </c>
      <c r="D14" s="153" t="s">
        <v>902</v>
      </c>
      <c r="E14" s="177" t="s">
        <v>903</v>
      </c>
      <c r="F14" s="78" t="s">
        <v>904</v>
      </c>
      <c r="G14" s="12" t="s">
        <v>36</v>
      </c>
      <c r="H14" s="34" t="s">
        <v>905</v>
      </c>
      <c r="I14" s="28" t="s">
        <v>10</v>
      </c>
      <c r="J14" s="11"/>
      <c r="K14" s="33"/>
      <c r="L14" s="29"/>
    </row>
    <row r="15" spans="2:12" ht="78.5" customHeight="1" x14ac:dyDescent="0.2">
      <c r="B15" s="152"/>
      <c r="C15" s="152"/>
      <c r="D15" s="154"/>
      <c r="E15" s="178"/>
      <c r="F15" s="78" t="s">
        <v>906</v>
      </c>
      <c r="G15" s="12" t="s">
        <v>39</v>
      </c>
      <c r="H15" s="34" t="s">
        <v>907</v>
      </c>
      <c r="I15" s="28" t="s">
        <v>10</v>
      </c>
      <c r="J15" s="11"/>
      <c r="K15" s="33"/>
      <c r="L15" s="29"/>
    </row>
    <row r="16" spans="2:12" ht="78.5" customHeight="1" x14ac:dyDescent="0.2">
      <c r="B16" s="152"/>
      <c r="C16" s="152"/>
      <c r="D16" s="154"/>
      <c r="E16" s="178"/>
      <c r="F16" s="78" t="s">
        <v>908</v>
      </c>
      <c r="G16" s="12" t="s">
        <v>36</v>
      </c>
      <c r="H16" s="34" t="s">
        <v>909</v>
      </c>
      <c r="I16" s="28" t="s">
        <v>10</v>
      </c>
      <c r="J16" s="11"/>
      <c r="K16" s="33"/>
      <c r="L16" s="29"/>
    </row>
    <row r="17" spans="2:12" ht="78.5" customHeight="1" x14ac:dyDescent="0.2">
      <c r="B17" s="152"/>
      <c r="C17" s="152"/>
      <c r="D17" s="154"/>
      <c r="E17" s="178"/>
      <c r="F17" s="78" t="s">
        <v>910</v>
      </c>
      <c r="G17" s="12" t="s">
        <v>844</v>
      </c>
      <c r="H17" s="34" t="s">
        <v>911</v>
      </c>
      <c r="I17" s="28" t="s">
        <v>10</v>
      </c>
      <c r="J17" s="11"/>
      <c r="K17" s="33"/>
      <c r="L17" s="29"/>
    </row>
    <row r="18" spans="2:12" ht="78.5" customHeight="1" x14ac:dyDescent="0.2">
      <c r="B18" s="152"/>
      <c r="C18" s="152"/>
      <c r="D18" s="154"/>
      <c r="E18" s="178"/>
      <c r="F18" s="78" t="s">
        <v>912</v>
      </c>
      <c r="G18" s="12" t="s">
        <v>39</v>
      </c>
      <c r="H18" s="34" t="s">
        <v>913</v>
      </c>
      <c r="I18" s="28" t="s">
        <v>10</v>
      </c>
      <c r="J18" s="11"/>
      <c r="K18" s="33"/>
      <c r="L18" s="29"/>
    </row>
    <row r="19" spans="2:12" ht="78.5" customHeight="1" x14ac:dyDescent="0.2">
      <c r="B19" s="152"/>
      <c r="C19" s="152"/>
      <c r="D19" s="154"/>
      <c r="E19" s="178"/>
      <c r="F19" s="78" t="s">
        <v>914</v>
      </c>
      <c r="G19" s="12" t="s">
        <v>36</v>
      </c>
      <c r="H19" s="34" t="s">
        <v>915</v>
      </c>
      <c r="I19" s="28" t="s">
        <v>10</v>
      </c>
      <c r="J19" s="11"/>
      <c r="K19" s="33"/>
      <c r="L19" s="29"/>
    </row>
    <row r="20" spans="2:12" ht="75.5" customHeight="1" x14ac:dyDescent="0.2">
      <c r="B20" s="143" t="s">
        <v>90</v>
      </c>
      <c r="C20" s="143" t="s">
        <v>20</v>
      </c>
      <c r="D20" s="145" t="s">
        <v>916</v>
      </c>
      <c r="E20" s="181" t="s">
        <v>917</v>
      </c>
      <c r="F20" s="23" t="s">
        <v>918</v>
      </c>
      <c r="G20" s="41" t="s">
        <v>35</v>
      </c>
      <c r="H20" s="35" t="s">
        <v>919</v>
      </c>
      <c r="I20" s="28" t="s">
        <v>10</v>
      </c>
      <c r="J20" s="36"/>
      <c r="K20" s="37"/>
      <c r="L20" s="38"/>
    </row>
    <row r="21" spans="2:12" ht="75.5" customHeight="1" x14ac:dyDescent="0.2">
      <c r="B21" s="144"/>
      <c r="C21" s="144"/>
      <c r="D21" s="146"/>
      <c r="E21" s="182"/>
      <c r="F21" s="23" t="s">
        <v>920</v>
      </c>
      <c r="G21" s="41" t="s">
        <v>35</v>
      </c>
      <c r="H21" s="35" t="s">
        <v>921</v>
      </c>
      <c r="I21" s="28" t="s">
        <v>10</v>
      </c>
      <c r="J21" s="36"/>
      <c r="K21" s="37"/>
      <c r="L21" s="38"/>
    </row>
    <row r="22" spans="2:12" ht="75.5" customHeight="1" x14ac:dyDescent="0.2">
      <c r="B22" s="144"/>
      <c r="C22" s="144"/>
      <c r="D22" s="146"/>
      <c r="E22" s="182"/>
      <c r="F22" s="23" t="s">
        <v>922</v>
      </c>
      <c r="G22" s="41" t="s">
        <v>37</v>
      </c>
      <c r="H22" s="35" t="s">
        <v>923</v>
      </c>
      <c r="I22" s="28" t="s">
        <v>10</v>
      </c>
      <c r="J22" s="36"/>
      <c r="K22" s="37"/>
      <c r="L22" s="38"/>
    </row>
    <row r="23" spans="2:12" ht="75.5" customHeight="1" x14ac:dyDescent="0.2">
      <c r="B23" s="144"/>
      <c r="C23" s="144"/>
      <c r="D23" s="146"/>
      <c r="E23" s="182"/>
      <c r="F23" s="23" t="s">
        <v>924</v>
      </c>
      <c r="G23" s="41" t="s">
        <v>39</v>
      </c>
      <c r="H23" s="35" t="s">
        <v>925</v>
      </c>
      <c r="I23" s="28" t="s">
        <v>10</v>
      </c>
      <c r="J23" s="36"/>
      <c r="K23" s="37"/>
      <c r="L23" s="38"/>
    </row>
    <row r="24" spans="2:12" ht="75.5" customHeight="1" x14ac:dyDescent="0.2">
      <c r="B24" s="144"/>
      <c r="C24" s="144"/>
      <c r="D24" s="146"/>
      <c r="E24" s="182"/>
      <c r="F24" s="23" t="s">
        <v>926</v>
      </c>
      <c r="G24" s="41" t="s">
        <v>110</v>
      </c>
      <c r="H24" s="35" t="s">
        <v>927</v>
      </c>
      <c r="I24" s="28" t="s">
        <v>10</v>
      </c>
      <c r="J24" s="36"/>
      <c r="K24" s="37"/>
      <c r="L24" s="38"/>
    </row>
    <row r="25" spans="2:12" ht="75.5" customHeight="1" x14ac:dyDescent="0.2">
      <c r="B25" s="144"/>
      <c r="C25" s="144"/>
      <c r="D25" s="146"/>
      <c r="E25" s="182"/>
      <c r="F25" s="23" t="s">
        <v>928</v>
      </c>
      <c r="G25" s="41" t="s">
        <v>39</v>
      </c>
      <c r="H25" s="35" t="s">
        <v>929</v>
      </c>
      <c r="I25" s="28" t="s">
        <v>10</v>
      </c>
      <c r="J25" s="36"/>
      <c r="K25" s="37"/>
      <c r="L25" s="38"/>
    </row>
    <row r="26" spans="2:12" ht="83.5" customHeight="1" x14ac:dyDescent="0.2">
      <c r="B26" s="151" t="s">
        <v>90</v>
      </c>
      <c r="C26" s="151" t="s">
        <v>21</v>
      </c>
      <c r="D26" s="177" t="s">
        <v>930</v>
      </c>
      <c r="E26" s="177" t="s">
        <v>931</v>
      </c>
      <c r="F26" s="22" t="s">
        <v>932</v>
      </c>
      <c r="G26" s="12" t="s">
        <v>933</v>
      </c>
      <c r="H26" s="34" t="s">
        <v>934</v>
      </c>
      <c r="I26" s="28" t="s">
        <v>10</v>
      </c>
      <c r="J26" s="11"/>
      <c r="K26" s="33"/>
      <c r="L26" s="29"/>
    </row>
    <row r="27" spans="2:12" ht="83.5" customHeight="1" x14ac:dyDescent="0.2">
      <c r="B27" s="152"/>
      <c r="C27" s="152"/>
      <c r="D27" s="178"/>
      <c r="E27" s="178"/>
      <c r="F27" s="22" t="s">
        <v>935</v>
      </c>
      <c r="G27" s="12" t="s">
        <v>39</v>
      </c>
      <c r="H27" s="34" t="s">
        <v>936</v>
      </c>
      <c r="I27" s="28" t="s">
        <v>10</v>
      </c>
      <c r="J27" s="11"/>
      <c r="K27" s="33"/>
      <c r="L27" s="29"/>
    </row>
    <row r="28" spans="2:12" ht="83.5" customHeight="1" x14ac:dyDescent="0.2">
      <c r="B28" s="152"/>
      <c r="C28" s="152"/>
      <c r="D28" s="178"/>
      <c r="E28" s="178"/>
      <c r="F28" s="22" t="s">
        <v>937</v>
      </c>
      <c r="G28" s="12" t="s">
        <v>938</v>
      </c>
      <c r="H28" s="34" t="s">
        <v>939</v>
      </c>
      <c r="I28" s="28" t="s">
        <v>10</v>
      </c>
      <c r="J28" s="11"/>
      <c r="K28" s="33"/>
      <c r="L28" s="29"/>
    </row>
    <row r="29" spans="2:12" ht="83.5" customHeight="1" x14ac:dyDescent="0.2">
      <c r="B29" s="152"/>
      <c r="C29" s="152"/>
      <c r="D29" s="178"/>
      <c r="E29" s="178"/>
      <c r="F29" s="22" t="s">
        <v>940</v>
      </c>
      <c r="G29" s="12" t="s">
        <v>938</v>
      </c>
      <c r="H29" s="34" t="s">
        <v>941</v>
      </c>
      <c r="I29" s="28" t="s">
        <v>10</v>
      </c>
      <c r="J29" s="11"/>
      <c r="K29" s="33"/>
      <c r="L29" s="29"/>
    </row>
    <row r="30" spans="2:12" ht="83.5" customHeight="1" x14ac:dyDescent="0.2">
      <c r="B30" s="152"/>
      <c r="C30" s="152"/>
      <c r="D30" s="178"/>
      <c r="E30" s="178"/>
      <c r="F30" s="22" t="s">
        <v>942</v>
      </c>
      <c r="G30" s="12" t="s">
        <v>36</v>
      </c>
      <c r="H30" s="34" t="s">
        <v>943</v>
      </c>
      <c r="I30" s="28" t="s">
        <v>10</v>
      </c>
      <c r="J30" s="11"/>
      <c r="K30" s="33"/>
      <c r="L30" s="29"/>
    </row>
    <row r="31" spans="2:12" ht="83.5" customHeight="1" x14ac:dyDescent="0.2">
      <c r="B31" s="152"/>
      <c r="C31" s="152"/>
      <c r="D31" s="178"/>
      <c r="E31" s="178"/>
      <c r="F31" s="22" t="s">
        <v>944</v>
      </c>
      <c r="G31" s="12" t="s">
        <v>36</v>
      </c>
      <c r="H31" s="34" t="s">
        <v>945</v>
      </c>
      <c r="I31" s="28" t="s">
        <v>10</v>
      </c>
      <c r="J31" s="11"/>
      <c r="K31" s="33"/>
      <c r="L31" s="29"/>
    </row>
    <row r="32" spans="2:12" ht="81.5" customHeight="1" x14ac:dyDescent="0.2">
      <c r="B32" s="143" t="s">
        <v>90</v>
      </c>
      <c r="C32" s="143" t="s">
        <v>946</v>
      </c>
      <c r="D32" s="181" t="s">
        <v>947</v>
      </c>
      <c r="E32" s="181" t="s">
        <v>948</v>
      </c>
      <c r="F32" s="23" t="s">
        <v>949</v>
      </c>
      <c r="G32" s="41" t="s">
        <v>36</v>
      </c>
      <c r="H32" s="35" t="s">
        <v>950</v>
      </c>
      <c r="I32" s="28" t="s">
        <v>10</v>
      </c>
      <c r="J32" s="36"/>
      <c r="K32" s="37"/>
      <c r="L32" s="38"/>
    </row>
    <row r="33" spans="2:12" ht="81.5" customHeight="1" x14ac:dyDescent="0.2">
      <c r="B33" s="144"/>
      <c r="C33" s="144"/>
      <c r="D33" s="182"/>
      <c r="E33" s="182"/>
      <c r="F33" s="23" t="s">
        <v>951</v>
      </c>
      <c r="G33" s="41" t="s">
        <v>36</v>
      </c>
      <c r="H33" s="35" t="s">
        <v>952</v>
      </c>
      <c r="I33" s="28" t="s">
        <v>10</v>
      </c>
      <c r="J33" s="36"/>
      <c r="K33" s="37"/>
      <c r="L33" s="38"/>
    </row>
    <row r="34" spans="2:12" ht="81.5" customHeight="1" x14ac:dyDescent="0.2">
      <c r="B34" s="144"/>
      <c r="C34" s="144"/>
      <c r="D34" s="182"/>
      <c r="E34" s="182"/>
      <c r="F34" s="23" t="s">
        <v>953</v>
      </c>
      <c r="G34" s="41" t="s">
        <v>39</v>
      </c>
      <c r="H34" s="35" t="s">
        <v>954</v>
      </c>
      <c r="I34" s="28" t="s">
        <v>10</v>
      </c>
      <c r="J34" s="36"/>
      <c r="K34" s="37"/>
      <c r="L34" s="38"/>
    </row>
    <row r="35" spans="2:12" ht="81.5" customHeight="1" x14ac:dyDescent="0.2">
      <c r="B35" s="144"/>
      <c r="C35" s="144"/>
      <c r="D35" s="182"/>
      <c r="E35" s="182"/>
      <c r="F35" s="23" t="s">
        <v>955</v>
      </c>
      <c r="G35" s="41" t="s">
        <v>36</v>
      </c>
      <c r="H35" s="35" t="s">
        <v>956</v>
      </c>
      <c r="I35" s="28" t="s">
        <v>10</v>
      </c>
      <c r="J35" s="36"/>
      <c r="K35" s="37"/>
      <c r="L35" s="38"/>
    </row>
    <row r="36" spans="2:12" ht="81.5" customHeight="1" x14ac:dyDescent="0.2">
      <c r="B36" s="144"/>
      <c r="C36" s="144"/>
      <c r="D36" s="182"/>
      <c r="E36" s="182"/>
      <c r="F36" s="23" t="s">
        <v>957</v>
      </c>
      <c r="G36" s="41" t="s">
        <v>35</v>
      </c>
      <c r="H36" s="35" t="s">
        <v>958</v>
      </c>
      <c r="I36" s="28" t="s">
        <v>10</v>
      </c>
      <c r="J36" s="36"/>
      <c r="K36" s="37"/>
      <c r="L36" s="38"/>
    </row>
    <row r="37" spans="2:12" ht="81.5" customHeight="1" x14ac:dyDescent="0.2">
      <c r="B37" s="144"/>
      <c r="C37" s="144"/>
      <c r="D37" s="182"/>
      <c r="E37" s="182"/>
      <c r="F37" s="23" t="s">
        <v>959</v>
      </c>
      <c r="G37" s="41" t="s">
        <v>36</v>
      </c>
      <c r="H37" s="35" t="s">
        <v>960</v>
      </c>
      <c r="I37" s="28" t="s">
        <v>10</v>
      </c>
      <c r="J37" s="36"/>
      <c r="K37" s="37"/>
      <c r="L37" s="38"/>
    </row>
    <row r="38" spans="2:12" ht="5.25" customHeight="1" x14ac:dyDescent="0.2"/>
    <row r="39" spans="2:12" ht="31" customHeight="1" x14ac:dyDescent="0.2">
      <c r="B39" s="69" t="s">
        <v>34</v>
      </c>
      <c r="C39" s="69" t="s">
        <v>258</v>
      </c>
      <c r="D39" s="69" t="s">
        <v>259</v>
      </c>
      <c r="E39" s="169" t="s">
        <v>32</v>
      </c>
      <c r="F39" s="170"/>
      <c r="G39" s="169" t="s">
        <v>16</v>
      </c>
      <c r="H39" s="170"/>
      <c r="I39" s="71" t="s">
        <v>8</v>
      </c>
      <c r="J39" s="69" t="s">
        <v>17</v>
      </c>
      <c r="K39" s="72" t="s">
        <v>44</v>
      </c>
      <c r="L39" s="69" t="s">
        <v>45</v>
      </c>
    </row>
    <row r="40" spans="2:12" ht="100.75" customHeight="1" x14ac:dyDescent="0.2">
      <c r="B40" s="151" t="s">
        <v>90</v>
      </c>
      <c r="C40" s="151" t="s">
        <v>260</v>
      </c>
      <c r="D40" s="185" t="s">
        <v>961</v>
      </c>
      <c r="E40" s="129" t="s">
        <v>962</v>
      </c>
      <c r="F40" s="130"/>
      <c r="G40" s="127" t="s">
        <v>963</v>
      </c>
      <c r="H40" s="128"/>
      <c r="I40" s="28" t="s">
        <v>10</v>
      </c>
      <c r="J40" s="11"/>
      <c r="K40" s="33"/>
      <c r="L40" s="29"/>
    </row>
    <row r="41" spans="2:12" ht="100.75" customHeight="1" x14ac:dyDescent="0.2">
      <c r="B41" s="152"/>
      <c r="C41" s="152"/>
      <c r="D41" s="186"/>
      <c r="E41" s="131"/>
      <c r="F41" s="132"/>
      <c r="G41" s="127" t="s">
        <v>964</v>
      </c>
      <c r="H41" s="128"/>
      <c r="I41" s="28" t="s">
        <v>10</v>
      </c>
      <c r="J41" s="11"/>
      <c r="K41" s="33"/>
      <c r="L41" s="29"/>
    </row>
    <row r="42" spans="2:12" ht="100.75" customHeight="1" x14ac:dyDescent="0.2">
      <c r="B42" s="152"/>
      <c r="C42" s="152"/>
      <c r="D42" s="186"/>
      <c r="E42" s="133"/>
      <c r="F42" s="134"/>
      <c r="G42" s="127" t="s">
        <v>965</v>
      </c>
      <c r="H42" s="128"/>
      <c r="I42" s="28" t="s">
        <v>10</v>
      </c>
      <c r="J42" s="11"/>
      <c r="K42" s="33"/>
      <c r="L42" s="29"/>
    </row>
    <row r="43" spans="2:12" ht="83.5" customHeight="1" x14ac:dyDescent="0.2">
      <c r="B43" s="143" t="s">
        <v>90</v>
      </c>
      <c r="C43" s="143" t="s">
        <v>261</v>
      </c>
      <c r="D43" s="181" t="s">
        <v>966</v>
      </c>
      <c r="E43" s="135" t="s">
        <v>967</v>
      </c>
      <c r="F43" s="136"/>
      <c r="G43" s="141" t="s">
        <v>968</v>
      </c>
      <c r="H43" s="142"/>
      <c r="I43" s="28" t="s">
        <v>10</v>
      </c>
      <c r="J43" s="36"/>
      <c r="K43" s="37"/>
      <c r="L43" s="38"/>
    </row>
    <row r="44" spans="2:12" ht="83.5" customHeight="1" x14ac:dyDescent="0.2">
      <c r="B44" s="144"/>
      <c r="C44" s="144"/>
      <c r="D44" s="182"/>
      <c r="E44" s="139"/>
      <c r="F44" s="140"/>
      <c r="G44" s="141" t="s">
        <v>969</v>
      </c>
      <c r="H44" s="142"/>
      <c r="I44" s="28" t="s">
        <v>10</v>
      </c>
      <c r="J44" s="36"/>
      <c r="K44" s="37"/>
      <c r="L44" s="38"/>
    </row>
    <row r="45" spans="2:12" ht="79.75" customHeight="1" x14ac:dyDescent="0.2">
      <c r="B45" s="151" t="s">
        <v>90</v>
      </c>
      <c r="C45" s="151" t="s">
        <v>262</v>
      </c>
      <c r="D45" s="177" t="s">
        <v>970</v>
      </c>
      <c r="E45" s="129" t="s">
        <v>971</v>
      </c>
      <c r="F45" s="130"/>
      <c r="G45" s="127" t="s">
        <v>972</v>
      </c>
      <c r="H45" s="128"/>
      <c r="I45" s="28" t="s">
        <v>10</v>
      </c>
      <c r="J45" s="11"/>
      <c r="K45" s="33"/>
      <c r="L45" s="29"/>
    </row>
    <row r="46" spans="2:12" ht="79.75" customHeight="1" x14ac:dyDescent="0.2">
      <c r="B46" s="152"/>
      <c r="C46" s="152"/>
      <c r="D46" s="178"/>
      <c r="E46" s="131"/>
      <c r="F46" s="132"/>
      <c r="G46" s="127" t="s">
        <v>973</v>
      </c>
      <c r="H46" s="128"/>
      <c r="I46" s="28" t="s">
        <v>10</v>
      </c>
      <c r="J46" s="11"/>
      <c r="K46" s="33"/>
      <c r="L46" s="29"/>
    </row>
    <row r="47" spans="2:12" ht="79.75" customHeight="1" x14ac:dyDescent="0.2">
      <c r="B47" s="173"/>
      <c r="C47" s="173"/>
      <c r="D47" s="179"/>
      <c r="E47" s="133"/>
      <c r="F47" s="134"/>
      <c r="G47" s="127" t="s">
        <v>974</v>
      </c>
      <c r="H47" s="128"/>
      <c r="I47" s="28" t="s">
        <v>10</v>
      </c>
      <c r="J47" s="11"/>
      <c r="K47" s="33"/>
      <c r="L47" s="29"/>
    </row>
    <row r="48" spans="2:12" ht="83.5" customHeight="1" x14ac:dyDescent="0.2">
      <c r="B48" s="143" t="s">
        <v>90</v>
      </c>
      <c r="C48" s="143" t="s">
        <v>263</v>
      </c>
      <c r="D48" s="181" t="s">
        <v>975</v>
      </c>
      <c r="E48" s="135" t="s">
        <v>976</v>
      </c>
      <c r="F48" s="136"/>
      <c r="G48" s="141" t="s">
        <v>977</v>
      </c>
      <c r="H48" s="142"/>
      <c r="I48" s="28" t="s">
        <v>10</v>
      </c>
      <c r="J48" s="36"/>
      <c r="K48" s="37"/>
      <c r="L48" s="38"/>
    </row>
    <row r="49" spans="2:12" ht="83.5" customHeight="1" x14ac:dyDescent="0.2">
      <c r="B49" s="144"/>
      <c r="C49" s="144"/>
      <c r="D49" s="182"/>
      <c r="E49" s="137"/>
      <c r="F49" s="138"/>
      <c r="G49" s="141" t="s">
        <v>978</v>
      </c>
      <c r="H49" s="142"/>
      <c r="I49" s="28" t="s">
        <v>10</v>
      </c>
      <c r="J49" s="36"/>
      <c r="K49" s="37"/>
      <c r="L49" s="38"/>
    </row>
    <row r="50" spans="2:12" ht="83.5" customHeight="1" x14ac:dyDescent="0.2">
      <c r="B50" s="144"/>
      <c r="C50" s="144"/>
      <c r="D50" s="182"/>
      <c r="E50" s="139"/>
      <c r="F50" s="140"/>
      <c r="G50" s="141" t="s">
        <v>979</v>
      </c>
      <c r="H50" s="142"/>
      <c r="I50" s="28" t="s">
        <v>10</v>
      </c>
      <c r="J50" s="36"/>
      <c r="K50" s="37"/>
      <c r="L50" s="38"/>
    </row>
    <row r="51" spans="2:12" ht="92" customHeight="1" x14ac:dyDescent="0.2">
      <c r="B51" s="75" t="s">
        <v>90</v>
      </c>
      <c r="C51" s="75" t="s">
        <v>267</v>
      </c>
      <c r="D51" s="88" t="s">
        <v>980</v>
      </c>
      <c r="E51" s="187" t="s">
        <v>981</v>
      </c>
      <c r="F51" s="193"/>
      <c r="G51" s="127" t="s">
        <v>982</v>
      </c>
      <c r="H51" s="128"/>
      <c r="I51" s="28" t="s">
        <v>10</v>
      </c>
      <c r="J51" s="11"/>
      <c r="K51" s="33"/>
      <c r="L51" s="29"/>
    </row>
    <row r="52" spans="2:12" ht="83.5" customHeight="1" x14ac:dyDescent="0.2">
      <c r="B52" s="143" t="s">
        <v>90</v>
      </c>
      <c r="C52" s="143" t="s">
        <v>268</v>
      </c>
      <c r="D52" s="181" t="s">
        <v>983</v>
      </c>
      <c r="E52" s="135" t="s">
        <v>984</v>
      </c>
      <c r="F52" s="136"/>
      <c r="G52" s="141" t="s">
        <v>985</v>
      </c>
      <c r="H52" s="142"/>
      <c r="I52" s="28" t="s">
        <v>10</v>
      </c>
      <c r="J52" s="36"/>
      <c r="K52" s="37"/>
      <c r="L52" s="38"/>
    </row>
    <row r="53" spans="2:12" ht="83.5" customHeight="1" x14ac:dyDescent="0.2">
      <c r="B53" s="144"/>
      <c r="C53" s="144"/>
      <c r="D53" s="182"/>
      <c r="E53" s="137"/>
      <c r="F53" s="138"/>
      <c r="G53" s="141" t="s">
        <v>986</v>
      </c>
      <c r="H53" s="142"/>
      <c r="I53" s="28" t="s">
        <v>10</v>
      </c>
      <c r="J53" s="36"/>
      <c r="K53" s="37"/>
      <c r="L53" s="38"/>
    </row>
    <row r="54" spans="2:12" ht="83.5" customHeight="1" x14ac:dyDescent="0.2">
      <c r="B54" s="144"/>
      <c r="C54" s="144"/>
      <c r="D54" s="182"/>
      <c r="E54" s="139"/>
      <c r="F54" s="140"/>
      <c r="G54" s="141" t="s">
        <v>987</v>
      </c>
      <c r="H54" s="142"/>
      <c r="I54" s="28" t="s">
        <v>10</v>
      </c>
      <c r="J54" s="36"/>
      <c r="K54" s="37"/>
      <c r="L54" s="38"/>
    </row>
    <row r="55" spans="2:12" ht="91.75" customHeight="1" x14ac:dyDescent="0.2">
      <c r="B55" s="151" t="s">
        <v>90</v>
      </c>
      <c r="C55" s="151" t="s">
        <v>988</v>
      </c>
      <c r="D55" s="177" t="s">
        <v>989</v>
      </c>
      <c r="E55" s="129" t="s">
        <v>990</v>
      </c>
      <c r="F55" s="130"/>
      <c r="G55" s="127" t="s">
        <v>991</v>
      </c>
      <c r="H55" s="128"/>
      <c r="I55" s="28" t="s">
        <v>10</v>
      </c>
      <c r="J55" s="11"/>
      <c r="K55" s="33"/>
      <c r="L55" s="29"/>
    </row>
    <row r="56" spans="2:12" ht="91.75" customHeight="1" x14ac:dyDescent="0.2">
      <c r="B56" s="152"/>
      <c r="C56" s="152"/>
      <c r="D56" s="178"/>
      <c r="E56" s="131"/>
      <c r="F56" s="132"/>
      <c r="G56" s="127" t="s">
        <v>992</v>
      </c>
      <c r="H56" s="128"/>
      <c r="I56" s="28" t="s">
        <v>10</v>
      </c>
      <c r="J56" s="11"/>
      <c r="K56" s="33"/>
      <c r="L56" s="29"/>
    </row>
    <row r="57" spans="2:12" ht="91.75" customHeight="1" x14ac:dyDescent="0.2">
      <c r="B57" s="173"/>
      <c r="C57" s="173"/>
      <c r="D57" s="179"/>
      <c r="E57" s="133"/>
      <c r="F57" s="134"/>
      <c r="G57" s="127" t="s">
        <v>993</v>
      </c>
      <c r="H57" s="128"/>
      <c r="I57" s="28" t="s">
        <v>10</v>
      </c>
      <c r="J57" s="11"/>
      <c r="K57" s="33"/>
      <c r="L57" s="29"/>
    </row>
    <row r="228" spans="1:13" s="13" customFormat="1" x14ac:dyDescent="0.2">
      <c r="B228" s="3"/>
      <c r="C228" s="3"/>
      <c r="D228" s="3"/>
      <c r="E228" s="3"/>
      <c r="F228" s="89"/>
      <c r="G228" s="3"/>
      <c r="H228" s="89"/>
      <c r="I228" s="90"/>
      <c r="K228" s="31"/>
    </row>
    <row r="229" spans="1:13" s="89" customFormat="1" x14ac:dyDescent="0.2">
      <c r="A229" s="13"/>
      <c r="B229" s="3"/>
      <c r="C229" s="3"/>
      <c r="D229" s="3"/>
      <c r="E229" s="3"/>
      <c r="G229" s="3"/>
      <c r="I229" s="90"/>
      <c r="J229" s="13"/>
      <c r="K229" s="31"/>
      <c r="L229" s="13"/>
      <c r="M229" s="13"/>
    </row>
    <row r="230" spans="1:13" s="89" customFormat="1" x14ac:dyDescent="0.2">
      <c r="A230" s="13"/>
      <c r="B230" s="3"/>
      <c r="C230" s="3"/>
      <c r="D230" s="3"/>
      <c r="E230" s="3"/>
      <c r="G230" s="91"/>
      <c r="I230" s="90"/>
      <c r="J230" s="13"/>
      <c r="K230" s="31"/>
      <c r="L230" s="13"/>
      <c r="M230" s="13"/>
    </row>
    <row r="231" spans="1:13" s="89" customFormat="1" x14ac:dyDescent="0.2">
      <c r="A231" s="13"/>
      <c r="B231" s="3"/>
      <c r="C231" s="3"/>
      <c r="D231" s="3"/>
      <c r="E231" s="3"/>
      <c r="G231" s="92"/>
      <c r="I231" s="90"/>
      <c r="J231" s="13"/>
      <c r="K231" s="31"/>
      <c r="L231" s="13"/>
      <c r="M231" s="13"/>
    </row>
    <row r="232" spans="1:13" s="89" customFormat="1" x14ac:dyDescent="0.2">
      <c r="A232" s="13"/>
      <c r="B232" s="3"/>
      <c r="C232" s="3"/>
      <c r="D232" s="3"/>
      <c r="E232" s="3"/>
      <c r="G232" s="93"/>
      <c r="I232" s="90"/>
      <c r="J232" s="13"/>
      <c r="K232" s="31"/>
      <c r="L232" s="13"/>
      <c r="M232" s="13"/>
    </row>
    <row r="233" spans="1:13" s="89" customFormat="1" x14ac:dyDescent="0.2">
      <c r="A233" s="13"/>
      <c r="B233" s="3"/>
      <c r="C233" s="3"/>
      <c r="D233" s="3"/>
      <c r="E233" s="3"/>
      <c r="G233" s="94"/>
      <c r="I233" s="90"/>
      <c r="J233" s="13"/>
      <c r="K233" s="31"/>
      <c r="L233" s="13"/>
      <c r="M233" s="13"/>
    </row>
    <row r="234" spans="1:13" s="89" customFormat="1" x14ac:dyDescent="0.2">
      <c r="A234" s="13"/>
      <c r="B234" s="3"/>
      <c r="C234" s="3"/>
      <c r="D234" s="3"/>
      <c r="E234" s="3"/>
      <c r="G234" s="91"/>
      <c r="I234" s="90"/>
      <c r="J234" s="13"/>
      <c r="K234" s="31"/>
      <c r="L234" s="13"/>
      <c r="M234" s="13"/>
    </row>
    <row r="235" spans="1:13" s="13" customFormat="1" x14ac:dyDescent="0.2">
      <c r="B235" s="3"/>
      <c r="C235" s="3"/>
      <c r="D235" s="3"/>
      <c r="E235" s="3"/>
      <c r="F235" s="89"/>
      <c r="G235" s="3"/>
      <c r="H235" s="89"/>
      <c r="I235" s="90"/>
      <c r="K235" s="31"/>
    </row>
    <row r="236" spans="1:13" s="13" customFormat="1" x14ac:dyDescent="0.2">
      <c r="B236" s="3"/>
      <c r="C236" s="3"/>
      <c r="D236" s="3"/>
      <c r="E236" s="3"/>
      <c r="F236" s="89"/>
      <c r="G236" s="3"/>
      <c r="H236" s="89"/>
      <c r="I236" s="90"/>
      <c r="K236" s="31"/>
    </row>
    <row r="237" spans="1:13" s="13" customFormat="1" x14ac:dyDescent="0.2">
      <c r="B237" s="3"/>
      <c r="C237" s="3"/>
      <c r="D237" s="3"/>
      <c r="E237" s="3"/>
      <c r="F237" s="89"/>
      <c r="G237" s="3"/>
      <c r="H237" s="89"/>
      <c r="I237" s="90"/>
      <c r="K237" s="31"/>
    </row>
    <row r="238" spans="1:13" s="89" customFormat="1" x14ac:dyDescent="0.2">
      <c r="A238" s="13"/>
      <c r="B238" s="3"/>
      <c r="C238" s="3"/>
      <c r="D238" s="3"/>
      <c r="E238" s="3"/>
      <c r="G238" s="95"/>
      <c r="I238" s="90"/>
      <c r="J238" s="13"/>
      <c r="K238" s="31"/>
      <c r="L238" s="13"/>
      <c r="M238" s="13"/>
    </row>
    <row r="239" spans="1:13" s="89" customFormat="1" x14ac:dyDescent="0.2">
      <c r="A239" s="13"/>
      <c r="B239" s="3"/>
      <c r="C239" s="3"/>
      <c r="D239" s="3"/>
      <c r="E239" s="3"/>
      <c r="G239" s="96"/>
      <c r="I239" s="90"/>
      <c r="J239" s="13"/>
      <c r="K239" s="31"/>
      <c r="L239" s="13"/>
      <c r="M239" s="13"/>
    </row>
    <row r="240" spans="1:13" s="89" customFormat="1" x14ac:dyDescent="0.2">
      <c r="A240" s="13"/>
      <c r="B240" s="3"/>
      <c r="C240" s="3"/>
      <c r="D240" s="3"/>
      <c r="E240" s="3"/>
      <c r="G240" s="93"/>
      <c r="I240" s="90"/>
      <c r="J240" s="13"/>
      <c r="K240" s="31"/>
      <c r="L240" s="13"/>
      <c r="M240" s="13"/>
    </row>
    <row r="241" spans="1:13" s="89" customFormat="1" x14ac:dyDescent="0.2">
      <c r="A241" s="13"/>
      <c r="B241" s="3"/>
      <c r="C241" s="3"/>
      <c r="D241" s="3"/>
      <c r="E241" s="3"/>
      <c r="G241" s="93"/>
      <c r="I241" s="90"/>
      <c r="J241" s="13"/>
      <c r="K241" s="31"/>
      <c r="L241" s="13"/>
      <c r="M241" s="13"/>
    </row>
    <row r="242" spans="1:13" s="89" customFormat="1" x14ac:dyDescent="0.2">
      <c r="A242" s="13"/>
      <c r="B242" s="3"/>
      <c r="C242" s="3"/>
      <c r="D242" s="3"/>
      <c r="E242" s="3"/>
      <c r="G242" s="91"/>
      <c r="I242" s="90"/>
      <c r="J242" s="13"/>
      <c r="K242" s="31"/>
      <c r="L242" s="13"/>
      <c r="M242" s="13"/>
    </row>
    <row r="243" spans="1:13" s="13" customFormat="1" x14ac:dyDescent="0.2">
      <c r="B243" s="3"/>
      <c r="C243" s="3"/>
      <c r="D243" s="3"/>
      <c r="E243" s="3"/>
      <c r="F243" s="89"/>
      <c r="G243" s="3"/>
      <c r="H243" s="89"/>
      <c r="I243" s="90"/>
      <c r="K243" s="31"/>
    </row>
    <row r="244" spans="1:13" s="13" customFormat="1" x14ac:dyDescent="0.2">
      <c r="B244" s="3"/>
      <c r="C244" s="3"/>
      <c r="D244" s="3"/>
      <c r="E244" s="3"/>
      <c r="F244" s="89"/>
      <c r="G244" s="3"/>
      <c r="H244" s="89"/>
      <c r="I244" s="90"/>
      <c r="K244" s="31"/>
    </row>
    <row r="245" spans="1:13" s="13" customFormat="1" x14ac:dyDescent="0.2">
      <c r="B245" s="3"/>
      <c r="C245" s="3"/>
      <c r="D245" s="3"/>
      <c r="E245" s="3"/>
      <c r="F245" s="89"/>
      <c r="G245" s="3"/>
      <c r="H245" s="89"/>
      <c r="I245" s="90"/>
      <c r="K245" s="31"/>
    </row>
    <row r="246" spans="1:13" s="89" customFormat="1" x14ac:dyDescent="0.2">
      <c r="A246" s="13"/>
      <c r="B246" s="3"/>
      <c r="C246" s="3"/>
      <c r="D246" s="3"/>
      <c r="E246" s="3"/>
      <c r="G246" s="95"/>
      <c r="I246" s="90"/>
      <c r="J246" s="13"/>
      <c r="K246" s="31"/>
      <c r="L246" s="13"/>
      <c r="M246" s="13"/>
    </row>
    <row r="247" spans="1:13" s="89" customFormat="1" x14ac:dyDescent="0.2">
      <c r="A247" s="13"/>
      <c r="B247" s="3"/>
      <c r="C247" s="3"/>
      <c r="D247" s="3"/>
      <c r="E247" s="3"/>
      <c r="G247" s="96"/>
      <c r="I247" s="90"/>
      <c r="J247" s="13"/>
      <c r="K247" s="31"/>
      <c r="L247" s="13"/>
      <c r="M247" s="13"/>
    </row>
    <row r="248" spans="1:13" s="89" customFormat="1" x14ac:dyDescent="0.2">
      <c r="A248" s="13"/>
      <c r="B248" s="3"/>
      <c r="C248" s="3"/>
      <c r="D248" s="3"/>
      <c r="E248" s="3"/>
      <c r="G248" s="93"/>
      <c r="I248" s="90"/>
      <c r="J248" s="13"/>
      <c r="K248" s="31"/>
      <c r="L248" s="13"/>
      <c r="M248" s="13"/>
    </row>
    <row r="249" spans="1:13" s="89" customFormat="1" x14ac:dyDescent="0.2">
      <c r="A249" s="13"/>
      <c r="B249" s="3"/>
      <c r="C249" s="3"/>
      <c r="D249" s="3"/>
      <c r="E249" s="3"/>
      <c r="G249" s="93"/>
      <c r="I249" s="90"/>
      <c r="J249" s="13"/>
      <c r="K249" s="31"/>
      <c r="L249" s="13"/>
      <c r="M249" s="13"/>
    </row>
    <row r="250" spans="1:13" s="89" customFormat="1" x14ac:dyDescent="0.2">
      <c r="A250" s="13"/>
      <c r="B250" s="3"/>
      <c r="C250" s="3"/>
      <c r="D250" s="3"/>
      <c r="E250" s="3"/>
      <c r="G250" s="95"/>
      <c r="I250" s="90"/>
      <c r="J250" s="13"/>
      <c r="K250" s="31"/>
      <c r="L250" s="13"/>
      <c r="M250" s="13"/>
    </row>
    <row r="251" spans="1:13" s="89" customFormat="1" x14ac:dyDescent="0.2">
      <c r="A251" s="13"/>
      <c r="B251" s="3"/>
      <c r="C251" s="3"/>
      <c r="D251" s="3"/>
      <c r="E251" s="3"/>
      <c r="G251" s="97"/>
      <c r="I251" s="90"/>
      <c r="J251" s="13"/>
      <c r="K251" s="31"/>
      <c r="L251" s="13"/>
      <c r="M251" s="13"/>
    </row>
    <row r="252" spans="1:13" s="89" customFormat="1" x14ac:dyDescent="0.2">
      <c r="A252" s="13"/>
      <c r="B252" s="3"/>
      <c r="C252" s="3"/>
      <c r="D252" s="3"/>
      <c r="E252" s="3"/>
      <c r="G252" s="95"/>
      <c r="I252" s="90"/>
      <c r="J252" s="13"/>
      <c r="K252" s="31"/>
      <c r="L252" s="13"/>
      <c r="M252" s="13"/>
    </row>
    <row r="253" spans="1:13" s="13" customFormat="1" x14ac:dyDescent="0.2">
      <c r="B253" s="3"/>
      <c r="C253" s="3"/>
      <c r="D253" s="3"/>
      <c r="E253" s="3"/>
      <c r="F253" s="89"/>
      <c r="G253" s="3"/>
      <c r="H253" s="89"/>
      <c r="I253" s="90"/>
      <c r="K253" s="31"/>
    </row>
    <row r="254" spans="1:13" s="13" customFormat="1" x14ac:dyDescent="0.2">
      <c r="B254" s="3"/>
      <c r="C254" s="3"/>
      <c r="D254" s="3"/>
      <c r="E254" s="3"/>
      <c r="F254" s="89"/>
      <c r="G254" s="3"/>
      <c r="H254" s="89"/>
      <c r="I254" s="90"/>
      <c r="K254" s="31"/>
    </row>
    <row r="255" spans="1:13" s="13" customFormat="1" x14ac:dyDescent="0.2">
      <c r="B255" s="3"/>
      <c r="C255" s="3"/>
      <c r="D255" s="3"/>
      <c r="E255" s="3"/>
      <c r="F255" s="89"/>
      <c r="G255" s="3"/>
      <c r="H255" s="89"/>
      <c r="I255" s="90"/>
      <c r="K255" s="31"/>
    </row>
    <row r="256" spans="1:13" s="13" customFormat="1" x14ac:dyDescent="0.2">
      <c r="B256" s="3"/>
      <c r="C256" s="3"/>
      <c r="D256" s="3"/>
      <c r="E256" s="3"/>
      <c r="F256" s="89"/>
      <c r="G256" s="3"/>
      <c r="H256" s="89"/>
      <c r="I256" s="90"/>
      <c r="K256" s="31"/>
    </row>
    <row r="257" spans="2:11" s="13" customFormat="1" x14ac:dyDescent="0.2">
      <c r="B257" s="3"/>
      <c r="C257" s="3"/>
      <c r="D257" s="3"/>
      <c r="E257" s="3"/>
      <c r="F257" s="89"/>
      <c r="G257" s="3"/>
      <c r="H257" s="89"/>
      <c r="I257" s="90"/>
      <c r="K257" s="31"/>
    </row>
    <row r="258" spans="2:11" s="13" customFormat="1" x14ac:dyDescent="0.2">
      <c r="B258" s="3"/>
      <c r="C258" s="3"/>
      <c r="D258" s="3"/>
      <c r="E258" s="3"/>
      <c r="F258" s="89"/>
      <c r="G258" s="3"/>
      <c r="H258" s="89"/>
      <c r="I258" s="90"/>
      <c r="K258" s="31"/>
    </row>
    <row r="259" spans="2:11" s="13" customFormat="1" x14ac:dyDescent="0.2">
      <c r="B259" s="3"/>
      <c r="C259" s="3"/>
      <c r="D259" s="3"/>
      <c r="E259" s="3"/>
      <c r="F259" s="89"/>
      <c r="G259" s="3"/>
      <c r="H259" s="89"/>
      <c r="I259" s="90"/>
      <c r="K259" s="31"/>
    </row>
    <row r="260" spans="2:11" s="13" customFormat="1" x14ac:dyDescent="0.2">
      <c r="B260" s="3"/>
      <c r="C260" s="3"/>
      <c r="D260" s="3"/>
      <c r="E260" s="3"/>
      <c r="F260" s="89"/>
      <c r="G260" s="3"/>
      <c r="H260" s="89"/>
      <c r="I260" s="90"/>
      <c r="K260" s="31"/>
    </row>
    <row r="261" spans="2:11" s="13" customFormat="1" x14ac:dyDescent="0.2">
      <c r="B261" s="3"/>
      <c r="C261" s="3"/>
      <c r="D261" s="3"/>
      <c r="E261" s="3"/>
      <c r="F261" s="89"/>
      <c r="G261" s="3"/>
      <c r="H261" s="89"/>
      <c r="I261" s="90"/>
      <c r="K261" s="31"/>
    </row>
    <row r="262" spans="2:11" s="13" customFormat="1" x14ac:dyDescent="0.2">
      <c r="B262" s="3"/>
      <c r="C262" s="3"/>
      <c r="D262" s="3"/>
      <c r="E262" s="3"/>
      <c r="F262" s="89"/>
      <c r="G262" s="3"/>
      <c r="H262" s="89"/>
      <c r="I262" s="90"/>
      <c r="K262" s="31"/>
    </row>
    <row r="263" spans="2:11" s="13" customFormat="1" x14ac:dyDescent="0.2">
      <c r="B263" s="3"/>
      <c r="C263" s="3"/>
      <c r="D263" s="3"/>
      <c r="E263" s="3"/>
      <c r="F263" s="89"/>
      <c r="G263" s="3"/>
      <c r="H263" s="89"/>
      <c r="I263" s="90"/>
      <c r="K263" s="31"/>
    </row>
    <row r="264" spans="2:11" s="13" customFormat="1" x14ac:dyDescent="0.2">
      <c r="B264" s="3"/>
      <c r="C264" s="3"/>
      <c r="D264" s="3"/>
      <c r="E264" s="3"/>
      <c r="F264" s="89"/>
      <c r="G264" s="3"/>
      <c r="H264" s="89"/>
      <c r="I264" s="90"/>
      <c r="K264" s="31"/>
    </row>
    <row r="265" spans="2:11" s="13" customFormat="1" x14ac:dyDescent="0.2">
      <c r="B265" s="3"/>
      <c r="C265" s="3"/>
      <c r="D265" s="3"/>
      <c r="E265" s="3"/>
      <c r="F265" s="89"/>
      <c r="G265" s="3"/>
      <c r="H265" s="89"/>
      <c r="I265" s="90"/>
      <c r="K265" s="31"/>
    </row>
    <row r="266" spans="2:11" s="13" customFormat="1" x14ac:dyDescent="0.2">
      <c r="B266" s="3"/>
      <c r="C266" s="3"/>
      <c r="D266" s="3"/>
      <c r="E266" s="3"/>
      <c r="F266" s="89"/>
      <c r="G266" s="3"/>
      <c r="H266" s="89"/>
      <c r="I266" s="90"/>
      <c r="K266" s="31"/>
    </row>
    <row r="267" spans="2:11" s="13" customFormat="1" x14ac:dyDescent="0.2">
      <c r="B267" s="3"/>
      <c r="C267" s="3"/>
      <c r="D267" s="3"/>
      <c r="E267" s="3"/>
      <c r="F267" s="89"/>
      <c r="G267" s="3"/>
      <c r="H267" s="89"/>
      <c r="I267" s="90"/>
      <c r="K267" s="31"/>
    </row>
    <row r="268" spans="2:11" s="13" customFormat="1" x14ac:dyDescent="0.2">
      <c r="B268" s="3"/>
      <c r="C268" s="3"/>
      <c r="D268" s="3"/>
      <c r="E268" s="3"/>
      <c r="F268" s="89"/>
      <c r="G268" s="3"/>
      <c r="H268" s="89"/>
      <c r="I268" s="90"/>
      <c r="K268" s="31"/>
    </row>
    <row r="269" spans="2:11" s="13" customFormat="1" x14ac:dyDescent="0.2">
      <c r="B269" s="3"/>
      <c r="C269" s="3"/>
      <c r="D269" s="3"/>
      <c r="E269" s="3"/>
      <c r="F269" s="89"/>
      <c r="G269" s="3"/>
      <c r="H269" s="89"/>
      <c r="I269" s="90"/>
      <c r="K269" s="31"/>
    </row>
    <row r="270" spans="2:11" s="13" customFormat="1" x14ac:dyDescent="0.2">
      <c r="B270" s="3"/>
      <c r="C270" s="3"/>
      <c r="D270" s="3"/>
      <c r="E270" s="3"/>
      <c r="F270" s="89"/>
      <c r="G270" s="3"/>
      <c r="H270" s="89"/>
      <c r="I270" s="90"/>
      <c r="K270" s="31"/>
    </row>
    <row r="271" spans="2:11" s="13" customFormat="1" x14ac:dyDescent="0.2">
      <c r="B271" s="3"/>
      <c r="C271" s="3"/>
      <c r="D271" s="3"/>
      <c r="E271" s="3"/>
      <c r="F271" s="89"/>
      <c r="G271" s="3"/>
      <c r="H271" s="89"/>
      <c r="I271" s="90"/>
      <c r="K271" s="31"/>
    </row>
    <row r="272" spans="2:11" s="13" customFormat="1" x14ac:dyDescent="0.2">
      <c r="B272" s="3"/>
      <c r="C272" s="3"/>
      <c r="D272" s="3"/>
      <c r="E272" s="3"/>
      <c r="F272" s="89"/>
      <c r="G272" s="3"/>
      <c r="H272" s="89"/>
      <c r="I272" s="90"/>
      <c r="K272" s="31"/>
    </row>
    <row r="273" spans="2:11" s="13" customFormat="1" x14ac:dyDescent="0.2">
      <c r="B273" s="3"/>
      <c r="C273" s="3"/>
      <c r="D273" s="3"/>
      <c r="E273" s="3"/>
      <c r="F273" s="89"/>
      <c r="G273" s="3"/>
      <c r="H273" s="89"/>
      <c r="I273" s="90"/>
      <c r="K273" s="31"/>
    </row>
    <row r="274" spans="2:11" s="13" customFormat="1" x14ac:dyDescent="0.2">
      <c r="B274" s="3"/>
      <c r="C274" s="3"/>
      <c r="D274" s="3"/>
      <c r="E274" s="3"/>
      <c r="F274" s="89"/>
      <c r="G274" s="3"/>
      <c r="H274" s="89"/>
      <c r="I274" s="90"/>
      <c r="K274" s="31"/>
    </row>
    <row r="275" spans="2:11" s="13" customFormat="1" x14ac:dyDescent="0.2">
      <c r="B275" s="3"/>
      <c r="C275" s="3"/>
      <c r="D275" s="3"/>
      <c r="E275" s="3"/>
      <c r="F275" s="89"/>
      <c r="G275" s="3"/>
      <c r="H275" s="89"/>
      <c r="I275" s="90"/>
      <c r="K275" s="31"/>
    </row>
    <row r="276" spans="2:11" s="13" customFormat="1" x14ac:dyDescent="0.2">
      <c r="B276" s="3"/>
      <c r="C276" s="3"/>
      <c r="D276" s="3"/>
      <c r="E276" s="3"/>
      <c r="F276" s="89"/>
      <c r="G276" s="3"/>
      <c r="H276" s="89"/>
      <c r="I276" s="90"/>
      <c r="K276" s="31"/>
    </row>
    <row r="277" spans="2:11" s="13" customFormat="1" x14ac:dyDescent="0.2">
      <c r="B277" s="3"/>
      <c r="C277" s="3"/>
      <c r="D277" s="3"/>
      <c r="E277" s="3"/>
      <c r="F277" s="89"/>
      <c r="G277" s="3"/>
      <c r="H277" s="89"/>
      <c r="I277" s="90"/>
      <c r="K277" s="31"/>
    </row>
    <row r="278" spans="2:11" s="13" customFormat="1" x14ac:dyDescent="0.2">
      <c r="B278" s="3"/>
      <c r="C278" s="3"/>
      <c r="D278" s="3"/>
      <c r="E278" s="3"/>
      <c r="F278" s="89"/>
      <c r="G278" s="3"/>
      <c r="H278" s="89"/>
      <c r="I278" s="90"/>
      <c r="K278" s="31"/>
    </row>
    <row r="279" spans="2:11" s="13" customFormat="1" x14ac:dyDescent="0.2">
      <c r="B279" s="3"/>
      <c r="C279" s="3"/>
      <c r="D279" s="3"/>
      <c r="E279" s="3"/>
      <c r="F279" s="89"/>
      <c r="G279" s="3"/>
      <c r="H279" s="89"/>
      <c r="I279" s="90"/>
      <c r="K279" s="31"/>
    </row>
    <row r="280" spans="2:11" s="13" customFormat="1" x14ac:dyDescent="0.2">
      <c r="B280" s="3"/>
      <c r="C280" s="3"/>
      <c r="D280" s="3"/>
      <c r="E280" s="3"/>
      <c r="F280" s="89"/>
      <c r="G280" s="3"/>
      <c r="H280" s="89"/>
      <c r="I280" s="90"/>
      <c r="K280" s="31"/>
    </row>
    <row r="281" spans="2:11" s="13" customFormat="1" x14ac:dyDescent="0.2">
      <c r="B281" s="3"/>
      <c r="C281" s="3"/>
      <c r="D281" s="3"/>
      <c r="E281" s="3"/>
      <c r="F281" s="89"/>
      <c r="G281" s="3"/>
      <c r="H281" s="89"/>
      <c r="I281" s="90"/>
      <c r="K281" s="31"/>
    </row>
    <row r="282" spans="2:11" s="13" customFormat="1" x14ac:dyDescent="0.2">
      <c r="B282" s="3"/>
      <c r="C282" s="3"/>
      <c r="D282" s="3"/>
      <c r="E282" s="3"/>
      <c r="F282" s="89"/>
      <c r="G282" s="3"/>
      <c r="H282" s="89"/>
      <c r="I282" s="90"/>
      <c r="K282" s="31"/>
    </row>
    <row r="283" spans="2:11" s="13" customFormat="1" x14ac:dyDescent="0.2">
      <c r="B283" s="3"/>
      <c r="C283" s="3"/>
      <c r="D283" s="3"/>
      <c r="E283" s="3"/>
      <c r="F283" s="89"/>
      <c r="G283" s="3"/>
      <c r="H283" s="89"/>
      <c r="I283" s="90"/>
      <c r="K283" s="31"/>
    </row>
    <row r="284" spans="2:11" s="13" customFormat="1" x14ac:dyDescent="0.2">
      <c r="B284" s="3"/>
      <c r="C284" s="3"/>
      <c r="D284" s="3"/>
      <c r="E284" s="3"/>
      <c r="F284" s="89"/>
      <c r="G284" s="3"/>
      <c r="H284" s="89"/>
      <c r="I284" s="90"/>
      <c r="K284" s="31"/>
    </row>
    <row r="285" spans="2:11" s="13" customFormat="1" x14ac:dyDescent="0.2">
      <c r="B285" s="3"/>
      <c r="C285" s="3"/>
      <c r="D285" s="3"/>
      <c r="E285" s="3"/>
      <c r="F285" s="89"/>
      <c r="G285" s="3"/>
      <c r="H285" s="89"/>
      <c r="I285" s="90"/>
      <c r="K285" s="31"/>
    </row>
    <row r="286" spans="2:11" s="13" customFormat="1" x14ac:dyDescent="0.2">
      <c r="B286" s="3"/>
      <c r="C286" s="3"/>
      <c r="D286" s="3"/>
      <c r="E286" s="3"/>
      <c r="F286" s="89"/>
      <c r="G286" s="3"/>
      <c r="H286" s="89"/>
      <c r="I286" s="90"/>
      <c r="K286" s="31"/>
    </row>
    <row r="287" spans="2:11" s="13" customFormat="1" x14ac:dyDescent="0.2">
      <c r="B287" s="3"/>
      <c r="C287" s="3"/>
      <c r="D287" s="3"/>
      <c r="E287" s="3"/>
      <c r="F287" s="89"/>
      <c r="G287" s="3"/>
      <c r="H287" s="89"/>
      <c r="I287" s="90"/>
      <c r="K287" s="31"/>
    </row>
    <row r="288" spans="2:11" s="13" customFormat="1" x14ac:dyDescent="0.2">
      <c r="B288" s="3"/>
      <c r="C288" s="3"/>
      <c r="D288" s="3"/>
      <c r="E288" s="3"/>
      <c r="F288" s="89"/>
      <c r="G288" s="3"/>
      <c r="H288" s="89"/>
      <c r="I288" s="90"/>
      <c r="K288" s="31"/>
    </row>
    <row r="289" spans="2:11" s="13" customFormat="1" x14ac:dyDescent="0.2">
      <c r="B289" s="3"/>
      <c r="C289" s="3"/>
      <c r="D289" s="3"/>
      <c r="E289" s="3"/>
      <c r="F289" s="89"/>
      <c r="G289" s="3"/>
      <c r="H289" s="89"/>
      <c r="I289" s="90"/>
      <c r="K289" s="31"/>
    </row>
    <row r="290" spans="2:11" s="13" customFormat="1" x14ac:dyDescent="0.2">
      <c r="B290" s="3"/>
      <c r="C290" s="3"/>
      <c r="D290" s="3"/>
      <c r="E290" s="3"/>
      <c r="F290" s="89"/>
      <c r="G290" s="3"/>
      <c r="H290" s="89"/>
      <c r="I290" s="90"/>
      <c r="K290" s="31"/>
    </row>
    <row r="291" spans="2:11" s="13" customFormat="1" x14ac:dyDescent="0.2">
      <c r="B291" s="3"/>
      <c r="C291" s="3"/>
      <c r="D291" s="3"/>
      <c r="E291" s="3"/>
      <c r="F291" s="89"/>
      <c r="G291" s="3"/>
      <c r="H291" s="89"/>
      <c r="I291" s="90"/>
      <c r="K291" s="31"/>
    </row>
    <row r="292" spans="2:11" s="13" customFormat="1" x14ac:dyDescent="0.2">
      <c r="B292" s="3"/>
      <c r="C292" s="3"/>
      <c r="D292" s="3"/>
      <c r="E292" s="3"/>
      <c r="F292" s="89"/>
      <c r="G292" s="3"/>
      <c r="H292" s="89"/>
      <c r="I292" s="90"/>
      <c r="K292" s="31"/>
    </row>
    <row r="293" spans="2:11" s="13" customFormat="1" x14ac:dyDescent="0.2">
      <c r="B293" s="3"/>
      <c r="C293" s="3"/>
      <c r="D293" s="3"/>
      <c r="E293" s="3"/>
      <c r="F293" s="89"/>
      <c r="G293" s="3"/>
      <c r="H293" s="89"/>
      <c r="I293" s="90"/>
      <c r="K293" s="31"/>
    </row>
    <row r="294" spans="2:11" s="13" customFormat="1" x14ac:dyDescent="0.2">
      <c r="B294" s="3"/>
      <c r="C294" s="3"/>
      <c r="D294" s="3"/>
      <c r="E294" s="3"/>
      <c r="F294" s="89"/>
      <c r="G294" s="3"/>
      <c r="H294" s="89"/>
      <c r="I294" s="90"/>
      <c r="K294" s="31"/>
    </row>
    <row r="295" spans="2:11" s="13" customFormat="1" x14ac:dyDescent="0.2">
      <c r="B295" s="3"/>
      <c r="C295" s="3"/>
      <c r="D295" s="3"/>
      <c r="E295" s="3"/>
      <c r="F295" s="89"/>
      <c r="G295" s="3"/>
      <c r="H295" s="89"/>
      <c r="I295" s="90"/>
      <c r="K295" s="31"/>
    </row>
    <row r="296" spans="2:11" s="13" customFormat="1" x14ac:dyDescent="0.2">
      <c r="B296" s="3"/>
      <c r="C296" s="3"/>
      <c r="D296" s="3"/>
      <c r="E296" s="3"/>
      <c r="F296" s="89"/>
      <c r="G296" s="3"/>
      <c r="H296" s="89"/>
      <c r="I296" s="90"/>
      <c r="K296" s="31"/>
    </row>
    <row r="297" spans="2:11" s="13" customFormat="1" x14ac:dyDescent="0.2">
      <c r="B297" s="3"/>
      <c r="C297" s="3"/>
      <c r="D297" s="3"/>
      <c r="E297" s="3"/>
      <c r="F297" s="89"/>
      <c r="G297" s="3"/>
      <c r="H297" s="89"/>
      <c r="I297" s="90"/>
      <c r="K297" s="31"/>
    </row>
    <row r="298" spans="2:11" s="13" customFormat="1" x14ac:dyDescent="0.2">
      <c r="B298" s="3"/>
      <c r="C298" s="3"/>
      <c r="D298" s="3"/>
      <c r="E298" s="3"/>
      <c r="F298" s="89"/>
      <c r="G298" s="3"/>
      <c r="H298" s="89"/>
      <c r="I298" s="90"/>
      <c r="K298" s="31"/>
    </row>
    <row r="299" spans="2:11" s="13" customFormat="1" x14ac:dyDescent="0.2">
      <c r="B299" s="3"/>
      <c r="C299" s="3"/>
      <c r="D299" s="3"/>
      <c r="E299" s="3"/>
      <c r="F299" s="89"/>
      <c r="G299" s="3"/>
      <c r="H299" s="89"/>
      <c r="I299" s="90"/>
      <c r="K299" s="31"/>
    </row>
    <row r="300" spans="2:11" s="13" customFormat="1" x14ac:dyDescent="0.2">
      <c r="B300" s="3"/>
      <c r="C300" s="3"/>
      <c r="D300" s="3"/>
      <c r="E300" s="3"/>
      <c r="F300" s="89"/>
      <c r="G300" s="3"/>
      <c r="H300" s="89"/>
      <c r="I300" s="90"/>
      <c r="K300" s="31"/>
    </row>
    <row r="301" spans="2:11" s="13" customFormat="1" x14ac:dyDescent="0.2">
      <c r="B301" s="3"/>
      <c r="C301" s="3"/>
      <c r="D301" s="3"/>
      <c r="E301" s="3"/>
      <c r="F301" s="89"/>
      <c r="G301" s="3"/>
      <c r="H301" s="89"/>
      <c r="I301" s="90"/>
      <c r="K301" s="31"/>
    </row>
    <row r="302" spans="2:11" s="13" customFormat="1" x14ac:dyDescent="0.2">
      <c r="B302" s="3"/>
      <c r="C302" s="3"/>
      <c r="D302" s="3"/>
      <c r="E302" s="3"/>
      <c r="F302" s="89"/>
      <c r="G302" s="3"/>
      <c r="H302" s="89"/>
      <c r="I302" s="90"/>
      <c r="K302" s="31"/>
    </row>
    <row r="303" spans="2:11" s="13" customFormat="1" x14ac:dyDescent="0.2">
      <c r="B303" s="3"/>
      <c r="C303" s="3"/>
      <c r="D303" s="3"/>
      <c r="E303" s="3"/>
      <c r="F303" s="89"/>
      <c r="G303" s="3"/>
      <c r="H303" s="89"/>
      <c r="I303" s="90"/>
      <c r="K303" s="31"/>
    </row>
    <row r="304" spans="2:11" s="13" customFormat="1" x14ac:dyDescent="0.2">
      <c r="B304" s="3"/>
      <c r="C304" s="3"/>
      <c r="D304" s="3"/>
      <c r="E304" s="3"/>
      <c r="F304" s="89"/>
      <c r="G304" s="3"/>
      <c r="H304" s="89"/>
      <c r="I304" s="90"/>
      <c r="K304" s="31"/>
    </row>
    <row r="305" spans="2:11" s="13" customFormat="1" x14ac:dyDescent="0.2">
      <c r="B305" s="3"/>
      <c r="C305" s="3"/>
      <c r="D305" s="3"/>
      <c r="E305" s="3"/>
      <c r="F305" s="89"/>
      <c r="G305" s="3"/>
      <c r="H305" s="89"/>
      <c r="I305" s="90"/>
      <c r="K305" s="31"/>
    </row>
    <row r="306" spans="2:11" s="13" customFormat="1" x14ac:dyDescent="0.2">
      <c r="B306" s="3"/>
      <c r="C306" s="3"/>
      <c r="D306" s="3"/>
      <c r="E306" s="3"/>
      <c r="F306" s="89"/>
      <c r="G306" s="3"/>
      <c r="H306" s="89"/>
      <c r="I306" s="90"/>
      <c r="K306" s="31"/>
    </row>
    <row r="307" spans="2:11" s="13" customFormat="1" x14ac:dyDescent="0.2">
      <c r="B307" s="3"/>
      <c r="C307" s="3"/>
      <c r="D307" s="3"/>
      <c r="E307" s="3"/>
      <c r="F307" s="89"/>
      <c r="G307" s="3"/>
      <c r="H307" s="89"/>
      <c r="I307" s="90"/>
      <c r="K307" s="31"/>
    </row>
    <row r="308" spans="2:11" s="13" customFormat="1" x14ac:dyDescent="0.2">
      <c r="B308" s="3"/>
      <c r="C308" s="3"/>
      <c r="D308" s="3"/>
      <c r="E308" s="3"/>
      <c r="F308" s="89"/>
      <c r="G308" s="3"/>
      <c r="H308" s="89"/>
      <c r="I308" s="90"/>
      <c r="K308" s="31"/>
    </row>
    <row r="309" spans="2:11" s="13" customFormat="1" x14ac:dyDescent="0.2">
      <c r="B309" s="3"/>
      <c r="C309" s="3"/>
      <c r="D309" s="3"/>
      <c r="E309" s="3"/>
      <c r="F309" s="89"/>
      <c r="G309" s="3"/>
      <c r="H309" s="89"/>
      <c r="I309" s="90"/>
      <c r="K309" s="31"/>
    </row>
    <row r="310" spans="2:11" s="13" customFormat="1" x14ac:dyDescent="0.2">
      <c r="B310" s="3"/>
      <c r="C310" s="3"/>
      <c r="D310" s="3"/>
      <c r="E310" s="3"/>
      <c r="F310" s="89"/>
      <c r="G310" s="3"/>
      <c r="H310" s="89"/>
      <c r="I310" s="90"/>
      <c r="K310" s="31"/>
    </row>
    <row r="311" spans="2:11" s="13" customFormat="1" x14ac:dyDescent="0.2">
      <c r="B311" s="3"/>
      <c r="C311" s="3"/>
      <c r="D311" s="3"/>
      <c r="E311" s="3"/>
      <c r="F311" s="89"/>
      <c r="G311" s="3"/>
      <c r="H311" s="89"/>
      <c r="I311" s="90"/>
      <c r="K311" s="31"/>
    </row>
    <row r="312" spans="2:11" s="13" customFormat="1" x14ac:dyDescent="0.2">
      <c r="B312" s="3"/>
      <c r="C312" s="3"/>
      <c r="D312" s="3"/>
      <c r="E312" s="3"/>
      <c r="F312" s="89"/>
      <c r="G312" s="3"/>
      <c r="H312" s="89"/>
      <c r="I312" s="90"/>
      <c r="K312" s="31"/>
    </row>
    <row r="313" spans="2:11" s="13" customFormat="1" x14ac:dyDescent="0.2">
      <c r="B313" s="3"/>
      <c r="C313" s="3"/>
      <c r="D313" s="3"/>
      <c r="E313" s="3"/>
      <c r="F313" s="89"/>
      <c r="G313" s="3"/>
      <c r="H313" s="89"/>
      <c r="I313" s="90"/>
      <c r="K313" s="31"/>
    </row>
    <row r="314" spans="2:11" s="13" customFormat="1" x14ac:dyDescent="0.2">
      <c r="B314" s="3"/>
      <c r="C314" s="3"/>
      <c r="D314" s="3"/>
      <c r="E314" s="3"/>
      <c r="F314" s="89"/>
      <c r="G314" s="3"/>
      <c r="H314" s="89"/>
      <c r="I314" s="90"/>
      <c r="K314" s="31"/>
    </row>
    <row r="315" spans="2:11" s="13" customFormat="1" x14ac:dyDescent="0.2">
      <c r="B315" s="3"/>
      <c r="C315" s="3"/>
      <c r="D315" s="3"/>
      <c r="E315" s="3"/>
      <c r="F315" s="89"/>
      <c r="G315" s="3"/>
      <c r="H315" s="89"/>
      <c r="I315" s="90"/>
      <c r="K315" s="31"/>
    </row>
    <row r="316" spans="2:11" s="13" customFormat="1" x14ac:dyDescent="0.2">
      <c r="B316" s="3"/>
      <c r="C316" s="3"/>
      <c r="D316" s="3"/>
      <c r="E316" s="3"/>
      <c r="F316" s="89"/>
      <c r="G316" s="3"/>
      <c r="H316" s="89"/>
      <c r="I316" s="90"/>
      <c r="K316" s="31"/>
    </row>
    <row r="317" spans="2:11" s="13" customFormat="1" x14ac:dyDescent="0.2">
      <c r="B317" s="3"/>
      <c r="C317" s="3"/>
      <c r="D317" s="3"/>
      <c r="E317" s="3"/>
      <c r="F317" s="89"/>
      <c r="G317" s="3"/>
      <c r="H317" s="89"/>
      <c r="I317" s="90"/>
      <c r="K317" s="31"/>
    </row>
    <row r="318" spans="2:11" s="13" customFormat="1" x14ac:dyDescent="0.2">
      <c r="B318" s="3"/>
      <c r="C318" s="3"/>
      <c r="D318" s="3"/>
      <c r="E318" s="3"/>
      <c r="F318" s="89"/>
      <c r="G318" s="3"/>
      <c r="H318" s="89"/>
      <c r="I318" s="90"/>
      <c r="K318" s="31"/>
    </row>
    <row r="319" spans="2:11" s="13" customFormat="1" x14ac:dyDescent="0.2">
      <c r="B319" s="3"/>
      <c r="C319" s="3"/>
      <c r="D319" s="3"/>
      <c r="E319" s="3"/>
      <c r="F319" s="89"/>
      <c r="G319" s="3"/>
      <c r="H319" s="89"/>
      <c r="I319" s="90"/>
      <c r="K319" s="31"/>
    </row>
    <row r="320" spans="2:11" s="13" customFormat="1" x14ac:dyDescent="0.2">
      <c r="B320" s="3"/>
      <c r="C320" s="3"/>
      <c r="D320" s="3"/>
      <c r="E320" s="3"/>
      <c r="F320" s="89"/>
      <c r="G320" s="3"/>
      <c r="H320" s="89"/>
      <c r="I320" s="90"/>
      <c r="K320" s="31"/>
    </row>
    <row r="321" spans="2:11" s="13" customFormat="1" x14ac:dyDescent="0.2">
      <c r="B321" s="3"/>
      <c r="C321" s="3"/>
      <c r="D321" s="3"/>
      <c r="E321" s="3"/>
      <c r="F321" s="89"/>
      <c r="G321" s="3"/>
      <c r="H321" s="89"/>
      <c r="I321" s="90"/>
      <c r="K321" s="31"/>
    </row>
    <row r="322" spans="2:11" s="13" customFormat="1" x14ac:dyDescent="0.2">
      <c r="B322" s="3"/>
      <c r="C322" s="3"/>
      <c r="D322" s="3"/>
      <c r="E322" s="3"/>
      <c r="F322" s="89"/>
      <c r="G322" s="3"/>
      <c r="H322" s="89"/>
      <c r="I322" s="90"/>
      <c r="K322" s="31"/>
    </row>
    <row r="323" spans="2:11" s="13" customFormat="1" x14ac:dyDescent="0.2">
      <c r="B323" s="3"/>
      <c r="C323" s="3"/>
      <c r="D323" s="3"/>
      <c r="E323" s="3"/>
      <c r="F323" s="89"/>
      <c r="G323" s="3"/>
      <c r="H323" s="89"/>
      <c r="I323" s="90"/>
      <c r="K323" s="31"/>
    </row>
    <row r="324" spans="2:11" s="13" customFormat="1" x14ac:dyDescent="0.2">
      <c r="B324" s="3"/>
      <c r="C324" s="3"/>
      <c r="D324" s="3"/>
      <c r="E324" s="3"/>
      <c r="F324" s="89"/>
      <c r="G324" s="3"/>
      <c r="H324" s="89"/>
      <c r="I324" s="90"/>
      <c r="K324" s="31"/>
    </row>
    <row r="325" spans="2:11" s="13" customFormat="1" x14ac:dyDescent="0.2">
      <c r="B325" s="3"/>
      <c r="C325" s="3"/>
      <c r="D325" s="3"/>
      <c r="E325" s="3"/>
      <c r="F325" s="89"/>
      <c r="G325" s="3"/>
      <c r="H325" s="89"/>
      <c r="I325" s="90"/>
      <c r="K325" s="31"/>
    </row>
    <row r="326" spans="2:11" s="13" customFormat="1" x14ac:dyDescent="0.2">
      <c r="B326" s="3"/>
      <c r="C326" s="3"/>
      <c r="D326" s="3"/>
      <c r="E326" s="3"/>
      <c r="F326" s="89"/>
      <c r="G326" s="3"/>
      <c r="H326" s="89"/>
      <c r="I326" s="90"/>
      <c r="K326" s="31"/>
    </row>
    <row r="327" spans="2:11" s="13" customFormat="1" x14ac:dyDescent="0.2">
      <c r="B327" s="3"/>
      <c r="C327" s="3"/>
      <c r="D327" s="3"/>
      <c r="E327" s="3"/>
      <c r="F327" s="89"/>
      <c r="G327" s="3"/>
      <c r="H327" s="89"/>
      <c r="I327" s="90"/>
      <c r="K327" s="31"/>
    </row>
    <row r="328" spans="2:11" s="13" customFormat="1" x14ac:dyDescent="0.2">
      <c r="B328" s="3"/>
      <c r="C328" s="3"/>
      <c r="D328" s="3"/>
      <c r="E328" s="3"/>
      <c r="F328" s="89"/>
      <c r="G328" s="3"/>
      <c r="H328" s="89"/>
      <c r="I328" s="90"/>
      <c r="K328" s="31"/>
    </row>
    <row r="329" spans="2:11" s="13" customFormat="1" x14ac:dyDescent="0.2">
      <c r="B329" s="3"/>
      <c r="C329" s="3"/>
      <c r="D329" s="3"/>
      <c r="E329" s="3"/>
      <c r="F329" s="89"/>
      <c r="G329" s="3"/>
      <c r="H329" s="89"/>
      <c r="I329" s="90"/>
      <c r="K329" s="31"/>
    </row>
    <row r="330" spans="2:11" s="13" customFormat="1" x14ac:dyDescent="0.2">
      <c r="B330" s="3"/>
      <c r="C330" s="3"/>
      <c r="D330" s="3"/>
      <c r="E330" s="3"/>
      <c r="F330" s="89"/>
      <c r="G330" s="3"/>
      <c r="H330" s="89"/>
      <c r="I330" s="90"/>
      <c r="K330" s="31"/>
    </row>
    <row r="331" spans="2:11" s="13" customFormat="1" x14ac:dyDescent="0.2">
      <c r="B331" s="3"/>
      <c r="C331" s="3"/>
      <c r="D331" s="3"/>
      <c r="E331" s="3"/>
      <c r="F331" s="89"/>
      <c r="G331" s="3"/>
      <c r="H331" s="89"/>
      <c r="I331" s="90"/>
      <c r="K331" s="31"/>
    </row>
    <row r="332" spans="2:11" s="13" customFormat="1" x14ac:dyDescent="0.2">
      <c r="B332" s="3"/>
      <c r="C332" s="3"/>
      <c r="D332" s="3"/>
      <c r="E332" s="3"/>
      <c r="F332" s="89"/>
      <c r="G332" s="3"/>
      <c r="H332" s="89"/>
      <c r="I332" s="90"/>
      <c r="K332" s="31"/>
    </row>
    <row r="333" spans="2:11" s="13" customFormat="1" x14ac:dyDescent="0.2">
      <c r="B333" s="3"/>
      <c r="C333" s="3"/>
      <c r="D333" s="3"/>
      <c r="E333" s="3"/>
      <c r="F333" s="89"/>
      <c r="G333" s="3"/>
      <c r="H333" s="89"/>
      <c r="I333" s="90"/>
      <c r="K333" s="31"/>
    </row>
    <row r="334" spans="2:11" s="13" customFormat="1" x14ac:dyDescent="0.2">
      <c r="B334" s="3"/>
      <c r="C334" s="3"/>
      <c r="D334" s="3"/>
      <c r="E334" s="3"/>
      <c r="F334" s="89"/>
      <c r="G334" s="3"/>
      <c r="H334" s="89"/>
      <c r="I334" s="90"/>
      <c r="K334" s="31"/>
    </row>
    <row r="335" spans="2:11" s="13" customFormat="1" x14ac:dyDescent="0.2">
      <c r="B335" s="3"/>
      <c r="C335" s="3"/>
      <c r="D335" s="3"/>
      <c r="E335" s="3"/>
      <c r="F335" s="89"/>
      <c r="G335" s="3"/>
      <c r="H335" s="89"/>
      <c r="I335" s="90"/>
      <c r="K335" s="31"/>
    </row>
    <row r="336" spans="2:11" s="13" customFormat="1" x14ac:dyDescent="0.2">
      <c r="B336" s="3"/>
      <c r="C336" s="3"/>
      <c r="D336" s="3"/>
      <c r="E336" s="3"/>
      <c r="F336" s="89"/>
      <c r="G336" s="3"/>
      <c r="H336" s="89"/>
      <c r="I336" s="90"/>
      <c r="K336" s="31"/>
    </row>
    <row r="337" spans="2:11" s="13" customFormat="1" x14ac:dyDescent="0.2">
      <c r="B337" s="3"/>
      <c r="C337" s="3"/>
      <c r="D337" s="3"/>
      <c r="E337" s="3"/>
      <c r="F337" s="89"/>
      <c r="G337" s="3"/>
      <c r="H337" s="89"/>
      <c r="I337" s="90"/>
      <c r="K337" s="31"/>
    </row>
    <row r="338" spans="2:11" s="13" customFormat="1" x14ac:dyDescent="0.2">
      <c r="B338" s="3"/>
      <c r="C338" s="3"/>
      <c r="D338" s="3"/>
      <c r="E338" s="3"/>
      <c r="F338" s="89"/>
      <c r="G338" s="3"/>
      <c r="H338" s="89"/>
      <c r="I338" s="90"/>
      <c r="K338" s="31"/>
    </row>
    <row r="339" spans="2:11" s="13" customFormat="1" x14ac:dyDescent="0.2">
      <c r="B339" s="3"/>
      <c r="C339" s="3"/>
      <c r="D339" s="3"/>
      <c r="E339" s="3"/>
      <c r="F339" s="89"/>
      <c r="G339" s="3"/>
      <c r="H339" s="89"/>
      <c r="I339" s="90"/>
      <c r="K339" s="31"/>
    </row>
    <row r="340" spans="2:11" s="13" customFormat="1" x14ac:dyDescent="0.2">
      <c r="B340" s="3"/>
      <c r="C340" s="3"/>
      <c r="D340" s="3"/>
      <c r="E340" s="3"/>
      <c r="F340" s="89"/>
      <c r="G340" s="3"/>
      <c r="H340" s="89"/>
      <c r="I340" s="90"/>
      <c r="K340" s="31"/>
    </row>
    <row r="341" spans="2:11" s="13" customFormat="1" x14ac:dyDescent="0.2">
      <c r="B341" s="3"/>
      <c r="C341" s="3"/>
      <c r="D341" s="3"/>
      <c r="E341" s="3"/>
      <c r="F341" s="89"/>
      <c r="G341" s="3"/>
      <c r="H341" s="89"/>
      <c r="I341" s="90"/>
      <c r="K341" s="31"/>
    </row>
    <row r="342" spans="2:11" s="13" customFormat="1" x14ac:dyDescent="0.2">
      <c r="B342" s="3"/>
      <c r="C342" s="3"/>
      <c r="D342" s="3"/>
      <c r="E342" s="3"/>
      <c r="F342" s="89"/>
      <c r="G342" s="3"/>
      <c r="H342" s="89"/>
      <c r="I342" s="90"/>
      <c r="K342" s="31"/>
    </row>
    <row r="343" spans="2:11" s="13" customFormat="1" x14ac:dyDescent="0.2">
      <c r="B343" s="3"/>
      <c r="C343" s="3"/>
      <c r="D343" s="3"/>
      <c r="E343" s="3"/>
      <c r="F343" s="89"/>
      <c r="G343" s="3"/>
      <c r="H343" s="89"/>
      <c r="I343" s="90"/>
      <c r="K343" s="31"/>
    </row>
    <row r="344" spans="2:11" s="13" customFormat="1" x14ac:dyDescent="0.2">
      <c r="B344" s="3"/>
      <c r="C344" s="3"/>
      <c r="D344" s="3"/>
      <c r="E344" s="3"/>
      <c r="F344" s="89"/>
      <c r="G344" s="3"/>
      <c r="H344" s="89"/>
      <c r="I344" s="90"/>
      <c r="K344" s="31"/>
    </row>
    <row r="345" spans="2:11" s="13" customFormat="1" x14ac:dyDescent="0.2">
      <c r="B345" s="3"/>
      <c r="C345" s="3"/>
      <c r="D345" s="3"/>
      <c r="E345" s="3"/>
      <c r="F345" s="89"/>
      <c r="G345" s="3"/>
      <c r="H345" s="89"/>
      <c r="I345" s="90"/>
      <c r="K345" s="31"/>
    </row>
    <row r="346" spans="2:11" s="13" customFormat="1" x14ac:dyDescent="0.2">
      <c r="B346" s="3"/>
      <c r="C346" s="3"/>
      <c r="D346" s="3"/>
      <c r="E346" s="3"/>
      <c r="F346" s="89"/>
      <c r="G346" s="3"/>
      <c r="H346" s="89"/>
      <c r="I346" s="90"/>
      <c r="K346" s="31"/>
    </row>
    <row r="347" spans="2:11" s="13" customFormat="1" x14ac:dyDescent="0.2">
      <c r="B347" s="3"/>
      <c r="C347" s="3"/>
      <c r="D347" s="3"/>
      <c r="E347" s="3"/>
      <c r="F347" s="89"/>
      <c r="G347" s="3"/>
      <c r="H347" s="89"/>
      <c r="I347" s="90"/>
      <c r="K347" s="31"/>
    </row>
    <row r="348" spans="2:11" s="13" customFormat="1" x14ac:dyDescent="0.2">
      <c r="B348" s="3"/>
      <c r="C348" s="3"/>
      <c r="D348" s="3"/>
      <c r="E348" s="3"/>
      <c r="F348" s="89"/>
      <c r="G348" s="3"/>
      <c r="H348" s="89"/>
      <c r="I348" s="90"/>
      <c r="K348" s="31"/>
    </row>
    <row r="349" spans="2:11" s="13" customFormat="1" x14ac:dyDescent="0.2">
      <c r="B349" s="3"/>
      <c r="C349" s="3"/>
      <c r="D349" s="3"/>
      <c r="E349" s="3"/>
      <c r="F349" s="89"/>
      <c r="G349" s="3"/>
      <c r="H349" s="89"/>
      <c r="I349" s="90"/>
      <c r="K349" s="31"/>
    </row>
    <row r="350" spans="2:11" s="13" customFormat="1" x14ac:dyDescent="0.2">
      <c r="B350" s="3"/>
      <c r="C350" s="3"/>
      <c r="D350" s="3"/>
      <c r="E350" s="3"/>
      <c r="F350" s="89"/>
      <c r="G350" s="3"/>
      <c r="H350" s="89"/>
      <c r="I350" s="90"/>
      <c r="K350" s="31"/>
    </row>
    <row r="351" spans="2:11" s="13" customFormat="1" x14ac:dyDescent="0.2">
      <c r="B351" s="3"/>
      <c r="C351" s="3"/>
      <c r="D351" s="3"/>
      <c r="E351" s="3"/>
      <c r="F351" s="89"/>
      <c r="G351" s="3"/>
      <c r="H351" s="89"/>
      <c r="I351" s="90"/>
      <c r="K351" s="31"/>
    </row>
    <row r="352" spans="2:11" s="13" customFormat="1" x14ac:dyDescent="0.2">
      <c r="B352" s="3"/>
      <c r="C352" s="3"/>
      <c r="D352" s="3"/>
      <c r="E352" s="3"/>
      <c r="F352" s="89"/>
      <c r="G352" s="3"/>
      <c r="H352" s="89"/>
      <c r="I352" s="90"/>
      <c r="K352" s="31"/>
    </row>
    <row r="353" spans="2:11" s="13" customFormat="1" x14ac:dyDescent="0.2">
      <c r="B353" s="3"/>
      <c r="C353" s="3"/>
      <c r="D353" s="3"/>
      <c r="E353" s="3"/>
      <c r="F353" s="89"/>
      <c r="G353" s="3"/>
      <c r="H353" s="89"/>
      <c r="I353" s="90"/>
      <c r="K353" s="31"/>
    </row>
    <row r="354" spans="2:11" s="13" customFormat="1" x14ac:dyDescent="0.2">
      <c r="B354" s="3"/>
      <c r="C354" s="3"/>
      <c r="D354" s="3"/>
      <c r="E354" s="3"/>
      <c r="F354" s="89"/>
      <c r="G354" s="3"/>
      <c r="H354" s="89"/>
      <c r="I354" s="90"/>
      <c r="K354" s="31"/>
    </row>
    <row r="355" spans="2:11" s="13" customFormat="1" x14ac:dyDescent="0.2">
      <c r="B355" s="3"/>
      <c r="C355" s="3"/>
      <c r="D355" s="3"/>
      <c r="E355" s="3"/>
      <c r="F355" s="89"/>
      <c r="G355" s="3"/>
      <c r="H355" s="89"/>
      <c r="I355" s="90"/>
      <c r="K355" s="31"/>
    </row>
    <row r="356" spans="2:11" s="13" customFormat="1" x14ac:dyDescent="0.2">
      <c r="B356" s="3"/>
      <c r="C356" s="3"/>
      <c r="D356" s="3"/>
      <c r="E356" s="3"/>
      <c r="F356" s="89"/>
      <c r="G356" s="3"/>
      <c r="H356" s="89"/>
      <c r="I356" s="90"/>
      <c r="K356" s="31"/>
    </row>
    <row r="357" spans="2:11" s="13" customFormat="1" x14ac:dyDescent="0.2">
      <c r="B357" s="3"/>
      <c r="C357" s="3"/>
      <c r="D357" s="3"/>
      <c r="E357" s="3"/>
      <c r="F357" s="89"/>
      <c r="G357" s="3"/>
      <c r="H357" s="89"/>
      <c r="I357" s="90"/>
      <c r="K357" s="31"/>
    </row>
    <row r="358" spans="2:11" s="13" customFormat="1" x14ac:dyDescent="0.2">
      <c r="B358" s="3"/>
      <c r="C358" s="3"/>
      <c r="D358" s="3"/>
      <c r="E358" s="3"/>
      <c r="F358" s="89"/>
      <c r="G358" s="3"/>
      <c r="H358" s="89"/>
      <c r="I358" s="90"/>
      <c r="K358" s="31"/>
    </row>
    <row r="359" spans="2:11" s="13" customFormat="1" x14ac:dyDescent="0.2">
      <c r="B359" s="3"/>
      <c r="C359" s="3"/>
      <c r="D359" s="3"/>
      <c r="E359" s="3"/>
      <c r="F359" s="89"/>
      <c r="G359" s="3"/>
      <c r="H359" s="89"/>
      <c r="I359" s="90"/>
      <c r="K359" s="31"/>
    </row>
    <row r="360" spans="2:11" s="13" customFormat="1" x14ac:dyDescent="0.2">
      <c r="B360" s="3"/>
      <c r="C360" s="3"/>
      <c r="D360" s="3"/>
      <c r="E360" s="3"/>
      <c r="F360" s="89"/>
      <c r="G360" s="3"/>
      <c r="H360" s="89"/>
      <c r="I360" s="90"/>
      <c r="K360" s="31"/>
    </row>
    <row r="361" spans="2:11" s="13" customFormat="1" x14ac:dyDescent="0.2">
      <c r="B361" s="3"/>
      <c r="C361" s="3"/>
      <c r="D361" s="3"/>
      <c r="E361" s="3"/>
      <c r="F361" s="89"/>
      <c r="G361" s="3"/>
      <c r="H361" s="89"/>
      <c r="I361" s="90"/>
      <c r="K361" s="31"/>
    </row>
    <row r="362" spans="2:11" s="13" customFormat="1" x14ac:dyDescent="0.2">
      <c r="B362" s="3"/>
      <c r="C362" s="3"/>
      <c r="D362" s="3"/>
      <c r="E362" s="3"/>
      <c r="F362" s="89"/>
      <c r="G362" s="3"/>
      <c r="H362" s="89"/>
      <c r="I362" s="90"/>
      <c r="K362" s="31"/>
    </row>
    <row r="363" spans="2:11" s="13" customFormat="1" x14ac:dyDescent="0.2">
      <c r="B363" s="3"/>
      <c r="C363" s="3"/>
      <c r="D363" s="3"/>
      <c r="E363" s="3"/>
      <c r="F363" s="89"/>
      <c r="G363" s="3"/>
      <c r="H363" s="89"/>
      <c r="I363" s="90"/>
      <c r="K363" s="31"/>
    </row>
    <row r="364" spans="2:11" s="13" customFormat="1" x14ac:dyDescent="0.2">
      <c r="B364" s="3"/>
      <c r="C364" s="3"/>
      <c r="D364" s="3"/>
      <c r="E364" s="3"/>
      <c r="F364" s="89"/>
      <c r="G364" s="3"/>
      <c r="H364" s="89"/>
      <c r="I364" s="90"/>
      <c r="K364" s="31"/>
    </row>
    <row r="365" spans="2:11" s="13" customFormat="1" x14ac:dyDescent="0.2">
      <c r="B365" s="3"/>
      <c r="C365" s="3"/>
      <c r="D365" s="3"/>
      <c r="E365" s="3"/>
      <c r="F365" s="89"/>
      <c r="G365" s="3"/>
      <c r="H365" s="89"/>
      <c r="I365" s="90"/>
      <c r="K365" s="31"/>
    </row>
    <row r="366" spans="2:11" s="13" customFormat="1" x14ac:dyDescent="0.2">
      <c r="B366" s="3"/>
      <c r="C366" s="3"/>
      <c r="D366" s="3"/>
      <c r="E366" s="3"/>
      <c r="F366" s="89"/>
      <c r="G366" s="3"/>
      <c r="H366" s="89"/>
      <c r="I366" s="90"/>
      <c r="K366" s="31"/>
    </row>
    <row r="367" spans="2:11" s="13" customFormat="1" x14ac:dyDescent="0.2">
      <c r="B367" s="3"/>
      <c r="C367" s="3"/>
      <c r="D367" s="3"/>
      <c r="E367" s="3"/>
      <c r="F367" s="89"/>
      <c r="G367" s="3"/>
      <c r="H367" s="89"/>
      <c r="I367" s="90"/>
      <c r="K367" s="31"/>
    </row>
    <row r="368" spans="2:11" s="13" customFormat="1" x14ac:dyDescent="0.2">
      <c r="B368" s="3"/>
      <c r="C368" s="3"/>
      <c r="D368" s="3"/>
      <c r="E368" s="3"/>
      <c r="F368" s="89"/>
      <c r="G368" s="3"/>
      <c r="H368" s="89"/>
      <c r="I368" s="90"/>
      <c r="K368" s="31"/>
    </row>
    <row r="369" spans="2:11" s="13" customFormat="1" x14ac:dyDescent="0.2">
      <c r="B369" s="3"/>
      <c r="C369" s="3"/>
      <c r="D369" s="3"/>
      <c r="E369" s="3"/>
      <c r="F369" s="89"/>
      <c r="G369" s="3"/>
      <c r="H369" s="89"/>
      <c r="I369" s="90"/>
      <c r="K369" s="31"/>
    </row>
    <row r="370" spans="2:11" s="13" customFormat="1" x14ac:dyDescent="0.2">
      <c r="B370" s="3"/>
      <c r="C370" s="3"/>
      <c r="D370" s="3"/>
      <c r="E370" s="3"/>
      <c r="F370" s="89"/>
      <c r="G370" s="3"/>
      <c r="H370" s="89"/>
      <c r="I370" s="90"/>
      <c r="K370" s="31"/>
    </row>
    <row r="371" spans="2:11" s="13" customFormat="1" x14ac:dyDescent="0.2">
      <c r="B371" s="3"/>
      <c r="C371" s="3"/>
      <c r="D371" s="3"/>
      <c r="E371" s="3"/>
      <c r="F371" s="89"/>
      <c r="G371" s="3"/>
      <c r="H371" s="89"/>
      <c r="I371" s="90"/>
      <c r="K371" s="31"/>
    </row>
    <row r="372" spans="2:11" s="13" customFormat="1" x14ac:dyDescent="0.2">
      <c r="B372" s="3"/>
      <c r="C372" s="3"/>
      <c r="D372" s="3"/>
      <c r="E372" s="3"/>
      <c r="F372" s="89"/>
      <c r="G372" s="3"/>
      <c r="H372" s="89"/>
      <c r="I372" s="90"/>
      <c r="K372" s="31"/>
    </row>
    <row r="373" spans="2:11" s="13" customFormat="1" x14ac:dyDescent="0.2">
      <c r="B373" s="3"/>
      <c r="C373" s="3"/>
      <c r="D373" s="3"/>
      <c r="E373" s="3"/>
      <c r="F373" s="89"/>
      <c r="G373" s="3"/>
      <c r="H373" s="89"/>
      <c r="I373" s="90"/>
      <c r="K373" s="31"/>
    </row>
    <row r="374" spans="2:11" s="13" customFormat="1" x14ac:dyDescent="0.2">
      <c r="B374" s="3"/>
      <c r="C374" s="3"/>
      <c r="D374" s="3"/>
      <c r="E374" s="3"/>
      <c r="F374" s="89"/>
      <c r="G374" s="3"/>
      <c r="H374" s="89"/>
      <c r="I374" s="90"/>
      <c r="K374" s="31"/>
    </row>
    <row r="375" spans="2:11" s="13" customFormat="1" x14ac:dyDescent="0.2">
      <c r="B375" s="3"/>
      <c r="C375" s="3"/>
      <c r="D375" s="3"/>
      <c r="E375" s="3"/>
      <c r="F375" s="89"/>
      <c r="G375" s="3"/>
      <c r="H375" s="89"/>
      <c r="I375" s="90"/>
      <c r="K375" s="31"/>
    </row>
    <row r="376" spans="2:11" s="13" customFormat="1" x14ac:dyDescent="0.2">
      <c r="B376" s="3"/>
      <c r="C376" s="3"/>
      <c r="D376" s="3"/>
      <c r="E376" s="3"/>
      <c r="F376" s="89"/>
      <c r="G376" s="3"/>
      <c r="H376" s="89"/>
      <c r="I376" s="90"/>
      <c r="K376" s="31"/>
    </row>
    <row r="377" spans="2:11" s="13" customFormat="1" x14ac:dyDescent="0.2">
      <c r="B377" s="3"/>
      <c r="C377" s="3"/>
      <c r="D377" s="3"/>
      <c r="E377" s="3"/>
      <c r="F377" s="89"/>
      <c r="G377" s="3"/>
      <c r="H377" s="89"/>
      <c r="I377" s="90"/>
      <c r="K377" s="31"/>
    </row>
    <row r="378" spans="2:11" s="13" customFormat="1" x14ac:dyDescent="0.2">
      <c r="B378" s="3"/>
      <c r="C378" s="3"/>
      <c r="D378" s="3"/>
      <c r="E378" s="3"/>
      <c r="F378" s="89"/>
      <c r="G378" s="3"/>
      <c r="H378" s="89"/>
      <c r="I378" s="90"/>
      <c r="K378" s="31"/>
    </row>
    <row r="379" spans="2:11" s="13" customFormat="1" x14ac:dyDescent="0.2">
      <c r="B379" s="3"/>
      <c r="C379" s="3"/>
      <c r="D379" s="3"/>
      <c r="E379" s="3"/>
      <c r="F379" s="89"/>
      <c r="G379" s="3"/>
      <c r="H379" s="89"/>
      <c r="I379" s="90"/>
      <c r="K379" s="31"/>
    </row>
    <row r="380" spans="2:11" s="13" customFormat="1" x14ac:dyDescent="0.2">
      <c r="B380" s="3"/>
      <c r="C380" s="3"/>
      <c r="D380" s="3"/>
      <c r="E380" s="3"/>
      <c r="F380" s="89"/>
      <c r="G380" s="3"/>
      <c r="H380" s="89"/>
      <c r="I380" s="90"/>
      <c r="K380" s="31"/>
    </row>
    <row r="381" spans="2:11" s="13" customFormat="1" x14ac:dyDescent="0.2">
      <c r="B381" s="3"/>
      <c r="C381" s="3"/>
      <c r="D381" s="3"/>
      <c r="E381" s="3"/>
      <c r="F381" s="89"/>
      <c r="G381" s="3"/>
      <c r="H381" s="89"/>
      <c r="I381" s="90"/>
      <c r="K381" s="31"/>
    </row>
    <row r="382" spans="2:11" s="13" customFormat="1" x14ac:dyDescent="0.2">
      <c r="B382" s="3"/>
      <c r="C382" s="3"/>
      <c r="D382" s="3"/>
      <c r="E382" s="3"/>
      <c r="F382" s="89"/>
      <c r="G382" s="3"/>
      <c r="H382" s="89"/>
      <c r="I382" s="90"/>
      <c r="K382" s="31"/>
    </row>
    <row r="383" spans="2:11" s="13" customFormat="1" x14ac:dyDescent="0.2">
      <c r="B383" s="3"/>
      <c r="C383" s="3"/>
      <c r="D383" s="3"/>
      <c r="E383" s="3"/>
      <c r="F383" s="89"/>
      <c r="G383" s="3"/>
      <c r="H383" s="89"/>
      <c r="I383" s="90"/>
      <c r="K383" s="31"/>
    </row>
    <row r="384" spans="2:11" s="13" customFormat="1" x14ac:dyDescent="0.2">
      <c r="B384" s="3"/>
      <c r="C384" s="3"/>
      <c r="D384" s="3"/>
      <c r="E384" s="3"/>
      <c r="F384" s="89"/>
      <c r="G384" s="3"/>
      <c r="H384" s="89"/>
      <c r="I384" s="90"/>
      <c r="K384" s="31"/>
    </row>
    <row r="385" spans="2:11" s="13" customFormat="1" x14ac:dyDescent="0.2">
      <c r="B385" s="3"/>
      <c r="C385" s="3"/>
      <c r="D385" s="3"/>
      <c r="E385" s="3"/>
      <c r="F385" s="89"/>
      <c r="G385" s="3"/>
      <c r="H385" s="89"/>
      <c r="I385" s="90"/>
      <c r="K385" s="31"/>
    </row>
    <row r="386" spans="2:11" s="13" customFormat="1" x14ac:dyDescent="0.2">
      <c r="B386" s="3"/>
      <c r="C386" s="3"/>
      <c r="D386" s="3"/>
      <c r="E386" s="3"/>
      <c r="F386" s="89"/>
      <c r="G386" s="3"/>
      <c r="H386" s="89"/>
      <c r="I386" s="90"/>
      <c r="K386" s="31"/>
    </row>
    <row r="387" spans="2:11" s="13" customFormat="1" x14ac:dyDescent="0.2">
      <c r="B387" s="3"/>
      <c r="C387" s="3"/>
      <c r="D387" s="3"/>
      <c r="E387" s="3"/>
      <c r="F387" s="89"/>
      <c r="G387" s="3"/>
      <c r="H387" s="89"/>
      <c r="I387" s="90"/>
      <c r="K387" s="31"/>
    </row>
    <row r="388" spans="2:11" s="13" customFormat="1" x14ac:dyDescent="0.2">
      <c r="B388" s="3"/>
      <c r="C388" s="3"/>
      <c r="D388" s="3"/>
      <c r="E388" s="3"/>
      <c r="F388" s="89"/>
      <c r="G388" s="3"/>
      <c r="H388" s="89"/>
      <c r="I388" s="90"/>
      <c r="K388" s="31"/>
    </row>
    <row r="389" spans="2:11" s="13" customFormat="1" x14ac:dyDescent="0.2">
      <c r="B389" s="3"/>
      <c r="C389" s="3"/>
      <c r="D389" s="3"/>
      <c r="E389" s="3"/>
      <c r="F389" s="89"/>
      <c r="G389" s="3"/>
      <c r="H389" s="89"/>
      <c r="I389" s="90"/>
      <c r="K389" s="31"/>
    </row>
    <row r="390" spans="2:11" s="13" customFormat="1" x14ac:dyDescent="0.2">
      <c r="B390" s="3"/>
      <c r="C390" s="3"/>
      <c r="D390" s="3"/>
      <c r="E390" s="3"/>
      <c r="F390" s="89"/>
      <c r="G390" s="3"/>
      <c r="H390" s="89"/>
      <c r="I390" s="90"/>
      <c r="K390" s="31"/>
    </row>
    <row r="391" spans="2:11" s="13" customFormat="1" x14ac:dyDescent="0.2">
      <c r="B391" s="3"/>
      <c r="C391" s="3"/>
      <c r="D391" s="3"/>
      <c r="E391" s="3"/>
      <c r="F391" s="89"/>
      <c r="G391" s="3"/>
      <c r="H391" s="89"/>
      <c r="I391" s="90"/>
      <c r="K391" s="31"/>
    </row>
    <row r="392" spans="2:11" s="13" customFormat="1" x14ac:dyDescent="0.2">
      <c r="B392" s="3"/>
      <c r="C392" s="3"/>
      <c r="D392" s="3"/>
      <c r="E392" s="3"/>
      <c r="F392" s="89"/>
      <c r="G392" s="3"/>
      <c r="H392" s="89"/>
      <c r="I392" s="90"/>
      <c r="K392" s="31"/>
    </row>
    <row r="393" spans="2:11" s="13" customFormat="1" x14ac:dyDescent="0.2">
      <c r="B393" s="3"/>
      <c r="C393" s="3"/>
      <c r="D393" s="3"/>
      <c r="E393" s="3"/>
      <c r="F393" s="89"/>
      <c r="G393" s="3"/>
      <c r="H393" s="89"/>
      <c r="I393" s="90"/>
      <c r="K393" s="31"/>
    </row>
    <row r="394" spans="2:11" s="13" customFormat="1" x14ac:dyDescent="0.2">
      <c r="B394" s="3"/>
      <c r="C394" s="3"/>
      <c r="D394" s="3"/>
      <c r="E394" s="3"/>
      <c r="F394" s="89"/>
      <c r="G394" s="3"/>
      <c r="H394" s="89"/>
      <c r="I394" s="90"/>
      <c r="K394" s="31"/>
    </row>
    <row r="395" spans="2:11" s="13" customFormat="1" x14ac:dyDescent="0.2">
      <c r="B395" s="3"/>
      <c r="C395" s="3"/>
      <c r="D395" s="3"/>
      <c r="E395" s="3"/>
      <c r="F395" s="89"/>
      <c r="G395" s="3"/>
      <c r="H395" s="89"/>
      <c r="I395" s="90"/>
      <c r="K395" s="31"/>
    </row>
    <row r="396" spans="2:11" s="13" customFormat="1" x14ac:dyDescent="0.2">
      <c r="B396" s="3"/>
      <c r="C396" s="3"/>
      <c r="D396" s="3"/>
      <c r="E396" s="3"/>
      <c r="F396" s="89"/>
      <c r="G396" s="3"/>
      <c r="H396" s="89"/>
      <c r="I396" s="90"/>
      <c r="K396" s="31"/>
    </row>
    <row r="397" spans="2:11" s="13" customFormat="1" x14ac:dyDescent="0.2">
      <c r="B397" s="3"/>
      <c r="C397" s="3"/>
      <c r="D397" s="3"/>
      <c r="E397" s="3"/>
      <c r="F397" s="89"/>
      <c r="G397" s="3"/>
      <c r="H397" s="89"/>
      <c r="I397" s="90"/>
      <c r="K397" s="31"/>
    </row>
    <row r="398" spans="2:11" s="13" customFormat="1" x14ac:dyDescent="0.2">
      <c r="B398" s="3"/>
      <c r="C398" s="3"/>
      <c r="D398" s="3"/>
      <c r="E398" s="3"/>
      <c r="F398" s="89"/>
      <c r="G398" s="3"/>
      <c r="H398" s="89"/>
      <c r="I398" s="90"/>
      <c r="K398" s="31"/>
    </row>
    <row r="399" spans="2:11" s="13" customFormat="1" x14ac:dyDescent="0.2">
      <c r="B399" s="3"/>
      <c r="C399" s="3"/>
      <c r="D399" s="3"/>
      <c r="E399" s="3"/>
      <c r="F399" s="89"/>
      <c r="G399" s="3"/>
      <c r="H399" s="89"/>
      <c r="I399" s="90"/>
      <c r="K399" s="31"/>
    </row>
    <row r="400" spans="2:11" s="13" customFormat="1" x14ac:dyDescent="0.2">
      <c r="B400" s="3"/>
      <c r="C400" s="3"/>
      <c r="D400" s="3"/>
      <c r="E400" s="3"/>
      <c r="F400" s="89"/>
      <c r="G400" s="3"/>
      <c r="H400" s="89"/>
      <c r="I400" s="90"/>
      <c r="K400" s="31"/>
    </row>
    <row r="401" spans="2:11" s="13" customFormat="1" x14ac:dyDescent="0.2">
      <c r="B401" s="3"/>
      <c r="C401" s="3"/>
      <c r="D401" s="3"/>
      <c r="E401" s="3"/>
      <c r="F401" s="89"/>
      <c r="G401" s="3"/>
      <c r="H401" s="89"/>
      <c r="I401" s="90"/>
      <c r="K401" s="31"/>
    </row>
    <row r="402" spans="2:11" s="13" customFormat="1" x14ac:dyDescent="0.2">
      <c r="B402" s="3"/>
      <c r="C402" s="3"/>
      <c r="D402" s="3"/>
      <c r="E402" s="3"/>
      <c r="F402" s="89"/>
      <c r="G402" s="3"/>
      <c r="H402" s="89"/>
      <c r="I402" s="90"/>
      <c r="K402" s="31"/>
    </row>
    <row r="403" spans="2:11" s="13" customFormat="1" x14ac:dyDescent="0.2">
      <c r="B403" s="3"/>
      <c r="C403" s="3"/>
      <c r="D403" s="3"/>
      <c r="E403" s="3"/>
      <c r="F403" s="89"/>
      <c r="G403" s="3"/>
      <c r="H403" s="89"/>
      <c r="I403" s="90"/>
      <c r="K403" s="31"/>
    </row>
    <row r="404" spans="2:11" s="13" customFormat="1" x14ac:dyDescent="0.2">
      <c r="B404" s="3"/>
      <c r="C404" s="3"/>
      <c r="D404" s="3"/>
      <c r="E404" s="3"/>
      <c r="F404" s="89"/>
      <c r="G404" s="3"/>
      <c r="H404" s="89"/>
      <c r="I404" s="90"/>
      <c r="K404" s="31"/>
    </row>
    <row r="405" spans="2:11" s="13" customFormat="1" x14ac:dyDescent="0.2">
      <c r="B405" s="3"/>
      <c r="C405" s="3"/>
      <c r="D405" s="3"/>
      <c r="E405" s="3"/>
      <c r="F405" s="89"/>
      <c r="G405" s="3"/>
      <c r="H405" s="89"/>
      <c r="I405" s="90"/>
      <c r="K405" s="31"/>
    </row>
    <row r="406" spans="2:11" s="13" customFormat="1" x14ac:dyDescent="0.2">
      <c r="B406" s="3"/>
      <c r="C406" s="3"/>
      <c r="D406" s="3"/>
      <c r="E406" s="3"/>
      <c r="F406" s="89"/>
      <c r="G406" s="3"/>
      <c r="H406" s="89"/>
      <c r="I406" s="90"/>
      <c r="K406" s="31"/>
    </row>
    <row r="407" spans="2:11" s="13" customFormat="1" x14ac:dyDescent="0.2">
      <c r="B407" s="3"/>
      <c r="C407" s="3"/>
      <c r="D407" s="3"/>
      <c r="E407" s="3"/>
      <c r="F407" s="89"/>
      <c r="G407" s="3"/>
      <c r="H407" s="89"/>
      <c r="I407" s="90"/>
      <c r="K407" s="31"/>
    </row>
    <row r="408" spans="2:11" s="13" customFormat="1" x14ac:dyDescent="0.2">
      <c r="B408" s="3"/>
      <c r="C408" s="3"/>
      <c r="D408" s="3"/>
      <c r="E408" s="3"/>
      <c r="F408" s="89"/>
      <c r="G408" s="3"/>
      <c r="H408" s="89"/>
      <c r="I408" s="90"/>
      <c r="K408" s="31"/>
    </row>
    <row r="409" spans="2:11" s="13" customFormat="1" x14ac:dyDescent="0.2">
      <c r="B409" s="3"/>
      <c r="C409" s="3"/>
      <c r="D409" s="3"/>
      <c r="E409" s="3"/>
      <c r="F409" s="89"/>
      <c r="G409" s="3"/>
      <c r="H409" s="89"/>
      <c r="I409" s="90"/>
      <c r="K409" s="31"/>
    </row>
    <row r="410" spans="2:11" s="13" customFormat="1" x14ac:dyDescent="0.2">
      <c r="B410" s="3"/>
      <c r="C410" s="3"/>
      <c r="D410" s="3"/>
      <c r="E410" s="3"/>
      <c r="F410" s="89"/>
      <c r="G410" s="3"/>
      <c r="H410" s="89"/>
      <c r="I410" s="90"/>
      <c r="K410" s="31"/>
    </row>
    <row r="411" spans="2:11" s="13" customFormat="1" x14ac:dyDescent="0.2">
      <c r="B411" s="3"/>
      <c r="C411" s="3"/>
      <c r="D411" s="3"/>
      <c r="E411" s="3"/>
      <c r="F411" s="89"/>
      <c r="G411" s="3"/>
      <c r="H411" s="89"/>
      <c r="I411" s="90"/>
      <c r="K411" s="31"/>
    </row>
    <row r="412" spans="2:11" s="13" customFormat="1" x14ac:dyDescent="0.2">
      <c r="B412" s="3"/>
      <c r="C412" s="3"/>
      <c r="D412" s="3"/>
      <c r="E412" s="3"/>
      <c r="F412" s="89"/>
      <c r="G412" s="3"/>
      <c r="H412" s="89"/>
      <c r="I412" s="90"/>
      <c r="K412" s="31"/>
    </row>
    <row r="413" spans="2:11" s="13" customFormat="1" x14ac:dyDescent="0.2">
      <c r="B413" s="3"/>
      <c r="C413" s="3"/>
      <c r="D413" s="3"/>
      <c r="E413" s="3"/>
      <c r="F413" s="89"/>
      <c r="G413" s="3"/>
      <c r="H413" s="89"/>
      <c r="I413" s="90"/>
      <c r="K413" s="31"/>
    </row>
    <row r="414" spans="2:11" s="13" customFormat="1" x14ac:dyDescent="0.2">
      <c r="B414" s="3"/>
      <c r="C414" s="3"/>
      <c r="D414" s="3"/>
      <c r="E414" s="3"/>
      <c r="F414" s="89"/>
      <c r="G414" s="3"/>
      <c r="H414" s="89"/>
      <c r="I414" s="90"/>
      <c r="K414" s="31"/>
    </row>
    <row r="415" spans="2:11" s="13" customFormat="1" x14ac:dyDescent="0.2">
      <c r="B415" s="3"/>
      <c r="C415" s="3"/>
      <c r="D415" s="3"/>
      <c r="E415" s="3"/>
      <c r="F415" s="89"/>
      <c r="G415" s="3"/>
      <c r="H415" s="89"/>
      <c r="I415" s="90"/>
      <c r="K415" s="31"/>
    </row>
    <row r="416" spans="2:11" s="13" customFormat="1" x14ac:dyDescent="0.2">
      <c r="B416" s="3"/>
      <c r="C416" s="3"/>
      <c r="D416" s="3"/>
      <c r="E416" s="3"/>
      <c r="F416" s="89"/>
      <c r="G416" s="3"/>
      <c r="H416" s="89"/>
      <c r="I416" s="90"/>
      <c r="K416" s="31"/>
    </row>
    <row r="417" spans="2:11" s="13" customFormat="1" x14ac:dyDescent="0.2">
      <c r="B417" s="3"/>
      <c r="C417" s="3"/>
      <c r="D417" s="3"/>
      <c r="E417" s="3"/>
      <c r="F417" s="89"/>
      <c r="G417" s="3"/>
      <c r="H417" s="89"/>
      <c r="I417" s="90"/>
      <c r="K417" s="31"/>
    </row>
    <row r="418" spans="2:11" s="13" customFormat="1" x14ac:dyDescent="0.2">
      <c r="B418" s="3"/>
      <c r="C418" s="3"/>
      <c r="D418" s="3"/>
      <c r="E418" s="3"/>
      <c r="F418" s="89"/>
      <c r="G418" s="3"/>
      <c r="H418" s="89"/>
      <c r="I418" s="90"/>
      <c r="K418" s="31"/>
    </row>
    <row r="419" spans="2:11" s="13" customFormat="1" x14ac:dyDescent="0.2">
      <c r="B419" s="3"/>
      <c r="C419" s="3"/>
      <c r="D419" s="3"/>
      <c r="E419" s="3"/>
      <c r="F419" s="89"/>
      <c r="G419" s="3"/>
      <c r="H419" s="89"/>
      <c r="I419" s="90"/>
      <c r="K419" s="31"/>
    </row>
    <row r="420" spans="2:11" s="13" customFormat="1" x14ac:dyDescent="0.2">
      <c r="B420" s="3"/>
      <c r="C420" s="3"/>
      <c r="D420" s="3"/>
      <c r="E420" s="3"/>
      <c r="F420" s="89"/>
      <c r="G420" s="3"/>
      <c r="H420" s="89"/>
      <c r="I420" s="90"/>
      <c r="K420" s="31"/>
    </row>
    <row r="421" spans="2:11" s="13" customFormat="1" x14ac:dyDescent="0.2">
      <c r="B421" s="3"/>
      <c r="C421" s="3"/>
      <c r="D421" s="3"/>
      <c r="E421" s="3"/>
      <c r="F421" s="89"/>
      <c r="G421" s="3"/>
      <c r="H421" s="89"/>
      <c r="I421" s="90"/>
      <c r="K421" s="31"/>
    </row>
    <row r="422" spans="2:11" s="13" customFormat="1" x14ac:dyDescent="0.2">
      <c r="B422" s="3"/>
      <c r="C422" s="3"/>
      <c r="D422" s="3"/>
      <c r="E422" s="3"/>
      <c r="F422" s="89"/>
      <c r="G422" s="3"/>
      <c r="H422" s="89"/>
      <c r="I422" s="90"/>
      <c r="K422" s="31"/>
    </row>
    <row r="423" spans="2:11" s="13" customFormat="1" x14ac:dyDescent="0.2">
      <c r="B423" s="3"/>
      <c r="C423" s="3"/>
      <c r="D423" s="3"/>
      <c r="E423" s="3"/>
      <c r="F423" s="89"/>
      <c r="G423" s="3"/>
      <c r="H423" s="89"/>
      <c r="I423" s="90"/>
      <c r="K423" s="31"/>
    </row>
    <row r="424" spans="2:11" s="13" customFormat="1" x14ac:dyDescent="0.2">
      <c r="B424" s="3"/>
      <c r="C424" s="3"/>
      <c r="D424" s="3"/>
      <c r="E424" s="3"/>
      <c r="F424" s="89"/>
      <c r="G424" s="3"/>
      <c r="H424" s="89"/>
      <c r="I424" s="90"/>
      <c r="K424" s="31"/>
    </row>
    <row r="425" spans="2:11" s="13" customFormat="1" x14ac:dyDescent="0.2">
      <c r="B425" s="3"/>
      <c r="C425" s="3"/>
      <c r="D425" s="3"/>
      <c r="E425" s="3"/>
      <c r="F425" s="89"/>
      <c r="G425" s="3"/>
      <c r="H425" s="89"/>
      <c r="I425" s="90"/>
      <c r="K425" s="31"/>
    </row>
    <row r="426" spans="2:11" s="13" customFormat="1" x14ac:dyDescent="0.2">
      <c r="B426" s="3"/>
      <c r="C426" s="3"/>
      <c r="D426" s="3"/>
      <c r="E426" s="3"/>
      <c r="F426" s="89"/>
      <c r="G426" s="3"/>
      <c r="H426" s="89"/>
      <c r="I426" s="90"/>
      <c r="K426" s="31"/>
    </row>
    <row r="427" spans="2:11" s="13" customFormat="1" x14ac:dyDescent="0.2">
      <c r="B427" s="3"/>
      <c r="C427" s="3"/>
      <c r="D427" s="3"/>
      <c r="E427" s="3"/>
      <c r="F427" s="89"/>
      <c r="G427" s="3"/>
      <c r="H427" s="89"/>
      <c r="I427" s="90"/>
      <c r="K427" s="31"/>
    </row>
    <row r="428" spans="2:11" s="13" customFormat="1" x14ac:dyDescent="0.2">
      <c r="B428" s="3"/>
      <c r="C428" s="3"/>
      <c r="D428" s="3"/>
      <c r="E428" s="3"/>
      <c r="F428" s="89"/>
      <c r="G428" s="3"/>
      <c r="H428" s="89"/>
      <c r="I428" s="90"/>
      <c r="K428" s="31"/>
    </row>
    <row r="429" spans="2:11" s="13" customFormat="1" x14ac:dyDescent="0.2">
      <c r="B429" s="3"/>
      <c r="C429" s="3"/>
      <c r="D429" s="3"/>
      <c r="E429" s="3"/>
      <c r="F429" s="89"/>
      <c r="G429" s="3"/>
      <c r="H429" s="89"/>
      <c r="I429" s="90"/>
      <c r="K429" s="31"/>
    </row>
    <row r="430" spans="2:11" s="13" customFormat="1" x14ac:dyDescent="0.2">
      <c r="B430" s="3"/>
      <c r="C430" s="3"/>
      <c r="D430" s="3"/>
      <c r="E430" s="3"/>
      <c r="F430" s="89"/>
      <c r="G430" s="3"/>
      <c r="H430" s="89"/>
      <c r="I430" s="90"/>
      <c r="K430" s="31"/>
    </row>
    <row r="431" spans="2:11" s="13" customFormat="1" x14ac:dyDescent="0.2">
      <c r="B431" s="3"/>
      <c r="C431" s="3"/>
      <c r="D431" s="3"/>
      <c r="E431" s="3"/>
      <c r="F431" s="89"/>
      <c r="G431" s="3"/>
      <c r="H431" s="89"/>
      <c r="I431" s="90"/>
      <c r="K431" s="31"/>
    </row>
    <row r="432" spans="2:11" s="13" customFormat="1" x14ac:dyDescent="0.2">
      <c r="B432" s="3"/>
      <c r="C432" s="3"/>
      <c r="D432" s="3"/>
      <c r="E432" s="3"/>
      <c r="F432" s="89"/>
      <c r="G432" s="3"/>
      <c r="H432" s="89"/>
      <c r="I432" s="90"/>
      <c r="K432" s="31"/>
    </row>
    <row r="433" spans="2:11" s="13" customFormat="1" x14ac:dyDescent="0.2">
      <c r="B433" s="3"/>
      <c r="C433" s="3"/>
      <c r="D433" s="3"/>
      <c r="E433" s="3"/>
      <c r="F433" s="89"/>
      <c r="G433" s="3"/>
      <c r="H433" s="89"/>
      <c r="I433" s="90"/>
      <c r="K433" s="31"/>
    </row>
    <row r="434" spans="2:11" s="13" customFormat="1" x14ac:dyDescent="0.2">
      <c r="B434" s="3"/>
      <c r="C434" s="3"/>
      <c r="D434" s="3"/>
      <c r="E434" s="3"/>
      <c r="F434" s="89"/>
      <c r="G434" s="3"/>
      <c r="H434" s="89"/>
      <c r="I434" s="90"/>
      <c r="K434" s="31"/>
    </row>
    <row r="435" spans="2:11" s="13" customFormat="1" x14ac:dyDescent="0.2">
      <c r="B435" s="3"/>
      <c r="C435" s="3"/>
      <c r="D435" s="3"/>
      <c r="E435" s="3"/>
      <c r="F435" s="89"/>
      <c r="G435" s="3"/>
      <c r="H435" s="89"/>
      <c r="I435" s="90"/>
      <c r="K435" s="31"/>
    </row>
    <row r="436" spans="2:11" s="13" customFormat="1" x14ac:dyDescent="0.2">
      <c r="B436" s="3"/>
      <c r="C436" s="3"/>
      <c r="D436" s="3"/>
      <c r="E436" s="3"/>
      <c r="F436" s="89"/>
      <c r="G436" s="3"/>
      <c r="H436" s="89"/>
      <c r="I436" s="90"/>
      <c r="K436" s="31"/>
    </row>
    <row r="437" spans="2:11" s="13" customFormat="1" x14ac:dyDescent="0.2">
      <c r="B437" s="3"/>
      <c r="C437" s="3"/>
      <c r="D437" s="3"/>
      <c r="E437" s="3"/>
      <c r="F437" s="89"/>
      <c r="G437" s="3"/>
      <c r="H437" s="89"/>
      <c r="I437" s="90"/>
      <c r="K437" s="31"/>
    </row>
    <row r="438" spans="2:11" s="13" customFormat="1" x14ac:dyDescent="0.2">
      <c r="B438" s="3"/>
      <c r="C438" s="3"/>
      <c r="D438" s="3"/>
      <c r="E438" s="3"/>
      <c r="F438" s="89"/>
      <c r="G438" s="3"/>
      <c r="H438" s="89"/>
      <c r="I438" s="90"/>
      <c r="K438" s="31"/>
    </row>
    <row r="439" spans="2:11" s="13" customFormat="1" x14ac:dyDescent="0.2">
      <c r="B439" s="3"/>
      <c r="C439" s="3"/>
      <c r="D439" s="3"/>
      <c r="E439" s="3"/>
      <c r="F439" s="89"/>
      <c r="G439" s="3"/>
      <c r="H439" s="89"/>
      <c r="I439" s="90"/>
      <c r="K439" s="31"/>
    </row>
    <row r="440" spans="2:11" s="13" customFormat="1" x14ac:dyDescent="0.2">
      <c r="B440" s="3"/>
      <c r="C440" s="3"/>
      <c r="D440" s="3"/>
      <c r="E440" s="3"/>
      <c r="F440" s="89"/>
      <c r="G440" s="3"/>
      <c r="H440" s="89"/>
      <c r="I440" s="90"/>
      <c r="K440" s="31"/>
    </row>
    <row r="441" spans="2:11" s="13" customFormat="1" x14ac:dyDescent="0.2">
      <c r="B441" s="3"/>
      <c r="C441" s="3"/>
      <c r="D441" s="3"/>
      <c r="E441" s="3"/>
      <c r="F441" s="89"/>
      <c r="G441" s="3"/>
      <c r="H441" s="89"/>
      <c r="I441" s="90"/>
      <c r="K441" s="31"/>
    </row>
    <row r="442" spans="2:11" s="13" customFormat="1" x14ac:dyDescent="0.2">
      <c r="B442" s="3"/>
      <c r="C442" s="3"/>
      <c r="D442" s="3"/>
      <c r="E442" s="3"/>
      <c r="F442" s="89"/>
      <c r="G442" s="3"/>
      <c r="H442" s="89"/>
      <c r="I442" s="90"/>
      <c r="K442" s="31"/>
    </row>
    <row r="443" spans="2:11" s="13" customFormat="1" x14ac:dyDescent="0.2">
      <c r="B443" s="3"/>
      <c r="C443" s="3"/>
      <c r="D443" s="3"/>
      <c r="E443" s="3"/>
      <c r="F443" s="89"/>
      <c r="G443" s="3"/>
      <c r="H443" s="89"/>
      <c r="I443" s="90"/>
      <c r="K443" s="31"/>
    </row>
    <row r="444" spans="2:11" s="13" customFormat="1" x14ac:dyDescent="0.2">
      <c r="B444" s="3"/>
      <c r="C444" s="3"/>
      <c r="D444" s="3"/>
      <c r="E444" s="3"/>
      <c r="F444" s="89"/>
      <c r="G444" s="3"/>
      <c r="H444" s="89"/>
      <c r="I444" s="90"/>
      <c r="K444" s="31"/>
    </row>
    <row r="445" spans="2:11" s="13" customFormat="1" x14ac:dyDescent="0.2">
      <c r="B445" s="3"/>
      <c r="C445" s="3"/>
      <c r="D445" s="3"/>
      <c r="E445" s="3"/>
      <c r="F445" s="89"/>
      <c r="G445" s="3"/>
      <c r="H445" s="89"/>
      <c r="I445" s="90"/>
      <c r="K445" s="31"/>
    </row>
    <row r="446" spans="2:11" s="13" customFormat="1" x14ac:dyDescent="0.2">
      <c r="B446" s="3"/>
      <c r="C446" s="3"/>
      <c r="D446" s="3"/>
      <c r="E446" s="3"/>
      <c r="F446" s="89"/>
      <c r="G446" s="3"/>
      <c r="H446" s="89"/>
      <c r="I446" s="90"/>
      <c r="K446" s="31"/>
    </row>
    <row r="447" spans="2:11" s="13" customFormat="1" x14ac:dyDescent="0.2">
      <c r="B447" s="3"/>
      <c r="C447" s="3"/>
      <c r="D447" s="3"/>
      <c r="E447" s="3"/>
      <c r="F447" s="89"/>
      <c r="G447" s="3"/>
      <c r="H447" s="89"/>
      <c r="I447" s="90"/>
      <c r="K447" s="31"/>
    </row>
    <row r="448" spans="2:11" s="13" customFormat="1" x14ac:dyDescent="0.2">
      <c r="B448" s="3"/>
      <c r="C448" s="3"/>
      <c r="D448" s="3"/>
      <c r="E448" s="3"/>
      <c r="F448" s="89"/>
      <c r="G448" s="3"/>
      <c r="H448" s="89"/>
      <c r="I448" s="90"/>
      <c r="K448" s="31"/>
    </row>
    <row r="449" spans="2:11" s="13" customFormat="1" x14ac:dyDescent="0.2">
      <c r="B449" s="3"/>
      <c r="C449" s="3"/>
      <c r="D449" s="3"/>
      <c r="E449" s="3"/>
      <c r="F449" s="89"/>
      <c r="G449" s="3"/>
      <c r="H449" s="89"/>
      <c r="I449" s="90"/>
      <c r="K449" s="31"/>
    </row>
    <row r="450" spans="2:11" s="13" customFormat="1" x14ac:dyDescent="0.2">
      <c r="B450" s="3"/>
      <c r="C450" s="3"/>
      <c r="D450" s="3"/>
      <c r="E450" s="3"/>
      <c r="F450" s="89"/>
      <c r="G450" s="3"/>
      <c r="H450" s="89"/>
      <c r="I450" s="90"/>
      <c r="K450" s="31"/>
    </row>
    <row r="451" spans="2:11" s="13" customFormat="1" x14ac:dyDescent="0.2">
      <c r="B451" s="3"/>
      <c r="C451" s="3"/>
      <c r="D451" s="3"/>
      <c r="E451" s="3"/>
      <c r="F451" s="89"/>
      <c r="G451" s="3"/>
      <c r="H451" s="89"/>
      <c r="I451" s="90"/>
      <c r="K451" s="31"/>
    </row>
    <row r="452" spans="2:11" s="13" customFormat="1" x14ac:dyDescent="0.2">
      <c r="B452" s="3"/>
      <c r="C452" s="3"/>
      <c r="D452" s="3"/>
      <c r="E452" s="3"/>
      <c r="F452" s="89"/>
      <c r="G452" s="3"/>
      <c r="H452" s="89"/>
      <c r="I452" s="90"/>
      <c r="K452" s="31"/>
    </row>
    <row r="453" spans="2:11" s="13" customFormat="1" x14ac:dyDescent="0.2">
      <c r="B453" s="3"/>
      <c r="C453" s="3"/>
      <c r="D453" s="3"/>
      <c r="E453" s="3"/>
      <c r="F453" s="89"/>
      <c r="G453" s="3"/>
      <c r="H453" s="89"/>
      <c r="I453" s="90"/>
      <c r="K453" s="31"/>
    </row>
    <row r="454" spans="2:11" s="13" customFormat="1" x14ac:dyDescent="0.2">
      <c r="B454" s="3"/>
      <c r="C454" s="3"/>
      <c r="D454" s="3"/>
      <c r="E454" s="3"/>
      <c r="F454" s="89"/>
      <c r="G454" s="3"/>
      <c r="H454" s="89"/>
      <c r="I454" s="90"/>
      <c r="K454" s="31"/>
    </row>
    <row r="455" spans="2:11" s="13" customFormat="1" x14ac:dyDescent="0.2">
      <c r="B455" s="3"/>
      <c r="C455" s="3"/>
      <c r="D455" s="3"/>
      <c r="E455" s="3"/>
      <c r="F455" s="89"/>
      <c r="G455" s="3"/>
      <c r="H455" s="89"/>
      <c r="I455" s="90"/>
      <c r="K455" s="31"/>
    </row>
    <row r="456" spans="2:11" s="13" customFormat="1" x14ac:dyDescent="0.2">
      <c r="B456" s="3"/>
      <c r="C456" s="3"/>
      <c r="D456" s="3"/>
      <c r="E456" s="3"/>
      <c r="F456" s="89"/>
      <c r="G456" s="3"/>
      <c r="H456" s="89"/>
      <c r="I456" s="90"/>
      <c r="K456" s="31"/>
    </row>
    <row r="457" spans="2:11" s="13" customFormat="1" x14ac:dyDescent="0.2">
      <c r="B457" s="3"/>
      <c r="C457" s="3"/>
      <c r="D457" s="3"/>
      <c r="E457" s="3"/>
      <c r="F457" s="89"/>
      <c r="G457" s="3"/>
      <c r="H457" s="89"/>
      <c r="I457" s="90"/>
      <c r="K457" s="31"/>
    </row>
    <row r="458" spans="2:11" s="13" customFormat="1" x14ac:dyDescent="0.2">
      <c r="B458" s="3"/>
      <c r="C458" s="3"/>
      <c r="D458" s="3"/>
      <c r="E458" s="3"/>
      <c r="F458" s="89"/>
      <c r="G458" s="3"/>
      <c r="H458" s="89"/>
      <c r="I458" s="90"/>
      <c r="K458" s="31"/>
    </row>
    <row r="459" spans="2:11" s="13" customFormat="1" x14ac:dyDescent="0.2">
      <c r="B459" s="3"/>
      <c r="C459" s="3"/>
      <c r="D459" s="3"/>
      <c r="E459" s="3"/>
      <c r="F459" s="89"/>
      <c r="G459" s="3"/>
      <c r="H459" s="89"/>
      <c r="I459" s="90"/>
      <c r="K459" s="31"/>
    </row>
    <row r="460" spans="2:11" s="13" customFormat="1" x14ac:dyDescent="0.2">
      <c r="B460" s="3"/>
      <c r="C460" s="3"/>
      <c r="D460" s="3"/>
      <c r="E460" s="3"/>
      <c r="F460" s="89"/>
      <c r="G460" s="3"/>
      <c r="H460" s="89"/>
      <c r="I460" s="90"/>
      <c r="K460" s="31"/>
    </row>
    <row r="461" spans="2:11" s="13" customFormat="1" x14ac:dyDescent="0.2">
      <c r="B461" s="3"/>
      <c r="C461" s="3"/>
      <c r="D461" s="3"/>
      <c r="E461" s="3"/>
      <c r="F461" s="89"/>
      <c r="G461" s="3"/>
      <c r="H461" s="89"/>
      <c r="I461" s="90"/>
      <c r="K461" s="31"/>
    </row>
    <row r="462" spans="2:11" s="13" customFormat="1" x14ac:dyDescent="0.2">
      <c r="B462" s="3"/>
      <c r="C462" s="3"/>
      <c r="D462" s="3"/>
      <c r="E462" s="3"/>
      <c r="F462" s="89"/>
      <c r="G462" s="3"/>
      <c r="H462" s="89"/>
      <c r="I462" s="90"/>
      <c r="K462" s="31"/>
    </row>
    <row r="463" spans="2:11" s="13" customFormat="1" x14ac:dyDescent="0.2">
      <c r="B463" s="3"/>
      <c r="C463" s="3"/>
      <c r="D463" s="3"/>
      <c r="E463" s="3"/>
      <c r="F463" s="89"/>
      <c r="G463" s="3"/>
      <c r="H463" s="89"/>
      <c r="I463" s="90"/>
      <c r="K463" s="31"/>
    </row>
    <row r="464" spans="2:11" s="13" customFormat="1" x14ac:dyDescent="0.2">
      <c r="B464" s="3"/>
      <c r="C464" s="3"/>
      <c r="D464" s="3"/>
      <c r="E464" s="3"/>
      <c r="F464" s="89"/>
      <c r="G464" s="3"/>
      <c r="H464" s="89"/>
      <c r="I464" s="90"/>
      <c r="K464" s="31"/>
    </row>
    <row r="465" spans="2:11" s="13" customFormat="1" x14ac:dyDescent="0.2">
      <c r="B465" s="3"/>
      <c r="C465" s="3"/>
      <c r="D465" s="3"/>
      <c r="E465" s="3"/>
      <c r="F465" s="89"/>
      <c r="G465" s="3"/>
      <c r="H465" s="89"/>
      <c r="I465" s="90"/>
      <c r="K465" s="31"/>
    </row>
    <row r="466" spans="2:11" s="13" customFormat="1" x14ac:dyDescent="0.2">
      <c r="B466" s="3"/>
      <c r="C466" s="3"/>
      <c r="D466" s="3"/>
      <c r="E466" s="3"/>
      <c r="F466" s="89"/>
      <c r="G466" s="3"/>
      <c r="H466" s="89"/>
      <c r="I466" s="90"/>
      <c r="K466" s="31"/>
    </row>
    <row r="467" spans="2:11" s="13" customFormat="1" x14ac:dyDescent="0.2">
      <c r="B467" s="3"/>
      <c r="C467" s="3"/>
      <c r="D467" s="3"/>
      <c r="E467" s="3"/>
      <c r="F467" s="89"/>
      <c r="G467" s="3"/>
      <c r="H467" s="89"/>
      <c r="I467" s="90"/>
      <c r="K467" s="31"/>
    </row>
    <row r="468" spans="2:11" s="13" customFormat="1" x14ac:dyDescent="0.2">
      <c r="B468" s="3"/>
      <c r="C468" s="3"/>
      <c r="D468" s="3"/>
      <c r="E468" s="3"/>
      <c r="F468" s="89"/>
      <c r="G468" s="3"/>
      <c r="H468" s="89"/>
      <c r="I468" s="90"/>
      <c r="K468" s="31"/>
    </row>
    <row r="469" spans="2:11" s="13" customFormat="1" x14ac:dyDescent="0.2">
      <c r="B469" s="3"/>
      <c r="C469" s="3"/>
      <c r="D469" s="3"/>
      <c r="E469" s="3"/>
      <c r="F469" s="89"/>
      <c r="G469" s="3"/>
      <c r="H469" s="89"/>
      <c r="I469" s="90"/>
      <c r="K469" s="31"/>
    </row>
    <row r="470" spans="2:11" s="13" customFormat="1" x14ac:dyDescent="0.2">
      <c r="B470" s="3"/>
      <c r="C470" s="3"/>
      <c r="D470" s="3"/>
      <c r="E470" s="3"/>
      <c r="F470" s="89"/>
      <c r="G470" s="3"/>
      <c r="H470" s="89"/>
      <c r="I470" s="90"/>
      <c r="K470" s="31"/>
    </row>
    <row r="471" spans="2:11" s="13" customFormat="1" x14ac:dyDescent="0.2">
      <c r="B471" s="3"/>
      <c r="C471" s="3"/>
      <c r="D471" s="3"/>
      <c r="E471" s="3"/>
      <c r="F471" s="89"/>
      <c r="G471" s="3"/>
      <c r="H471" s="89"/>
      <c r="I471" s="90"/>
      <c r="K471" s="31"/>
    </row>
    <row r="472" spans="2:11" s="13" customFormat="1" x14ac:dyDescent="0.2">
      <c r="B472" s="3"/>
      <c r="C472" s="3"/>
      <c r="D472" s="3"/>
      <c r="E472" s="3"/>
      <c r="F472" s="89"/>
      <c r="G472" s="3"/>
      <c r="H472" s="89"/>
      <c r="I472" s="90"/>
      <c r="K472" s="31"/>
    </row>
    <row r="473" spans="2:11" s="13" customFormat="1" x14ac:dyDescent="0.2">
      <c r="B473" s="3"/>
      <c r="C473" s="3"/>
      <c r="D473" s="3"/>
      <c r="E473" s="3"/>
      <c r="F473" s="89"/>
      <c r="G473" s="3"/>
      <c r="H473" s="89"/>
      <c r="I473" s="90"/>
      <c r="K473" s="31"/>
    </row>
    <row r="474" spans="2:11" s="13" customFormat="1" x14ac:dyDescent="0.2">
      <c r="B474" s="3"/>
      <c r="C474" s="3"/>
      <c r="D474" s="3"/>
      <c r="E474" s="3"/>
      <c r="F474" s="89"/>
      <c r="G474" s="3"/>
      <c r="H474" s="89"/>
      <c r="I474" s="90"/>
      <c r="K474" s="31"/>
    </row>
    <row r="475" spans="2:11" s="13" customFormat="1" x14ac:dyDescent="0.2">
      <c r="B475" s="3"/>
      <c r="C475" s="3"/>
      <c r="D475" s="3"/>
      <c r="E475" s="3"/>
      <c r="F475" s="89"/>
      <c r="G475" s="3"/>
      <c r="H475" s="89"/>
      <c r="I475" s="90"/>
      <c r="K475" s="31"/>
    </row>
    <row r="476" spans="2:11" s="13" customFormat="1" x14ac:dyDescent="0.2">
      <c r="B476" s="3"/>
      <c r="C476" s="3"/>
      <c r="D476" s="3"/>
      <c r="E476" s="3"/>
      <c r="F476" s="89"/>
      <c r="G476" s="3"/>
      <c r="H476" s="89"/>
      <c r="I476" s="90"/>
      <c r="K476" s="31"/>
    </row>
    <row r="477" spans="2:11" s="13" customFormat="1" x14ac:dyDescent="0.2">
      <c r="B477" s="3"/>
      <c r="C477" s="3"/>
      <c r="D477" s="3"/>
      <c r="E477" s="3"/>
      <c r="F477" s="89"/>
      <c r="G477" s="3"/>
      <c r="H477" s="89"/>
      <c r="I477" s="90"/>
      <c r="K477" s="31"/>
    </row>
    <row r="478" spans="2:11" s="13" customFormat="1" x14ac:dyDescent="0.2">
      <c r="B478" s="3"/>
      <c r="C478" s="3"/>
      <c r="D478" s="3"/>
      <c r="E478" s="3"/>
      <c r="F478" s="89"/>
      <c r="G478" s="3"/>
      <c r="H478" s="89"/>
      <c r="I478" s="90"/>
      <c r="K478" s="31"/>
    </row>
    <row r="479" spans="2:11" s="13" customFormat="1" x14ac:dyDescent="0.2">
      <c r="B479" s="3"/>
      <c r="C479" s="3"/>
      <c r="D479" s="3"/>
      <c r="E479" s="3"/>
      <c r="F479" s="89"/>
      <c r="G479" s="3"/>
      <c r="H479" s="89"/>
      <c r="I479" s="90"/>
      <c r="K479" s="31"/>
    </row>
    <row r="480" spans="2:11" s="13" customFormat="1" x14ac:dyDescent="0.2">
      <c r="B480" s="3"/>
      <c r="C480" s="3"/>
      <c r="D480" s="3"/>
      <c r="E480" s="3"/>
      <c r="F480" s="89"/>
      <c r="G480" s="3"/>
      <c r="H480" s="89"/>
      <c r="I480" s="90"/>
      <c r="K480" s="31"/>
    </row>
    <row r="481" spans="2:11" s="13" customFormat="1" x14ac:dyDescent="0.2">
      <c r="B481" s="3"/>
      <c r="C481" s="3"/>
      <c r="D481" s="3"/>
      <c r="E481" s="3"/>
      <c r="F481" s="89"/>
      <c r="G481" s="3"/>
      <c r="H481" s="89"/>
      <c r="I481" s="90"/>
      <c r="K481" s="31"/>
    </row>
    <row r="482" spans="2:11" s="13" customFormat="1" x14ac:dyDescent="0.2">
      <c r="B482" s="3"/>
      <c r="C482" s="3"/>
      <c r="D482" s="3"/>
      <c r="E482" s="3"/>
      <c r="F482" s="89"/>
      <c r="G482" s="3"/>
      <c r="H482" s="89"/>
      <c r="I482" s="90"/>
      <c r="K482" s="31"/>
    </row>
    <row r="483" spans="2:11" s="13" customFormat="1" x14ac:dyDescent="0.2">
      <c r="B483" s="3"/>
      <c r="C483" s="3"/>
      <c r="D483" s="3"/>
      <c r="E483" s="3"/>
      <c r="F483" s="89"/>
      <c r="G483" s="3"/>
      <c r="H483" s="89"/>
      <c r="I483" s="90"/>
      <c r="K483" s="31"/>
    </row>
    <row r="484" spans="2:11" s="13" customFormat="1" x14ac:dyDescent="0.2">
      <c r="B484" s="3"/>
      <c r="C484" s="3"/>
      <c r="D484" s="3"/>
      <c r="E484" s="3"/>
      <c r="F484" s="89"/>
      <c r="G484" s="3"/>
      <c r="H484" s="89"/>
      <c r="I484" s="90"/>
      <c r="K484" s="31"/>
    </row>
    <row r="485" spans="2:11" s="13" customFormat="1" x14ac:dyDescent="0.2">
      <c r="B485" s="3"/>
      <c r="C485" s="3"/>
      <c r="D485" s="3"/>
      <c r="E485" s="3"/>
      <c r="F485" s="89"/>
      <c r="G485" s="3"/>
      <c r="H485" s="89"/>
      <c r="I485" s="90"/>
      <c r="K485" s="31"/>
    </row>
    <row r="486" spans="2:11" s="13" customFormat="1" x14ac:dyDescent="0.2">
      <c r="B486" s="3"/>
      <c r="C486" s="3"/>
      <c r="D486" s="3"/>
      <c r="E486" s="3"/>
      <c r="F486" s="89"/>
      <c r="G486" s="3"/>
      <c r="H486" s="89"/>
      <c r="I486" s="90"/>
      <c r="K486" s="31"/>
    </row>
    <row r="487" spans="2:11" s="13" customFormat="1" x14ac:dyDescent="0.2">
      <c r="B487" s="3"/>
      <c r="C487" s="3"/>
      <c r="D487" s="3"/>
      <c r="E487" s="3"/>
      <c r="F487" s="89"/>
      <c r="G487" s="3"/>
      <c r="H487" s="89"/>
      <c r="I487" s="90"/>
      <c r="K487" s="31"/>
    </row>
    <row r="488" spans="2:11" s="13" customFormat="1" x14ac:dyDescent="0.2">
      <c r="B488" s="3"/>
      <c r="C488" s="3"/>
      <c r="D488" s="3"/>
      <c r="E488" s="3"/>
      <c r="F488" s="89"/>
      <c r="G488" s="3"/>
      <c r="H488" s="89"/>
      <c r="I488" s="90"/>
      <c r="K488" s="31"/>
    </row>
    <row r="489" spans="2:11" s="13" customFormat="1" x14ac:dyDescent="0.2">
      <c r="B489" s="3"/>
      <c r="C489" s="3"/>
      <c r="D489" s="3"/>
      <c r="E489" s="3"/>
      <c r="F489" s="89"/>
      <c r="G489" s="3"/>
      <c r="H489" s="89"/>
      <c r="I489" s="90"/>
      <c r="K489" s="31"/>
    </row>
    <row r="490" spans="2:11" s="13" customFormat="1" x14ac:dyDescent="0.2">
      <c r="B490" s="3"/>
      <c r="C490" s="3"/>
      <c r="D490" s="3"/>
      <c r="E490" s="3"/>
      <c r="F490" s="89"/>
      <c r="G490" s="3"/>
      <c r="H490" s="89"/>
      <c r="I490" s="90"/>
      <c r="K490" s="31"/>
    </row>
    <row r="491" spans="2:11" s="13" customFormat="1" x14ac:dyDescent="0.2">
      <c r="B491" s="3"/>
      <c r="C491" s="3"/>
      <c r="D491" s="3"/>
      <c r="E491" s="3"/>
      <c r="F491" s="89"/>
      <c r="G491" s="3"/>
      <c r="H491" s="89"/>
      <c r="I491" s="90"/>
      <c r="K491" s="31"/>
    </row>
    <row r="492" spans="2:11" s="13" customFormat="1" x14ac:dyDescent="0.2">
      <c r="B492" s="3"/>
      <c r="C492" s="3"/>
      <c r="D492" s="3"/>
      <c r="E492" s="3"/>
      <c r="F492" s="89"/>
      <c r="G492" s="3"/>
      <c r="H492" s="89"/>
      <c r="I492" s="90"/>
      <c r="K492" s="31"/>
    </row>
    <row r="493" spans="2:11" s="13" customFormat="1" x14ac:dyDescent="0.2">
      <c r="B493" s="3"/>
      <c r="C493" s="3"/>
      <c r="D493" s="3"/>
      <c r="E493" s="3"/>
      <c r="F493" s="89"/>
      <c r="G493" s="3"/>
      <c r="H493" s="89"/>
      <c r="I493" s="90"/>
      <c r="K493" s="31"/>
    </row>
    <row r="494" spans="2:11" s="13" customFormat="1" x14ac:dyDescent="0.2">
      <c r="B494" s="3"/>
      <c r="C494" s="3"/>
      <c r="D494" s="3"/>
      <c r="E494" s="3"/>
      <c r="F494" s="89"/>
      <c r="G494" s="3"/>
      <c r="H494" s="89"/>
      <c r="I494" s="90"/>
      <c r="K494" s="31"/>
    </row>
    <row r="495" spans="2:11" s="13" customFormat="1" x14ac:dyDescent="0.2">
      <c r="B495" s="3"/>
      <c r="C495" s="3"/>
      <c r="D495" s="3"/>
      <c r="E495" s="3"/>
      <c r="F495" s="89"/>
      <c r="G495" s="3"/>
      <c r="H495" s="89"/>
      <c r="I495" s="90"/>
      <c r="K495" s="31"/>
    </row>
    <row r="496" spans="2:11" s="13" customFormat="1" x14ac:dyDescent="0.2">
      <c r="B496" s="3"/>
      <c r="C496" s="3"/>
      <c r="D496" s="3"/>
      <c r="E496" s="3"/>
      <c r="F496" s="89"/>
      <c r="G496" s="3"/>
      <c r="H496" s="89"/>
      <c r="I496" s="90"/>
      <c r="K496" s="31"/>
    </row>
    <row r="497" spans="2:11" s="13" customFormat="1" x14ac:dyDescent="0.2">
      <c r="B497" s="3"/>
      <c r="C497" s="3"/>
      <c r="D497" s="3"/>
      <c r="E497" s="3"/>
      <c r="F497" s="89"/>
      <c r="G497" s="3"/>
      <c r="H497" s="89"/>
      <c r="I497" s="90"/>
      <c r="K497" s="31"/>
    </row>
    <row r="498" spans="2:11" s="13" customFormat="1" x14ac:dyDescent="0.2">
      <c r="B498" s="3"/>
      <c r="C498" s="3"/>
      <c r="D498" s="3"/>
      <c r="E498" s="3"/>
      <c r="F498" s="89"/>
      <c r="G498" s="3"/>
      <c r="H498" s="89"/>
      <c r="I498" s="90"/>
      <c r="K498" s="31"/>
    </row>
    <row r="499" spans="2:11" s="13" customFormat="1" x14ac:dyDescent="0.2">
      <c r="B499" s="3"/>
      <c r="C499" s="3"/>
      <c r="D499" s="3"/>
      <c r="E499" s="3"/>
      <c r="F499" s="89"/>
      <c r="G499" s="3"/>
      <c r="H499" s="89"/>
      <c r="I499" s="90"/>
      <c r="K499" s="31"/>
    </row>
    <row r="500" spans="2:11" s="13" customFormat="1" x14ac:dyDescent="0.2">
      <c r="B500" s="3"/>
      <c r="C500" s="3"/>
      <c r="D500" s="3"/>
      <c r="E500" s="3"/>
      <c r="F500" s="89"/>
      <c r="G500" s="3"/>
      <c r="H500" s="89"/>
      <c r="I500" s="90"/>
      <c r="K500" s="31"/>
    </row>
    <row r="501" spans="2:11" s="13" customFormat="1" x14ac:dyDescent="0.2">
      <c r="B501" s="3"/>
      <c r="C501" s="3"/>
      <c r="D501" s="3"/>
      <c r="E501" s="3"/>
      <c r="F501" s="89"/>
      <c r="G501" s="3"/>
      <c r="H501" s="89"/>
      <c r="I501" s="90"/>
      <c r="K501" s="31"/>
    </row>
    <row r="502" spans="2:11" s="13" customFormat="1" x14ac:dyDescent="0.2">
      <c r="B502" s="3"/>
      <c r="C502" s="3"/>
      <c r="D502" s="3"/>
      <c r="E502" s="3"/>
      <c r="F502" s="89"/>
      <c r="G502" s="3"/>
      <c r="H502" s="89"/>
      <c r="I502" s="90"/>
      <c r="K502" s="31"/>
    </row>
    <row r="503" spans="2:11" s="13" customFormat="1" x14ac:dyDescent="0.2">
      <c r="B503" s="3"/>
      <c r="C503" s="3"/>
      <c r="D503" s="3"/>
      <c r="E503" s="3"/>
      <c r="F503" s="89"/>
      <c r="G503" s="3"/>
      <c r="H503" s="89"/>
      <c r="I503" s="90"/>
      <c r="K503" s="31"/>
    </row>
    <row r="504" spans="2:11" s="13" customFormat="1" x14ac:dyDescent="0.2">
      <c r="B504" s="3"/>
      <c r="C504" s="3"/>
      <c r="D504" s="3"/>
      <c r="E504" s="3"/>
      <c r="F504" s="89"/>
      <c r="G504" s="3"/>
      <c r="H504" s="89"/>
      <c r="I504" s="90"/>
      <c r="K504" s="31"/>
    </row>
    <row r="505" spans="2:11" s="13" customFormat="1" x14ac:dyDescent="0.2">
      <c r="B505" s="3"/>
      <c r="C505" s="3"/>
      <c r="D505" s="3"/>
      <c r="E505" s="3"/>
      <c r="F505" s="89"/>
      <c r="G505" s="3"/>
      <c r="H505" s="89"/>
      <c r="I505" s="90"/>
      <c r="K505" s="31"/>
    </row>
    <row r="506" spans="2:11" s="13" customFormat="1" x14ac:dyDescent="0.2">
      <c r="B506" s="3"/>
      <c r="C506" s="3"/>
      <c r="D506" s="3"/>
      <c r="E506" s="3"/>
      <c r="F506" s="89"/>
      <c r="G506" s="3"/>
      <c r="H506" s="89"/>
      <c r="I506" s="90"/>
      <c r="K506" s="31"/>
    </row>
    <row r="507" spans="2:11" s="13" customFormat="1" x14ac:dyDescent="0.2">
      <c r="B507" s="3"/>
      <c r="C507" s="3"/>
      <c r="D507" s="3"/>
      <c r="E507" s="3"/>
      <c r="F507" s="89"/>
      <c r="G507" s="3"/>
      <c r="H507" s="89"/>
      <c r="I507" s="90"/>
      <c r="K507" s="31"/>
    </row>
    <row r="508" spans="2:11" s="13" customFormat="1" x14ac:dyDescent="0.2">
      <c r="B508" s="3"/>
      <c r="C508" s="3"/>
      <c r="D508" s="3"/>
      <c r="E508" s="3"/>
      <c r="F508" s="89"/>
      <c r="G508" s="3"/>
      <c r="H508" s="89"/>
      <c r="I508" s="90"/>
      <c r="K508" s="31"/>
    </row>
    <row r="509" spans="2:11" s="13" customFormat="1" x14ac:dyDescent="0.2">
      <c r="B509" s="3"/>
      <c r="C509" s="3"/>
      <c r="D509" s="3"/>
      <c r="E509" s="3"/>
      <c r="F509" s="89"/>
      <c r="G509" s="3"/>
      <c r="H509" s="89"/>
      <c r="I509" s="90"/>
      <c r="K509" s="31"/>
    </row>
    <row r="510" spans="2:11" s="13" customFormat="1" x14ac:dyDescent="0.2">
      <c r="B510" s="3"/>
      <c r="C510" s="3"/>
      <c r="D510" s="3"/>
      <c r="E510" s="3"/>
      <c r="F510" s="89"/>
      <c r="G510" s="3"/>
      <c r="H510" s="89"/>
      <c r="I510" s="90"/>
      <c r="K510" s="31"/>
    </row>
    <row r="511" spans="2:11" s="13" customFormat="1" x14ac:dyDescent="0.2">
      <c r="B511" s="3"/>
      <c r="C511" s="3"/>
      <c r="D511" s="3"/>
      <c r="E511" s="3"/>
      <c r="F511" s="89"/>
      <c r="G511" s="3"/>
      <c r="H511" s="89"/>
      <c r="I511" s="90"/>
      <c r="K511" s="31"/>
    </row>
    <row r="512" spans="2:11" s="13" customFormat="1" x14ac:dyDescent="0.2">
      <c r="B512" s="3"/>
      <c r="C512" s="3"/>
      <c r="D512" s="3"/>
      <c r="E512" s="3"/>
      <c r="F512" s="89"/>
      <c r="G512" s="3"/>
      <c r="H512" s="89"/>
      <c r="I512" s="90"/>
      <c r="K512" s="31"/>
    </row>
    <row r="513" spans="2:11" s="13" customFormat="1" x14ac:dyDescent="0.2">
      <c r="B513" s="3"/>
      <c r="C513" s="3"/>
      <c r="D513" s="3"/>
      <c r="E513" s="3"/>
      <c r="F513" s="89"/>
      <c r="G513" s="3"/>
      <c r="H513" s="89"/>
      <c r="I513" s="90"/>
      <c r="K513" s="31"/>
    </row>
    <row r="514" spans="2:11" s="13" customFormat="1" x14ac:dyDescent="0.2">
      <c r="B514" s="3"/>
      <c r="C514" s="3"/>
      <c r="D514" s="3"/>
      <c r="E514" s="3"/>
      <c r="F514" s="89"/>
      <c r="G514" s="3"/>
      <c r="H514" s="89"/>
      <c r="I514" s="90"/>
      <c r="K514" s="31"/>
    </row>
    <row r="515" spans="2:11" s="13" customFormat="1" x14ac:dyDescent="0.2">
      <c r="B515" s="3"/>
      <c r="C515" s="3"/>
      <c r="D515" s="3"/>
      <c r="E515" s="3"/>
      <c r="F515" s="89"/>
      <c r="G515" s="3"/>
      <c r="H515" s="89"/>
      <c r="I515" s="90"/>
      <c r="K515" s="31"/>
    </row>
    <row r="516" spans="2:11" s="13" customFormat="1" x14ac:dyDescent="0.2">
      <c r="B516" s="3"/>
      <c r="C516" s="3"/>
      <c r="D516" s="3"/>
      <c r="E516" s="3"/>
      <c r="F516" s="89"/>
      <c r="G516" s="3"/>
      <c r="H516" s="89"/>
      <c r="I516" s="90"/>
      <c r="K516" s="31"/>
    </row>
    <row r="517" spans="2:11" s="13" customFormat="1" x14ac:dyDescent="0.2">
      <c r="B517" s="3"/>
      <c r="C517" s="3"/>
      <c r="D517" s="3"/>
      <c r="E517" s="3"/>
      <c r="F517" s="89"/>
      <c r="G517" s="3"/>
      <c r="H517" s="89"/>
      <c r="I517" s="90"/>
      <c r="K517" s="31"/>
    </row>
    <row r="518" spans="2:11" s="13" customFormat="1" x14ac:dyDescent="0.2">
      <c r="B518" s="3"/>
      <c r="C518" s="3"/>
      <c r="D518" s="3"/>
      <c r="E518" s="3"/>
      <c r="F518" s="89"/>
      <c r="G518" s="3"/>
      <c r="H518" s="89"/>
      <c r="I518" s="90"/>
      <c r="K518" s="31"/>
    </row>
    <row r="519" spans="2:11" s="13" customFormat="1" x14ac:dyDescent="0.2">
      <c r="B519" s="3"/>
      <c r="C519" s="3"/>
      <c r="D519" s="3"/>
      <c r="E519" s="3"/>
      <c r="F519" s="89"/>
      <c r="G519" s="3"/>
      <c r="H519" s="89"/>
      <c r="I519" s="90"/>
      <c r="K519" s="31"/>
    </row>
    <row r="520" spans="2:11" s="13" customFormat="1" x14ac:dyDescent="0.2">
      <c r="B520" s="3"/>
      <c r="C520" s="3"/>
      <c r="D520" s="3"/>
      <c r="E520" s="3"/>
      <c r="F520" s="89"/>
      <c r="G520" s="3"/>
      <c r="H520" s="89"/>
      <c r="I520" s="90"/>
      <c r="K520" s="31"/>
    </row>
    <row r="521" spans="2:11" s="13" customFormat="1" x14ac:dyDescent="0.2">
      <c r="B521" s="3"/>
      <c r="C521" s="3"/>
      <c r="D521" s="3"/>
      <c r="E521" s="3"/>
      <c r="F521" s="89"/>
      <c r="G521" s="3"/>
      <c r="H521" s="89"/>
      <c r="I521" s="90"/>
      <c r="K521" s="31"/>
    </row>
    <row r="522" spans="2:11" s="13" customFormat="1" x14ac:dyDescent="0.2">
      <c r="B522" s="3"/>
      <c r="C522" s="3"/>
      <c r="D522" s="3"/>
      <c r="E522" s="3"/>
      <c r="F522" s="89"/>
      <c r="G522" s="3"/>
      <c r="H522" s="89"/>
      <c r="I522" s="90"/>
      <c r="K522" s="31"/>
    </row>
    <row r="523" spans="2:11" s="13" customFormat="1" x14ac:dyDescent="0.2">
      <c r="B523" s="3"/>
      <c r="C523" s="3"/>
      <c r="D523" s="3"/>
      <c r="E523" s="3"/>
      <c r="F523" s="89"/>
      <c r="G523" s="3"/>
      <c r="H523" s="89"/>
      <c r="I523" s="90"/>
      <c r="K523" s="31"/>
    </row>
    <row r="524" spans="2:11" s="13" customFormat="1" x14ac:dyDescent="0.2">
      <c r="B524" s="3"/>
      <c r="C524" s="3"/>
      <c r="D524" s="3"/>
      <c r="E524" s="3"/>
      <c r="F524" s="89"/>
      <c r="G524" s="3"/>
      <c r="H524" s="89"/>
      <c r="I524" s="90"/>
      <c r="K524" s="31"/>
    </row>
    <row r="525" spans="2:11" s="13" customFormat="1" x14ac:dyDescent="0.2">
      <c r="B525" s="3"/>
      <c r="C525" s="3"/>
      <c r="D525" s="3"/>
      <c r="E525" s="3"/>
      <c r="F525" s="89"/>
      <c r="G525" s="3"/>
      <c r="H525" s="89"/>
      <c r="I525" s="90"/>
      <c r="K525" s="31"/>
    </row>
    <row r="526" spans="2:11" s="13" customFormat="1" x14ac:dyDescent="0.2">
      <c r="B526" s="3"/>
      <c r="C526" s="3"/>
      <c r="D526" s="3"/>
      <c r="E526" s="3"/>
      <c r="F526" s="89"/>
      <c r="G526" s="3"/>
      <c r="H526" s="89"/>
      <c r="I526" s="90"/>
      <c r="K526" s="31"/>
    </row>
    <row r="527" spans="2:11" s="13" customFormat="1" x14ac:dyDescent="0.2">
      <c r="B527" s="3"/>
      <c r="C527" s="3"/>
      <c r="D527" s="3"/>
      <c r="E527" s="3"/>
      <c r="F527" s="89"/>
      <c r="G527" s="3"/>
      <c r="H527" s="89"/>
      <c r="I527" s="90"/>
      <c r="K527" s="31"/>
    </row>
    <row r="528" spans="2:11" s="13" customFormat="1" x14ac:dyDescent="0.2">
      <c r="B528" s="3"/>
      <c r="C528" s="3"/>
      <c r="D528" s="3"/>
      <c r="E528" s="3"/>
      <c r="F528" s="89"/>
      <c r="G528" s="3"/>
      <c r="H528" s="89"/>
      <c r="I528" s="90"/>
      <c r="K528" s="31"/>
    </row>
    <row r="529" spans="2:11" s="13" customFormat="1" x14ac:dyDescent="0.2">
      <c r="B529" s="3"/>
      <c r="C529" s="3"/>
      <c r="D529" s="3"/>
      <c r="E529" s="3"/>
      <c r="F529" s="89"/>
      <c r="G529" s="3"/>
      <c r="H529" s="89"/>
      <c r="I529" s="90"/>
      <c r="K529" s="31"/>
    </row>
    <row r="530" spans="2:11" s="13" customFormat="1" x14ac:dyDescent="0.2">
      <c r="B530" s="3"/>
      <c r="C530" s="3"/>
      <c r="D530" s="3"/>
      <c r="E530" s="3"/>
      <c r="F530" s="89"/>
      <c r="G530" s="3"/>
      <c r="H530" s="89"/>
      <c r="I530" s="90"/>
      <c r="K530" s="31"/>
    </row>
    <row r="531" spans="2:11" s="13" customFormat="1" x14ac:dyDescent="0.2">
      <c r="B531" s="3"/>
      <c r="C531" s="3"/>
      <c r="D531" s="3"/>
      <c r="E531" s="3"/>
      <c r="F531" s="89"/>
      <c r="G531" s="3"/>
      <c r="H531" s="89"/>
      <c r="I531" s="90"/>
      <c r="K531" s="31"/>
    </row>
    <row r="532" spans="2:11" s="13" customFormat="1" x14ac:dyDescent="0.2">
      <c r="B532" s="3"/>
      <c r="C532" s="3"/>
      <c r="D532" s="3"/>
      <c r="E532" s="3"/>
      <c r="F532" s="89"/>
      <c r="G532" s="3"/>
      <c r="H532" s="89"/>
      <c r="I532" s="90"/>
      <c r="K532" s="31"/>
    </row>
    <row r="533" spans="2:11" s="13" customFormat="1" x14ac:dyDescent="0.2">
      <c r="B533" s="3"/>
      <c r="C533" s="3"/>
      <c r="D533" s="3"/>
      <c r="E533" s="3"/>
      <c r="F533" s="89"/>
      <c r="G533" s="3"/>
      <c r="H533" s="89"/>
      <c r="I533" s="90"/>
      <c r="K533" s="31"/>
    </row>
    <row r="534" spans="2:11" s="13" customFormat="1" x14ac:dyDescent="0.2">
      <c r="B534" s="3"/>
      <c r="C534" s="3"/>
      <c r="D534" s="3"/>
      <c r="E534" s="3"/>
      <c r="F534" s="89"/>
      <c r="G534" s="3"/>
      <c r="H534" s="89"/>
      <c r="I534" s="90"/>
      <c r="K534" s="31"/>
    </row>
    <row r="535" spans="2:11" s="13" customFormat="1" x14ac:dyDescent="0.2">
      <c r="B535" s="3"/>
      <c r="C535" s="3"/>
      <c r="D535" s="3"/>
      <c r="E535" s="3"/>
      <c r="F535" s="89"/>
      <c r="G535" s="3"/>
      <c r="H535" s="89"/>
      <c r="I535" s="90"/>
      <c r="K535" s="31"/>
    </row>
    <row r="536" spans="2:11" s="13" customFormat="1" x14ac:dyDescent="0.2">
      <c r="B536" s="3"/>
      <c r="C536" s="3"/>
      <c r="D536" s="3"/>
      <c r="E536" s="3"/>
      <c r="F536" s="89"/>
      <c r="G536" s="3"/>
      <c r="H536" s="89"/>
      <c r="I536" s="90"/>
      <c r="K536" s="31"/>
    </row>
    <row r="537" spans="2:11" s="13" customFormat="1" x14ac:dyDescent="0.2">
      <c r="B537" s="3"/>
      <c r="C537" s="3"/>
      <c r="D537" s="3"/>
      <c r="E537" s="3"/>
      <c r="F537" s="89"/>
      <c r="G537" s="3"/>
      <c r="H537" s="89"/>
      <c r="I537" s="90"/>
      <c r="K537" s="31"/>
    </row>
    <row r="538" spans="2:11" s="13" customFormat="1" x14ac:dyDescent="0.2">
      <c r="B538" s="3"/>
      <c r="C538" s="3"/>
      <c r="D538" s="3"/>
      <c r="E538" s="3"/>
      <c r="F538" s="89"/>
      <c r="G538" s="3"/>
      <c r="H538" s="89"/>
      <c r="I538" s="90"/>
      <c r="K538" s="31"/>
    </row>
    <row r="539" spans="2:11" s="13" customFormat="1" x14ac:dyDescent="0.2">
      <c r="B539" s="3"/>
      <c r="C539" s="3"/>
      <c r="D539" s="3"/>
      <c r="E539" s="3"/>
      <c r="F539" s="89"/>
      <c r="G539" s="3"/>
      <c r="H539" s="89"/>
      <c r="I539" s="90"/>
      <c r="K539" s="31"/>
    </row>
    <row r="540" spans="2:11" s="13" customFormat="1" x14ac:dyDescent="0.2">
      <c r="B540" s="3"/>
      <c r="C540" s="3"/>
      <c r="D540" s="3"/>
      <c r="E540" s="3"/>
      <c r="F540" s="89"/>
      <c r="G540" s="3"/>
      <c r="H540" s="89"/>
      <c r="I540" s="90"/>
      <c r="K540" s="31"/>
    </row>
    <row r="541" spans="2:11" s="13" customFormat="1" x14ac:dyDescent="0.2">
      <c r="B541" s="3"/>
      <c r="C541" s="3"/>
      <c r="D541" s="3"/>
      <c r="E541" s="3"/>
      <c r="F541" s="89"/>
      <c r="G541" s="3"/>
      <c r="H541" s="89"/>
      <c r="I541" s="90"/>
      <c r="K541" s="31"/>
    </row>
    <row r="542" spans="2:11" s="13" customFormat="1" x14ac:dyDescent="0.2">
      <c r="B542" s="3"/>
      <c r="C542" s="3"/>
      <c r="D542" s="3"/>
      <c r="E542" s="3"/>
      <c r="F542" s="89"/>
      <c r="G542" s="3"/>
      <c r="H542" s="89"/>
      <c r="I542" s="90"/>
      <c r="K542" s="31"/>
    </row>
    <row r="543" spans="2:11" s="13" customFormat="1" x14ac:dyDescent="0.2">
      <c r="B543" s="3"/>
      <c r="C543" s="3"/>
      <c r="D543" s="3"/>
      <c r="E543" s="3"/>
      <c r="F543" s="89"/>
      <c r="G543" s="3"/>
      <c r="H543" s="89"/>
      <c r="I543" s="90"/>
      <c r="K543" s="31"/>
    </row>
    <row r="544" spans="2:11" s="13" customFormat="1" x14ac:dyDescent="0.2">
      <c r="B544" s="3"/>
      <c r="C544" s="3"/>
      <c r="D544" s="3"/>
      <c r="E544" s="3"/>
      <c r="F544" s="89"/>
      <c r="G544" s="3"/>
      <c r="H544" s="89"/>
      <c r="I544" s="90"/>
      <c r="K544" s="31"/>
    </row>
    <row r="545" spans="2:11" s="13" customFormat="1" x14ac:dyDescent="0.2">
      <c r="B545" s="3"/>
      <c r="C545" s="3"/>
      <c r="D545" s="3"/>
      <c r="E545" s="3"/>
      <c r="F545" s="89"/>
      <c r="G545" s="3"/>
      <c r="H545" s="89"/>
      <c r="I545" s="90"/>
      <c r="K545" s="31"/>
    </row>
    <row r="546" spans="2:11" s="13" customFormat="1" x14ac:dyDescent="0.2">
      <c r="B546" s="3"/>
      <c r="C546" s="3"/>
      <c r="D546" s="3"/>
      <c r="E546" s="3"/>
      <c r="F546" s="89"/>
      <c r="G546" s="3"/>
      <c r="H546" s="89"/>
      <c r="I546" s="90"/>
      <c r="K546" s="31"/>
    </row>
    <row r="547" spans="2:11" s="13" customFormat="1" x14ac:dyDescent="0.2">
      <c r="B547" s="3"/>
      <c r="C547" s="3"/>
      <c r="D547" s="3"/>
      <c r="E547" s="3"/>
      <c r="F547" s="89"/>
      <c r="G547" s="3"/>
      <c r="H547" s="89"/>
      <c r="I547" s="90"/>
      <c r="K547" s="31"/>
    </row>
    <row r="548" spans="2:11" s="13" customFormat="1" x14ac:dyDescent="0.2">
      <c r="B548" s="3"/>
      <c r="C548" s="3"/>
      <c r="D548" s="3"/>
      <c r="E548" s="3"/>
      <c r="F548" s="89"/>
      <c r="G548" s="3"/>
      <c r="H548" s="89"/>
      <c r="I548" s="90"/>
      <c r="K548" s="31"/>
    </row>
    <row r="549" spans="2:11" s="13" customFormat="1" x14ac:dyDescent="0.2">
      <c r="B549" s="3"/>
      <c r="C549" s="3"/>
      <c r="D549" s="3"/>
      <c r="E549" s="3"/>
      <c r="F549" s="89"/>
      <c r="G549" s="3"/>
      <c r="H549" s="89"/>
      <c r="I549" s="90"/>
      <c r="K549" s="31"/>
    </row>
    <row r="550" spans="2:11" s="13" customFormat="1" x14ac:dyDescent="0.2">
      <c r="B550" s="3"/>
      <c r="C550" s="3"/>
      <c r="D550" s="3"/>
      <c r="E550" s="3"/>
      <c r="F550" s="89"/>
      <c r="G550" s="3"/>
      <c r="H550" s="89"/>
      <c r="I550" s="90"/>
      <c r="K550" s="31"/>
    </row>
    <row r="551" spans="2:11" s="13" customFormat="1" x14ac:dyDescent="0.2">
      <c r="B551" s="3"/>
      <c r="C551" s="3"/>
      <c r="D551" s="3"/>
      <c r="E551" s="3"/>
      <c r="F551" s="89"/>
      <c r="G551" s="3"/>
      <c r="H551" s="89"/>
      <c r="I551" s="90"/>
      <c r="K551" s="31"/>
    </row>
    <row r="552" spans="2:11" s="13" customFormat="1" x14ac:dyDescent="0.2">
      <c r="B552" s="3"/>
      <c r="C552" s="3"/>
      <c r="D552" s="3"/>
      <c r="E552" s="3"/>
      <c r="F552" s="89"/>
      <c r="G552" s="3"/>
      <c r="H552" s="89"/>
      <c r="I552" s="90"/>
      <c r="K552" s="31"/>
    </row>
    <row r="553" spans="2:11" s="13" customFormat="1" x14ac:dyDescent="0.2">
      <c r="B553" s="3"/>
      <c r="C553" s="3"/>
      <c r="D553" s="3"/>
      <c r="E553" s="3"/>
      <c r="F553" s="89"/>
      <c r="G553" s="3"/>
      <c r="H553" s="89"/>
      <c r="I553" s="90"/>
      <c r="K553" s="31"/>
    </row>
    <row r="554" spans="2:11" s="13" customFormat="1" x14ac:dyDescent="0.2">
      <c r="B554" s="3"/>
      <c r="C554" s="3"/>
      <c r="D554" s="3"/>
      <c r="E554" s="3"/>
      <c r="F554" s="89"/>
      <c r="G554" s="3"/>
      <c r="H554" s="89"/>
      <c r="I554" s="90"/>
      <c r="K554" s="31"/>
    </row>
    <row r="555" spans="2:11" s="13" customFormat="1" x14ac:dyDescent="0.2">
      <c r="B555" s="3"/>
      <c r="C555" s="3"/>
      <c r="D555" s="3"/>
      <c r="E555" s="3"/>
      <c r="F555" s="89"/>
      <c r="G555" s="3"/>
      <c r="H555" s="89"/>
      <c r="I555" s="90"/>
      <c r="K555" s="31"/>
    </row>
    <row r="556" spans="2:11" s="13" customFormat="1" x14ac:dyDescent="0.2">
      <c r="B556" s="3"/>
      <c r="C556" s="3"/>
      <c r="D556" s="3"/>
      <c r="E556" s="3"/>
      <c r="F556" s="89"/>
      <c r="G556" s="3"/>
      <c r="H556" s="89"/>
      <c r="I556" s="90"/>
      <c r="K556" s="31"/>
    </row>
    <row r="557" spans="2:11" s="13" customFormat="1" x14ac:dyDescent="0.2">
      <c r="B557" s="3"/>
      <c r="C557" s="3"/>
      <c r="D557" s="3"/>
      <c r="E557" s="3"/>
      <c r="F557" s="89"/>
      <c r="G557" s="3"/>
      <c r="H557" s="89"/>
      <c r="I557" s="90"/>
      <c r="K557" s="31"/>
    </row>
    <row r="558" spans="2:11" s="13" customFormat="1" x14ac:dyDescent="0.2">
      <c r="B558" s="3"/>
      <c r="C558" s="3"/>
      <c r="D558" s="3"/>
      <c r="E558" s="3"/>
      <c r="F558" s="89"/>
      <c r="G558" s="3"/>
      <c r="H558" s="89"/>
      <c r="I558" s="90"/>
      <c r="K558" s="31"/>
    </row>
    <row r="559" spans="2:11" s="13" customFormat="1" x14ac:dyDescent="0.2">
      <c r="B559" s="3"/>
      <c r="C559" s="3"/>
      <c r="D559" s="3"/>
      <c r="E559" s="3"/>
      <c r="F559" s="89"/>
      <c r="G559" s="3"/>
      <c r="H559" s="89"/>
      <c r="I559" s="90"/>
      <c r="K559" s="31"/>
    </row>
    <row r="560" spans="2:11" s="13" customFormat="1" x14ac:dyDescent="0.2">
      <c r="B560" s="3"/>
      <c r="C560" s="3"/>
      <c r="D560" s="3"/>
      <c r="E560" s="3"/>
      <c r="F560" s="89"/>
      <c r="G560" s="3"/>
      <c r="H560" s="89"/>
      <c r="I560" s="90"/>
      <c r="K560" s="31"/>
    </row>
    <row r="561" spans="2:11" s="13" customFormat="1" x14ac:dyDescent="0.2">
      <c r="B561" s="3"/>
      <c r="C561" s="3"/>
      <c r="D561" s="3"/>
      <c r="E561" s="3"/>
      <c r="F561" s="89"/>
      <c r="G561" s="3"/>
      <c r="H561" s="89"/>
      <c r="I561" s="90"/>
      <c r="K561" s="31"/>
    </row>
    <row r="562" spans="2:11" s="13" customFormat="1" x14ac:dyDescent="0.2">
      <c r="B562" s="3"/>
      <c r="C562" s="3"/>
      <c r="D562" s="3"/>
      <c r="E562" s="3"/>
      <c r="F562" s="89"/>
      <c r="G562" s="3"/>
      <c r="H562" s="89"/>
      <c r="I562" s="90"/>
      <c r="K562" s="31"/>
    </row>
    <row r="563" spans="2:11" s="13" customFormat="1" x14ac:dyDescent="0.2">
      <c r="B563" s="3"/>
      <c r="C563" s="3"/>
      <c r="D563" s="3"/>
      <c r="E563" s="3"/>
      <c r="F563" s="89"/>
      <c r="G563" s="3"/>
      <c r="H563" s="89"/>
      <c r="I563" s="90"/>
      <c r="K563" s="31"/>
    </row>
    <row r="564" spans="2:11" s="13" customFormat="1" x14ac:dyDescent="0.2">
      <c r="B564" s="3"/>
      <c r="C564" s="3"/>
      <c r="D564" s="3"/>
      <c r="E564" s="3"/>
      <c r="F564" s="89"/>
      <c r="G564" s="3"/>
      <c r="H564" s="89"/>
      <c r="I564" s="90"/>
      <c r="K564" s="31"/>
    </row>
    <row r="565" spans="2:11" s="13" customFormat="1" x14ac:dyDescent="0.2">
      <c r="B565" s="3"/>
      <c r="C565" s="3"/>
      <c r="D565" s="3"/>
      <c r="E565" s="3"/>
      <c r="F565" s="89"/>
      <c r="G565" s="3"/>
      <c r="H565" s="89"/>
      <c r="I565" s="90"/>
      <c r="K565" s="31"/>
    </row>
    <row r="566" spans="2:11" s="13" customFormat="1" x14ac:dyDescent="0.2">
      <c r="B566" s="3"/>
      <c r="C566" s="3"/>
      <c r="D566" s="3"/>
      <c r="E566" s="3"/>
      <c r="F566" s="89"/>
      <c r="G566" s="3"/>
      <c r="H566" s="89"/>
      <c r="I566" s="90"/>
      <c r="K566" s="31"/>
    </row>
    <row r="567" spans="2:11" s="13" customFormat="1" x14ac:dyDescent="0.2">
      <c r="B567" s="3"/>
      <c r="C567" s="3"/>
      <c r="D567" s="3"/>
      <c r="E567" s="3"/>
      <c r="F567" s="89"/>
      <c r="G567" s="3"/>
      <c r="H567" s="89"/>
      <c r="I567" s="90"/>
      <c r="K567" s="31"/>
    </row>
    <row r="568" spans="2:11" s="13" customFormat="1" x14ac:dyDescent="0.2">
      <c r="B568" s="3"/>
      <c r="C568" s="3"/>
      <c r="D568" s="3"/>
      <c r="E568" s="3"/>
      <c r="F568" s="89"/>
      <c r="G568" s="3"/>
      <c r="H568" s="89"/>
      <c r="I568" s="90"/>
      <c r="K568" s="31"/>
    </row>
    <row r="569" spans="2:11" s="13" customFormat="1" x14ac:dyDescent="0.2">
      <c r="B569" s="3"/>
      <c r="C569" s="3"/>
      <c r="D569" s="3"/>
      <c r="E569" s="3"/>
      <c r="F569" s="89"/>
      <c r="G569" s="3"/>
      <c r="H569" s="89"/>
      <c r="I569" s="90"/>
      <c r="K569" s="31"/>
    </row>
    <row r="570" spans="2:11" s="13" customFormat="1" x14ac:dyDescent="0.2">
      <c r="B570" s="3"/>
      <c r="C570" s="3"/>
      <c r="D570" s="3"/>
      <c r="E570" s="3"/>
      <c r="F570" s="89"/>
      <c r="G570" s="3"/>
      <c r="H570" s="89"/>
      <c r="I570" s="90"/>
      <c r="K570" s="31"/>
    </row>
    <row r="571" spans="2:11" s="13" customFormat="1" x14ac:dyDescent="0.2">
      <c r="B571" s="3"/>
      <c r="C571" s="3"/>
      <c r="D571" s="3"/>
      <c r="E571" s="3"/>
      <c r="F571" s="89"/>
      <c r="G571" s="3"/>
      <c r="H571" s="89"/>
      <c r="I571" s="90"/>
      <c r="K571" s="31"/>
    </row>
    <row r="572" spans="2:11" s="13" customFormat="1" x14ac:dyDescent="0.2">
      <c r="B572" s="3"/>
      <c r="C572" s="3"/>
      <c r="D572" s="3"/>
      <c r="E572" s="3"/>
      <c r="F572" s="89"/>
      <c r="G572" s="3"/>
      <c r="H572" s="89"/>
      <c r="I572" s="90"/>
      <c r="K572" s="31"/>
    </row>
    <row r="573" spans="2:11" s="13" customFormat="1" x14ac:dyDescent="0.2">
      <c r="B573" s="3"/>
      <c r="C573" s="3"/>
      <c r="D573" s="3"/>
      <c r="E573" s="3"/>
      <c r="F573" s="89"/>
      <c r="G573" s="3"/>
      <c r="H573" s="89"/>
      <c r="I573" s="90"/>
      <c r="K573" s="31"/>
    </row>
    <row r="574" spans="2:11" s="13" customFormat="1" x14ac:dyDescent="0.2">
      <c r="B574" s="3"/>
      <c r="C574" s="3"/>
      <c r="D574" s="3"/>
      <c r="E574" s="3"/>
      <c r="F574" s="89"/>
      <c r="G574" s="3"/>
      <c r="H574" s="89"/>
      <c r="I574" s="90"/>
      <c r="K574" s="31"/>
    </row>
    <row r="575" spans="2:11" s="13" customFormat="1" x14ac:dyDescent="0.2">
      <c r="B575" s="3"/>
      <c r="C575" s="3"/>
      <c r="D575" s="3"/>
      <c r="E575" s="3"/>
      <c r="F575" s="89"/>
      <c r="G575" s="3"/>
      <c r="H575" s="89"/>
      <c r="I575" s="90"/>
      <c r="K575" s="31"/>
    </row>
    <row r="576" spans="2:11" s="13" customFormat="1" x14ac:dyDescent="0.2">
      <c r="B576" s="3"/>
      <c r="C576" s="3"/>
      <c r="D576" s="3"/>
      <c r="E576" s="3"/>
      <c r="F576" s="89"/>
      <c r="G576" s="3"/>
      <c r="H576" s="89"/>
      <c r="I576" s="90"/>
      <c r="K576" s="31"/>
    </row>
    <row r="577" spans="2:11" s="13" customFormat="1" x14ac:dyDescent="0.2">
      <c r="B577" s="3"/>
      <c r="C577" s="3"/>
      <c r="D577" s="3"/>
      <c r="E577" s="3"/>
      <c r="F577" s="89"/>
      <c r="G577" s="3"/>
      <c r="H577" s="89"/>
      <c r="I577" s="90"/>
      <c r="K577" s="31"/>
    </row>
    <row r="578" spans="2:11" s="13" customFormat="1" x14ac:dyDescent="0.2">
      <c r="B578" s="3"/>
      <c r="C578" s="3"/>
      <c r="D578" s="3"/>
      <c r="E578" s="3"/>
      <c r="F578" s="89"/>
      <c r="G578" s="3"/>
      <c r="H578" s="89"/>
      <c r="I578" s="90"/>
      <c r="K578" s="31"/>
    </row>
    <row r="579" spans="2:11" s="13" customFormat="1" x14ac:dyDescent="0.2">
      <c r="B579" s="3"/>
      <c r="C579" s="3"/>
      <c r="D579" s="3"/>
      <c r="E579" s="3"/>
      <c r="F579" s="89"/>
      <c r="G579" s="3"/>
      <c r="H579" s="89"/>
      <c r="I579" s="90"/>
      <c r="K579" s="31"/>
    </row>
    <row r="580" spans="2:11" s="13" customFormat="1" x14ac:dyDescent="0.2">
      <c r="B580" s="3"/>
      <c r="C580" s="3"/>
      <c r="D580" s="3"/>
      <c r="E580" s="3"/>
      <c r="F580" s="89"/>
      <c r="G580" s="3"/>
      <c r="H580" s="89"/>
      <c r="I580" s="90"/>
      <c r="K580" s="31"/>
    </row>
    <row r="581" spans="2:11" s="13" customFormat="1" x14ac:dyDescent="0.2">
      <c r="B581" s="3"/>
      <c r="C581" s="3"/>
      <c r="D581" s="3"/>
      <c r="E581" s="3"/>
      <c r="F581" s="89"/>
      <c r="G581" s="3"/>
      <c r="H581" s="89"/>
      <c r="I581" s="90"/>
      <c r="K581" s="31"/>
    </row>
    <row r="582" spans="2:11" s="13" customFormat="1" x14ac:dyDescent="0.2">
      <c r="B582" s="3"/>
      <c r="C582" s="3"/>
      <c r="D582" s="3"/>
      <c r="E582" s="3"/>
      <c r="F582" s="89"/>
      <c r="G582" s="3"/>
      <c r="H582" s="89"/>
      <c r="I582" s="90"/>
      <c r="K582" s="31"/>
    </row>
    <row r="583" spans="2:11" s="13" customFormat="1" x14ac:dyDescent="0.2">
      <c r="B583" s="3"/>
      <c r="C583" s="3"/>
      <c r="D583" s="3"/>
      <c r="E583" s="3"/>
      <c r="F583" s="89"/>
      <c r="G583" s="3"/>
      <c r="H583" s="89"/>
      <c r="I583" s="90"/>
      <c r="K583" s="31"/>
    </row>
    <row r="584" spans="2:11" s="13" customFormat="1" x14ac:dyDescent="0.2">
      <c r="B584" s="3"/>
      <c r="C584" s="3"/>
      <c r="D584" s="3"/>
      <c r="E584" s="3"/>
      <c r="F584" s="89"/>
      <c r="G584" s="3"/>
      <c r="H584" s="89"/>
      <c r="I584" s="90"/>
      <c r="K584" s="31"/>
    </row>
    <row r="585" spans="2:11" s="13" customFormat="1" x14ac:dyDescent="0.2">
      <c r="B585" s="3"/>
      <c r="C585" s="3"/>
      <c r="D585" s="3"/>
      <c r="E585" s="3"/>
      <c r="F585" s="89"/>
      <c r="G585" s="3"/>
      <c r="H585" s="89"/>
      <c r="I585" s="90"/>
      <c r="K585" s="31"/>
    </row>
    <row r="586" spans="2:11" s="13" customFormat="1" x14ac:dyDescent="0.2">
      <c r="B586" s="3"/>
      <c r="C586" s="3"/>
      <c r="D586" s="3"/>
      <c r="E586" s="3"/>
      <c r="F586" s="89"/>
      <c r="G586" s="3"/>
      <c r="H586" s="89"/>
      <c r="I586" s="90"/>
      <c r="K586" s="31"/>
    </row>
    <row r="587" spans="2:11" s="13" customFormat="1" x14ac:dyDescent="0.2">
      <c r="B587" s="3"/>
      <c r="C587" s="3"/>
      <c r="D587" s="3"/>
      <c r="E587" s="3"/>
      <c r="F587" s="89"/>
      <c r="G587" s="3"/>
      <c r="H587" s="89"/>
      <c r="I587" s="90"/>
      <c r="K587" s="31"/>
    </row>
    <row r="588" spans="2:11" s="13" customFormat="1" x14ac:dyDescent="0.2">
      <c r="B588" s="3"/>
      <c r="C588" s="3"/>
      <c r="D588" s="3"/>
      <c r="E588" s="3"/>
      <c r="F588" s="89"/>
      <c r="G588" s="3"/>
      <c r="H588" s="89"/>
      <c r="I588" s="90"/>
      <c r="K588" s="31"/>
    </row>
    <row r="589" spans="2:11" s="13" customFormat="1" x14ac:dyDescent="0.2">
      <c r="B589" s="3"/>
      <c r="C589" s="3"/>
      <c r="D589" s="3"/>
      <c r="E589" s="3"/>
      <c r="F589" s="89"/>
      <c r="G589" s="3"/>
      <c r="H589" s="89"/>
      <c r="I589" s="90"/>
      <c r="K589" s="31"/>
    </row>
    <row r="590" spans="2:11" s="13" customFormat="1" x14ac:dyDescent="0.2">
      <c r="B590" s="3"/>
      <c r="C590" s="3"/>
      <c r="D590" s="3"/>
      <c r="E590" s="3"/>
      <c r="F590" s="89"/>
      <c r="G590" s="3"/>
      <c r="H590" s="89"/>
      <c r="I590" s="90"/>
      <c r="K590" s="31"/>
    </row>
    <row r="591" spans="2:11" s="13" customFormat="1" x14ac:dyDescent="0.2">
      <c r="B591" s="3"/>
      <c r="C591" s="3"/>
      <c r="D591" s="3"/>
      <c r="E591" s="3"/>
      <c r="F591" s="89"/>
      <c r="G591" s="3"/>
      <c r="H591" s="89"/>
      <c r="I591" s="90"/>
      <c r="K591" s="31"/>
    </row>
    <row r="592" spans="2:11" s="13" customFormat="1" x14ac:dyDescent="0.2">
      <c r="B592" s="3"/>
      <c r="C592" s="3"/>
      <c r="D592" s="3"/>
      <c r="E592" s="3"/>
      <c r="F592" s="89"/>
      <c r="G592" s="3"/>
      <c r="H592" s="89"/>
      <c r="I592" s="90"/>
      <c r="K592" s="31"/>
    </row>
    <row r="593" spans="2:11" s="13" customFormat="1" x14ac:dyDescent="0.2">
      <c r="B593" s="3"/>
      <c r="C593" s="3"/>
      <c r="D593" s="3"/>
      <c r="E593" s="3"/>
      <c r="F593" s="89"/>
      <c r="G593" s="3"/>
      <c r="H593" s="89"/>
      <c r="I593" s="90"/>
      <c r="K593" s="31"/>
    </row>
    <row r="594" spans="2:11" s="13" customFormat="1" x14ac:dyDescent="0.2">
      <c r="B594" s="3"/>
      <c r="C594" s="3"/>
      <c r="D594" s="3"/>
      <c r="E594" s="3"/>
      <c r="F594" s="89"/>
      <c r="G594" s="3"/>
      <c r="H594" s="89"/>
      <c r="I594" s="90"/>
      <c r="K594" s="31"/>
    </row>
    <row r="595" spans="2:11" s="13" customFormat="1" x14ac:dyDescent="0.2">
      <c r="B595" s="3"/>
      <c r="C595" s="3"/>
      <c r="D595" s="3"/>
      <c r="E595" s="3"/>
      <c r="F595" s="89"/>
      <c r="G595" s="3"/>
      <c r="H595" s="89"/>
      <c r="I595" s="90"/>
      <c r="K595" s="31"/>
    </row>
    <row r="596" spans="2:11" s="13" customFormat="1" x14ac:dyDescent="0.2">
      <c r="B596" s="3"/>
      <c r="C596" s="3"/>
      <c r="D596" s="3"/>
      <c r="E596" s="3"/>
      <c r="F596" s="89"/>
      <c r="G596" s="3"/>
      <c r="H596" s="89"/>
      <c r="I596" s="90"/>
      <c r="K596" s="31"/>
    </row>
    <row r="597" spans="2:11" s="13" customFormat="1" x14ac:dyDescent="0.2">
      <c r="B597" s="3"/>
      <c r="C597" s="3"/>
      <c r="D597" s="3"/>
      <c r="E597" s="3"/>
      <c r="F597" s="89"/>
      <c r="G597" s="3"/>
      <c r="H597" s="89"/>
      <c r="I597" s="90"/>
      <c r="K597" s="31"/>
    </row>
    <row r="598" spans="2:11" s="13" customFormat="1" x14ac:dyDescent="0.2">
      <c r="B598" s="3"/>
      <c r="C598" s="3"/>
      <c r="D598" s="3"/>
      <c r="E598" s="3"/>
      <c r="F598" s="89"/>
      <c r="G598" s="3"/>
      <c r="H598" s="89"/>
      <c r="I598" s="90"/>
      <c r="K598" s="31"/>
    </row>
    <row r="599" spans="2:11" s="13" customFormat="1" x14ac:dyDescent="0.2">
      <c r="B599" s="3"/>
      <c r="C599" s="3"/>
      <c r="D599" s="3"/>
      <c r="E599" s="3"/>
      <c r="F599" s="89"/>
      <c r="G599" s="3"/>
      <c r="H599" s="89"/>
      <c r="I599" s="90"/>
      <c r="K599" s="31"/>
    </row>
    <row r="600" spans="2:11" s="13" customFormat="1" x14ac:dyDescent="0.2">
      <c r="B600" s="3"/>
      <c r="C600" s="3"/>
      <c r="D600" s="3"/>
      <c r="E600" s="3"/>
      <c r="F600" s="89"/>
      <c r="G600" s="3"/>
      <c r="H600" s="89"/>
      <c r="I600" s="90"/>
      <c r="K600" s="31"/>
    </row>
    <row r="601" spans="2:11" s="13" customFormat="1" x14ac:dyDescent="0.2">
      <c r="B601" s="3"/>
      <c r="C601" s="3"/>
      <c r="D601" s="3"/>
      <c r="E601" s="3"/>
      <c r="F601" s="89"/>
      <c r="G601" s="3"/>
      <c r="H601" s="89"/>
      <c r="I601" s="90"/>
      <c r="K601" s="31"/>
    </row>
    <row r="602" spans="2:11" s="13" customFormat="1" x14ac:dyDescent="0.2">
      <c r="B602" s="3"/>
      <c r="C602" s="3"/>
      <c r="D602" s="3"/>
      <c r="E602" s="3"/>
      <c r="F602" s="89"/>
      <c r="G602" s="3"/>
      <c r="H602" s="89"/>
      <c r="I602" s="90"/>
      <c r="K602" s="31"/>
    </row>
    <row r="603" spans="2:11" s="13" customFormat="1" x14ac:dyDescent="0.2">
      <c r="B603" s="3"/>
      <c r="C603" s="3"/>
      <c r="D603" s="3"/>
      <c r="E603" s="3"/>
      <c r="F603" s="89"/>
      <c r="G603" s="3"/>
      <c r="H603" s="89"/>
      <c r="I603" s="90"/>
      <c r="K603" s="31"/>
    </row>
    <row r="604" spans="2:11" s="13" customFormat="1" x14ac:dyDescent="0.2">
      <c r="B604" s="3"/>
      <c r="C604" s="3"/>
      <c r="D604" s="3"/>
      <c r="E604" s="3"/>
      <c r="F604" s="89"/>
      <c r="G604" s="3"/>
      <c r="H604" s="89"/>
      <c r="I604" s="90"/>
      <c r="K604" s="31"/>
    </row>
    <row r="605" spans="2:11" s="13" customFormat="1" x14ac:dyDescent="0.2">
      <c r="B605" s="3"/>
      <c r="C605" s="3"/>
      <c r="D605" s="3"/>
      <c r="E605" s="3"/>
      <c r="F605" s="89"/>
      <c r="G605" s="3"/>
      <c r="H605" s="89"/>
      <c r="I605" s="90"/>
      <c r="K605" s="31"/>
    </row>
    <row r="606" spans="2:11" s="13" customFormat="1" x14ac:dyDescent="0.2">
      <c r="B606" s="3"/>
      <c r="C606" s="3"/>
      <c r="D606" s="3"/>
      <c r="E606" s="3"/>
      <c r="F606" s="89"/>
      <c r="G606" s="3"/>
      <c r="H606" s="89"/>
      <c r="I606" s="90"/>
      <c r="K606" s="31"/>
    </row>
    <row r="607" spans="2:11" s="13" customFormat="1" x14ac:dyDescent="0.2">
      <c r="B607" s="3"/>
      <c r="C607" s="3"/>
      <c r="D607" s="3"/>
      <c r="E607" s="3"/>
      <c r="F607" s="89"/>
      <c r="G607" s="3"/>
      <c r="H607" s="89"/>
      <c r="I607" s="90"/>
      <c r="K607" s="31"/>
    </row>
    <row r="608" spans="2:11" s="13" customFormat="1" x14ac:dyDescent="0.2">
      <c r="B608" s="3"/>
      <c r="C608" s="3"/>
      <c r="D608" s="3"/>
      <c r="E608" s="3"/>
      <c r="F608" s="89"/>
      <c r="G608" s="3"/>
      <c r="H608" s="89"/>
      <c r="I608" s="90"/>
      <c r="K608" s="31"/>
    </row>
    <row r="609" spans="2:11" s="13" customFormat="1" x14ac:dyDescent="0.2">
      <c r="B609" s="3"/>
      <c r="C609" s="3"/>
      <c r="D609" s="3"/>
      <c r="E609" s="3"/>
      <c r="F609" s="89"/>
      <c r="G609" s="3"/>
      <c r="H609" s="89"/>
      <c r="I609" s="90"/>
      <c r="K609" s="31"/>
    </row>
    <row r="610" spans="2:11" s="13" customFormat="1" x14ac:dyDescent="0.2">
      <c r="B610" s="3"/>
      <c r="C610" s="3"/>
      <c r="D610" s="3"/>
      <c r="E610" s="3"/>
      <c r="F610" s="89"/>
      <c r="G610" s="3"/>
      <c r="H610" s="89"/>
      <c r="I610" s="90"/>
      <c r="K610" s="31"/>
    </row>
    <row r="611" spans="2:11" s="13" customFormat="1" x14ac:dyDescent="0.2">
      <c r="B611" s="3"/>
      <c r="C611" s="3"/>
      <c r="D611" s="3"/>
      <c r="E611" s="3"/>
      <c r="F611" s="89"/>
      <c r="G611" s="3"/>
      <c r="H611" s="89"/>
      <c r="I611" s="90"/>
      <c r="K611" s="31"/>
    </row>
    <row r="612" spans="2:11" s="13" customFormat="1" x14ac:dyDescent="0.2">
      <c r="B612" s="3"/>
      <c r="C612" s="3"/>
      <c r="D612" s="3"/>
      <c r="E612" s="3"/>
      <c r="F612" s="89"/>
      <c r="G612" s="3"/>
      <c r="H612" s="89"/>
      <c r="I612" s="90"/>
      <c r="K612" s="31"/>
    </row>
    <row r="613" spans="2:11" s="13" customFormat="1" x14ac:dyDescent="0.2">
      <c r="B613" s="3"/>
      <c r="C613" s="3"/>
      <c r="D613" s="3"/>
      <c r="E613" s="3"/>
      <c r="F613" s="89"/>
      <c r="G613" s="3"/>
      <c r="H613" s="89"/>
      <c r="I613" s="90"/>
      <c r="K613" s="31"/>
    </row>
    <row r="614" spans="2:11" s="13" customFormat="1" x14ac:dyDescent="0.2">
      <c r="B614" s="3"/>
      <c r="C614" s="3"/>
      <c r="D614" s="3"/>
      <c r="E614" s="3"/>
      <c r="F614" s="89"/>
      <c r="G614" s="3"/>
      <c r="H614" s="89"/>
      <c r="I614" s="90"/>
      <c r="K614" s="31"/>
    </row>
    <row r="615" spans="2:11" s="13" customFormat="1" x14ac:dyDescent="0.2">
      <c r="B615" s="3"/>
      <c r="C615" s="3"/>
      <c r="D615" s="3"/>
      <c r="E615" s="3"/>
      <c r="F615" s="89"/>
      <c r="G615" s="3"/>
      <c r="H615" s="89"/>
      <c r="I615" s="90"/>
      <c r="K615" s="31"/>
    </row>
    <row r="616" spans="2:11" s="13" customFormat="1" x14ac:dyDescent="0.2">
      <c r="B616" s="3"/>
      <c r="C616" s="3"/>
      <c r="D616" s="3"/>
      <c r="E616" s="3"/>
      <c r="F616" s="89"/>
      <c r="G616" s="3"/>
      <c r="H616" s="89"/>
      <c r="I616" s="90"/>
      <c r="K616" s="31"/>
    </row>
    <row r="617" spans="2:11" s="13" customFormat="1" x14ac:dyDescent="0.2">
      <c r="B617" s="3"/>
      <c r="C617" s="3"/>
      <c r="D617" s="3"/>
      <c r="E617" s="3"/>
      <c r="F617" s="89"/>
      <c r="G617" s="3"/>
      <c r="H617" s="89"/>
      <c r="I617" s="90"/>
      <c r="K617" s="31"/>
    </row>
    <row r="618" spans="2:11" s="13" customFormat="1" x14ac:dyDescent="0.2">
      <c r="B618" s="3"/>
      <c r="C618" s="3"/>
      <c r="D618" s="3"/>
      <c r="E618" s="3"/>
      <c r="F618" s="89"/>
      <c r="G618" s="3"/>
      <c r="H618" s="89"/>
      <c r="I618" s="90"/>
      <c r="K618" s="31"/>
    </row>
    <row r="619" spans="2:11" s="13" customFormat="1" x14ac:dyDescent="0.2">
      <c r="B619" s="3"/>
      <c r="C619" s="3"/>
      <c r="D619" s="3"/>
      <c r="E619" s="3"/>
      <c r="F619" s="89"/>
      <c r="G619" s="3"/>
      <c r="H619" s="89"/>
      <c r="I619" s="90"/>
      <c r="K619" s="31"/>
    </row>
    <row r="620" spans="2:11" s="13" customFormat="1" x14ac:dyDescent="0.2">
      <c r="B620" s="3"/>
      <c r="C620" s="3"/>
      <c r="D620" s="3"/>
      <c r="E620" s="3"/>
      <c r="F620" s="89"/>
      <c r="G620" s="3"/>
      <c r="H620" s="89"/>
      <c r="I620" s="90"/>
      <c r="K620" s="31"/>
    </row>
    <row r="621" spans="2:11" s="13" customFormat="1" x14ac:dyDescent="0.2">
      <c r="B621" s="3"/>
      <c r="C621" s="3"/>
      <c r="D621" s="3"/>
      <c r="E621" s="3"/>
      <c r="F621" s="89"/>
      <c r="G621" s="3"/>
      <c r="H621" s="89"/>
      <c r="I621" s="90"/>
      <c r="K621" s="31"/>
    </row>
    <row r="622" spans="2:11" s="13" customFormat="1" x14ac:dyDescent="0.2">
      <c r="B622" s="3"/>
      <c r="C622" s="3"/>
      <c r="D622" s="3"/>
      <c r="E622" s="3"/>
      <c r="F622" s="89"/>
      <c r="G622" s="3"/>
      <c r="H622" s="89"/>
      <c r="I622" s="90"/>
      <c r="K622" s="31"/>
    </row>
    <row r="623" spans="2:11" s="13" customFormat="1" x14ac:dyDescent="0.2">
      <c r="B623" s="3"/>
      <c r="C623" s="3"/>
      <c r="D623" s="3"/>
      <c r="E623" s="3"/>
      <c r="F623" s="89"/>
      <c r="G623" s="3"/>
      <c r="H623" s="89"/>
      <c r="I623" s="90"/>
      <c r="K623" s="31"/>
    </row>
    <row r="624" spans="2:11" s="13" customFormat="1" x14ac:dyDescent="0.2">
      <c r="B624" s="3"/>
      <c r="C624" s="3"/>
      <c r="D624" s="3"/>
      <c r="E624" s="3"/>
      <c r="F624" s="89"/>
      <c r="G624" s="3"/>
      <c r="H624" s="89"/>
      <c r="I624" s="90"/>
      <c r="K624" s="31"/>
    </row>
    <row r="625" spans="2:11" s="13" customFormat="1" x14ac:dyDescent="0.2">
      <c r="B625" s="3"/>
      <c r="C625" s="3"/>
      <c r="D625" s="3"/>
      <c r="E625" s="3"/>
      <c r="F625" s="89"/>
      <c r="G625" s="3"/>
      <c r="H625" s="89"/>
      <c r="I625" s="90"/>
      <c r="K625" s="31"/>
    </row>
    <row r="626" spans="2:11" s="13" customFormat="1" x14ac:dyDescent="0.2">
      <c r="B626" s="3"/>
      <c r="C626" s="3"/>
      <c r="D626" s="3"/>
      <c r="E626" s="3"/>
      <c r="F626" s="89"/>
      <c r="G626" s="3"/>
      <c r="H626" s="89"/>
      <c r="I626" s="90"/>
      <c r="K626" s="31"/>
    </row>
    <row r="627" spans="2:11" s="13" customFormat="1" x14ac:dyDescent="0.2">
      <c r="B627" s="3"/>
      <c r="C627" s="3"/>
      <c r="D627" s="3"/>
      <c r="E627" s="3"/>
      <c r="F627" s="89"/>
      <c r="G627" s="3"/>
      <c r="H627" s="89"/>
      <c r="I627" s="90"/>
      <c r="K627" s="31"/>
    </row>
    <row r="628" spans="2:11" s="13" customFormat="1" x14ac:dyDescent="0.2">
      <c r="B628" s="3"/>
      <c r="C628" s="3"/>
      <c r="D628" s="3"/>
      <c r="E628" s="3"/>
      <c r="F628" s="89"/>
      <c r="G628" s="3"/>
      <c r="H628" s="89"/>
      <c r="I628" s="90"/>
      <c r="K628" s="31"/>
    </row>
    <row r="629" spans="2:11" s="13" customFormat="1" x14ac:dyDescent="0.2">
      <c r="B629" s="3"/>
      <c r="C629" s="3"/>
      <c r="D629" s="3"/>
      <c r="E629" s="3"/>
      <c r="F629" s="89"/>
      <c r="G629" s="3"/>
      <c r="H629" s="89"/>
      <c r="I629" s="90"/>
      <c r="K629" s="31"/>
    </row>
    <row r="630" spans="2:11" s="13" customFormat="1" x14ac:dyDescent="0.2">
      <c r="B630" s="3"/>
      <c r="C630" s="3"/>
      <c r="D630" s="3"/>
      <c r="E630" s="3"/>
      <c r="F630" s="89"/>
      <c r="G630" s="3"/>
      <c r="H630" s="89"/>
      <c r="I630" s="90"/>
      <c r="K630" s="31"/>
    </row>
    <row r="631" spans="2:11" s="13" customFormat="1" x14ac:dyDescent="0.2">
      <c r="B631" s="3"/>
      <c r="C631" s="3"/>
      <c r="D631" s="3"/>
      <c r="E631" s="3"/>
      <c r="F631" s="89"/>
      <c r="G631" s="3"/>
      <c r="H631" s="89"/>
      <c r="I631" s="90"/>
      <c r="K631" s="31"/>
    </row>
    <row r="632" spans="2:11" s="13" customFormat="1" x14ac:dyDescent="0.2">
      <c r="B632" s="3"/>
      <c r="C632" s="3"/>
      <c r="D632" s="3"/>
      <c r="E632" s="3"/>
      <c r="F632" s="89"/>
      <c r="G632" s="3"/>
      <c r="H632" s="89"/>
      <c r="I632" s="90"/>
      <c r="K632" s="31"/>
    </row>
    <row r="633" spans="2:11" s="13" customFormat="1" x14ac:dyDescent="0.2">
      <c r="B633" s="3"/>
      <c r="C633" s="3"/>
      <c r="D633" s="3"/>
      <c r="E633" s="3"/>
      <c r="F633" s="89"/>
      <c r="G633" s="3"/>
      <c r="H633" s="89"/>
      <c r="I633" s="90"/>
      <c r="K633" s="31"/>
    </row>
    <row r="634" spans="2:11" s="13" customFormat="1" x14ac:dyDescent="0.2">
      <c r="B634" s="3"/>
      <c r="C634" s="3"/>
      <c r="D634" s="3"/>
      <c r="E634" s="3"/>
      <c r="F634" s="89"/>
      <c r="G634" s="3"/>
      <c r="H634" s="89"/>
      <c r="I634" s="90"/>
      <c r="K634" s="31"/>
    </row>
    <row r="635" spans="2:11" s="13" customFormat="1" x14ac:dyDescent="0.2">
      <c r="B635" s="3"/>
      <c r="C635" s="3"/>
      <c r="D635" s="3"/>
      <c r="E635" s="3"/>
      <c r="F635" s="89"/>
      <c r="G635" s="3"/>
      <c r="H635" s="89"/>
      <c r="I635" s="90"/>
      <c r="K635" s="31"/>
    </row>
  </sheetData>
  <mergeCells count="68">
    <mergeCell ref="E52:F54"/>
    <mergeCell ref="G52:H52"/>
    <mergeCell ref="G53:H53"/>
    <mergeCell ref="G54:H54"/>
    <mergeCell ref="E55:F57"/>
    <mergeCell ref="G55:H55"/>
    <mergeCell ref="G56:H56"/>
    <mergeCell ref="G57:H57"/>
    <mergeCell ref="E48:F50"/>
    <mergeCell ref="G48:H48"/>
    <mergeCell ref="G49:H49"/>
    <mergeCell ref="G50:H50"/>
    <mergeCell ref="E51:F51"/>
    <mergeCell ref="G51:H51"/>
    <mergeCell ref="E43:F44"/>
    <mergeCell ref="G43:H43"/>
    <mergeCell ref="G44:H44"/>
    <mergeCell ref="E45:F47"/>
    <mergeCell ref="G45:H45"/>
    <mergeCell ref="G46:H46"/>
    <mergeCell ref="G47:H47"/>
    <mergeCell ref="E39:F39"/>
    <mergeCell ref="G39:H39"/>
    <mergeCell ref="E40:F42"/>
    <mergeCell ref="G40:H40"/>
    <mergeCell ref="G41:H41"/>
    <mergeCell ref="G42:H42"/>
    <mergeCell ref="B52:B54"/>
    <mergeCell ref="C52:C54"/>
    <mergeCell ref="D52:D54"/>
    <mergeCell ref="B55:B57"/>
    <mergeCell ref="C55:C57"/>
    <mergeCell ref="D55:D57"/>
    <mergeCell ref="B45:B47"/>
    <mergeCell ref="C45:C47"/>
    <mergeCell ref="D45:D47"/>
    <mergeCell ref="B48:B50"/>
    <mergeCell ref="C48:C50"/>
    <mergeCell ref="D48:D50"/>
    <mergeCell ref="B40:B42"/>
    <mergeCell ref="C40:C42"/>
    <mergeCell ref="D40:D42"/>
    <mergeCell ref="B43:B44"/>
    <mergeCell ref="C43:C44"/>
    <mergeCell ref="D43:D44"/>
    <mergeCell ref="B26:B31"/>
    <mergeCell ref="C26:C31"/>
    <mergeCell ref="D26:D31"/>
    <mergeCell ref="E26:E31"/>
    <mergeCell ref="B32:B37"/>
    <mergeCell ref="C32:C37"/>
    <mergeCell ref="D32:D37"/>
    <mergeCell ref="E32:E37"/>
    <mergeCell ref="B20:B25"/>
    <mergeCell ref="C20:C25"/>
    <mergeCell ref="D20:D25"/>
    <mergeCell ref="E20:E25"/>
    <mergeCell ref="B2:J2"/>
    <mergeCell ref="B4:J4"/>
    <mergeCell ref="B6:H8"/>
    <mergeCell ref="I6:J6"/>
    <mergeCell ref="I7:J8"/>
    <mergeCell ref="C10:J10"/>
    <mergeCell ref="C11:J11"/>
    <mergeCell ref="B14:B19"/>
    <mergeCell ref="C14:C19"/>
    <mergeCell ref="D14:D19"/>
    <mergeCell ref="E14:E19"/>
  </mergeCells>
  <conditionalFormatting sqref="I1 I58:I1048576">
    <cfRule type="cellIs" dxfId="277" priority="18" operator="equal">
      <formula>1</formula>
    </cfRule>
  </conditionalFormatting>
  <conditionalFormatting sqref="I7">
    <cfRule type="cellIs" dxfId="276" priority="17" operator="equal">
      <formula>1</formula>
    </cfRule>
  </conditionalFormatting>
  <conditionalFormatting sqref="I40:I57">
    <cfRule type="expression" dxfId="123" priority="9" stopIfTrue="1">
      <formula>TRIM(UPPER(I40))="N/A"</formula>
    </cfRule>
    <cfRule type="expression" dxfId="122" priority="10">
      <formula>I40&gt;=0.9</formula>
    </cfRule>
    <cfRule type="expression" dxfId="121" priority="11">
      <formula>AND(I40&gt;=0.8, I40&lt;0.9)</formula>
    </cfRule>
    <cfRule type="expression" dxfId="120" priority="12">
      <formula>I40&lt;0.8</formula>
    </cfRule>
  </conditionalFormatting>
  <conditionalFormatting sqref="I14:I37">
    <cfRule type="expression" dxfId="115" priority="1" stopIfTrue="1">
      <formula>TRIM(UPPER(I14))="N/A"</formula>
    </cfRule>
    <cfRule type="expression" dxfId="114" priority="2">
      <formula>I14&gt;=0.9</formula>
    </cfRule>
    <cfRule type="expression" dxfId="113" priority="3">
      <formula>AND(I14&gt;=0.8, I14&lt;0.9)</formula>
    </cfRule>
    <cfRule type="expression" dxfId="112" priority="4">
      <formula>I14&lt;0.8</formula>
    </cfRule>
  </conditionalFormatting>
  <printOptions horizontalCentered="1"/>
  <pageMargins left="0.51181102362204722" right="0.51181102362204722" top="0.55118110236220474" bottom="0.55118110236220474" header="0.31496062992125984" footer="0.31496062992125984"/>
  <pageSetup scale="4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E52490A-CBD5-B34B-839E-9BDEA290AC48}">
          <x14:formula1>
            <xm:f>'Listas desplegables'!$C$4:$C$15</xm:f>
          </x14:formula1>
          <xm:sqref>I40:I57 I14:I37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5E4E1-BD79-1942-9875-B4CBD2AA4E19}">
  <sheetPr>
    <tabColor rgb="FF0993A5"/>
  </sheetPr>
  <dimension ref="A1:M233"/>
  <sheetViews>
    <sheetView zoomScale="76" zoomScaleNormal="76" workbookViewId="0">
      <selection activeCell="I16" sqref="I16"/>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94" t="s">
        <v>1345</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AVERAGEIF(I14:I42,"&lt;&gt;N/A")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98" customHeight="1" x14ac:dyDescent="0.2">
      <c r="B10" s="40" t="s">
        <v>13</v>
      </c>
      <c r="C10" s="147" t="s">
        <v>2330</v>
      </c>
      <c r="D10" s="148"/>
      <c r="E10" s="148"/>
      <c r="F10" s="148"/>
      <c r="G10" s="148"/>
      <c r="H10" s="148"/>
      <c r="I10" s="148"/>
      <c r="J10" s="149"/>
    </row>
    <row r="11" spans="2:12" ht="73" customHeight="1" x14ac:dyDescent="0.2">
      <c r="B11" s="39" t="s">
        <v>14</v>
      </c>
      <c r="C11" s="150" t="s">
        <v>1346</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54" customHeight="1" x14ac:dyDescent="0.2">
      <c r="B14" s="151" t="s">
        <v>92</v>
      </c>
      <c r="C14" s="151" t="s">
        <v>19</v>
      </c>
      <c r="D14" s="153" t="s">
        <v>1347</v>
      </c>
      <c r="E14" s="177" t="s">
        <v>1348</v>
      </c>
      <c r="F14" s="78" t="s">
        <v>1349</v>
      </c>
      <c r="G14" s="12" t="s">
        <v>602</v>
      </c>
      <c r="H14" s="34" t="s">
        <v>1350</v>
      </c>
      <c r="I14" s="28" t="s">
        <v>10</v>
      </c>
      <c r="J14" s="11"/>
      <c r="K14" s="33"/>
      <c r="L14" s="29"/>
    </row>
    <row r="15" spans="2:12" ht="54" customHeight="1" x14ac:dyDescent="0.2">
      <c r="B15" s="152"/>
      <c r="C15" s="152"/>
      <c r="D15" s="154"/>
      <c r="E15" s="178"/>
      <c r="F15" s="78" t="s">
        <v>1351</v>
      </c>
      <c r="G15" s="12" t="s">
        <v>602</v>
      </c>
      <c r="H15" s="34" t="s">
        <v>1352</v>
      </c>
      <c r="I15" s="28" t="s">
        <v>10</v>
      </c>
      <c r="J15" s="11"/>
      <c r="K15" s="33"/>
      <c r="L15" s="29"/>
    </row>
    <row r="16" spans="2:12" ht="54" customHeight="1" x14ac:dyDescent="0.2">
      <c r="B16" s="152"/>
      <c r="C16" s="152"/>
      <c r="D16" s="154"/>
      <c r="E16" s="178"/>
      <c r="F16" s="78" t="s">
        <v>1353</v>
      </c>
      <c r="G16" s="12" t="s">
        <v>602</v>
      </c>
      <c r="H16" s="34" t="s">
        <v>1354</v>
      </c>
      <c r="I16" s="28" t="s">
        <v>10</v>
      </c>
      <c r="J16" s="11"/>
      <c r="K16" s="33"/>
      <c r="L16" s="29"/>
    </row>
    <row r="17" spans="2:12" ht="54" customHeight="1" x14ac:dyDescent="0.2">
      <c r="B17" s="152"/>
      <c r="C17" s="152"/>
      <c r="D17" s="154"/>
      <c r="E17" s="178"/>
      <c r="F17" s="78" t="s">
        <v>1355</v>
      </c>
      <c r="G17" s="12" t="s">
        <v>39</v>
      </c>
      <c r="H17" s="34" t="s">
        <v>1356</v>
      </c>
      <c r="I17" s="28" t="s">
        <v>10</v>
      </c>
      <c r="J17" s="11"/>
      <c r="K17" s="33"/>
      <c r="L17" s="29"/>
    </row>
    <row r="18" spans="2:12" ht="54" customHeight="1" x14ac:dyDescent="0.2">
      <c r="B18" s="152"/>
      <c r="C18" s="152"/>
      <c r="D18" s="154"/>
      <c r="E18" s="178"/>
      <c r="F18" s="78" t="s">
        <v>1357</v>
      </c>
      <c r="G18" s="12" t="s">
        <v>37</v>
      </c>
      <c r="H18" s="34" t="s">
        <v>1358</v>
      </c>
      <c r="I18" s="28" t="s">
        <v>10</v>
      </c>
      <c r="J18" s="11"/>
      <c r="K18" s="33"/>
      <c r="L18" s="29"/>
    </row>
    <row r="19" spans="2:12" ht="54" customHeight="1" x14ac:dyDescent="0.2">
      <c r="B19" s="152"/>
      <c r="C19" s="152"/>
      <c r="D19" s="154"/>
      <c r="E19" s="178"/>
      <c r="F19" s="78" t="s">
        <v>1359</v>
      </c>
      <c r="G19" s="12" t="s">
        <v>36</v>
      </c>
      <c r="H19" s="34" t="s">
        <v>1360</v>
      </c>
      <c r="I19" s="28" t="s">
        <v>10</v>
      </c>
      <c r="J19" s="11"/>
      <c r="K19" s="33"/>
      <c r="L19" s="29"/>
    </row>
    <row r="20" spans="2:12" ht="54" customHeight="1" x14ac:dyDescent="0.2">
      <c r="B20" s="143" t="s">
        <v>92</v>
      </c>
      <c r="C20" s="143" t="s">
        <v>20</v>
      </c>
      <c r="D20" s="145" t="s">
        <v>1361</v>
      </c>
      <c r="E20" s="181" t="s">
        <v>1362</v>
      </c>
      <c r="F20" s="23" t="s">
        <v>1363</v>
      </c>
      <c r="G20" s="41" t="s">
        <v>1244</v>
      </c>
      <c r="H20" s="35" t="s">
        <v>1364</v>
      </c>
      <c r="I20" s="28" t="s">
        <v>10</v>
      </c>
      <c r="J20" s="36"/>
      <c r="K20" s="37"/>
      <c r="L20" s="38"/>
    </row>
    <row r="21" spans="2:12" ht="54" customHeight="1" x14ac:dyDescent="0.2">
      <c r="B21" s="144"/>
      <c r="C21" s="144"/>
      <c r="D21" s="146"/>
      <c r="E21" s="182"/>
      <c r="F21" s="35" t="s">
        <v>1365</v>
      </c>
      <c r="G21" s="41" t="s">
        <v>36</v>
      </c>
      <c r="H21" s="35" t="s">
        <v>1366</v>
      </c>
      <c r="I21" s="28" t="s">
        <v>10</v>
      </c>
      <c r="J21" s="36"/>
      <c r="K21" s="37"/>
      <c r="L21" s="38"/>
    </row>
    <row r="22" spans="2:12" ht="54" customHeight="1" x14ac:dyDescent="0.2">
      <c r="B22" s="144"/>
      <c r="C22" s="144"/>
      <c r="D22" s="146"/>
      <c r="E22" s="182"/>
      <c r="F22" s="23" t="s">
        <v>1367</v>
      </c>
      <c r="G22" s="41" t="s">
        <v>39</v>
      </c>
      <c r="H22" s="35" t="s">
        <v>1368</v>
      </c>
      <c r="I22" s="28" t="s">
        <v>10</v>
      </c>
      <c r="J22" s="36"/>
      <c r="K22" s="37"/>
      <c r="L22" s="38"/>
    </row>
    <row r="23" spans="2:12" ht="54" customHeight="1" x14ac:dyDescent="0.2">
      <c r="B23" s="144"/>
      <c r="C23" s="144"/>
      <c r="D23" s="146"/>
      <c r="E23" s="182"/>
      <c r="F23" s="23" t="s">
        <v>1369</v>
      </c>
      <c r="G23" s="41" t="s">
        <v>35</v>
      </c>
      <c r="H23" s="35" t="s">
        <v>1370</v>
      </c>
      <c r="I23" s="28" t="s">
        <v>10</v>
      </c>
      <c r="J23" s="36"/>
      <c r="K23" s="37"/>
      <c r="L23" s="38"/>
    </row>
    <row r="24" spans="2:12" ht="54" customHeight="1" x14ac:dyDescent="0.2">
      <c r="B24" s="144"/>
      <c r="C24" s="144"/>
      <c r="D24" s="146"/>
      <c r="E24" s="182"/>
      <c r="F24" s="23" t="s">
        <v>1371</v>
      </c>
      <c r="G24" s="41" t="s">
        <v>43</v>
      </c>
      <c r="H24" s="35" t="s">
        <v>1372</v>
      </c>
      <c r="I24" s="28" t="s">
        <v>10</v>
      </c>
      <c r="J24" s="36"/>
      <c r="K24" s="37"/>
      <c r="L24" s="38"/>
    </row>
    <row r="25" spans="2:12" ht="54" customHeight="1" x14ac:dyDescent="0.2">
      <c r="B25" s="144"/>
      <c r="C25" s="144"/>
      <c r="D25" s="146"/>
      <c r="E25" s="182"/>
      <c r="F25" s="23" t="s">
        <v>1373</v>
      </c>
      <c r="G25" s="41" t="s">
        <v>36</v>
      </c>
      <c r="H25" s="35" t="s">
        <v>1374</v>
      </c>
      <c r="I25" s="28" t="s">
        <v>10</v>
      </c>
      <c r="J25" s="36"/>
      <c r="K25" s="37"/>
      <c r="L25" s="38"/>
    </row>
    <row r="26" spans="2:12" ht="54" customHeight="1" x14ac:dyDescent="0.2">
      <c r="B26" s="151" t="s">
        <v>92</v>
      </c>
      <c r="C26" s="151" t="s">
        <v>23</v>
      </c>
      <c r="D26" s="177" t="s">
        <v>1375</v>
      </c>
      <c r="E26" s="177" t="s">
        <v>1376</v>
      </c>
      <c r="F26" s="22" t="s">
        <v>1377</v>
      </c>
      <c r="G26" s="12" t="s">
        <v>36</v>
      </c>
      <c r="H26" s="34" t="s">
        <v>1378</v>
      </c>
      <c r="I26" s="28" t="s">
        <v>10</v>
      </c>
      <c r="J26" s="11"/>
      <c r="K26" s="33"/>
      <c r="L26" s="29"/>
    </row>
    <row r="27" spans="2:12" ht="54" customHeight="1" x14ac:dyDescent="0.2">
      <c r="B27" s="152"/>
      <c r="C27" s="152"/>
      <c r="D27" s="178"/>
      <c r="E27" s="178"/>
      <c r="F27" s="22" t="s">
        <v>1379</v>
      </c>
      <c r="G27" s="12" t="s">
        <v>41</v>
      </c>
      <c r="H27" s="34" t="s">
        <v>1380</v>
      </c>
      <c r="I27" s="28" t="s">
        <v>10</v>
      </c>
      <c r="J27" s="11"/>
      <c r="K27" s="33"/>
      <c r="L27" s="29"/>
    </row>
    <row r="28" spans="2:12" ht="54" customHeight="1" x14ac:dyDescent="0.2">
      <c r="B28" s="152"/>
      <c r="C28" s="152"/>
      <c r="D28" s="178"/>
      <c r="E28" s="178"/>
      <c r="F28" s="22" t="s">
        <v>1381</v>
      </c>
      <c r="G28" s="12" t="s">
        <v>35</v>
      </c>
      <c r="H28" s="34" t="s">
        <v>1382</v>
      </c>
      <c r="I28" s="28" t="s">
        <v>10</v>
      </c>
      <c r="J28" s="11"/>
      <c r="K28" s="33"/>
      <c r="L28" s="29"/>
    </row>
    <row r="29" spans="2:12" ht="54" customHeight="1" x14ac:dyDescent="0.2">
      <c r="B29" s="152"/>
      <c r="C29" s="152"/>
      <c r="D29" s="178"/>
      <c r="E29" s="178"/>
      <c r="F29" s="22" t="s">
        <v>1383</v>
      </c>
      <c r="G29" s="12" t="s">
        <v>38</v>
      </c>
      <c r="H29" s="34" t="s">
        <v>1384</v>
      </c>
      <c r="I29" s="28" t="s">
        <v>10</v>
      </c>
      <c r="J29" s="11"/>
      <c r="K29" s="33"/>
      <c r="L29" s="29"/>
    </row>
    <row r="30" spans="2:12" ht="54" customHeight="1" x14ac:dyDescent="0.2">
      <c r="B30" s="152"/>
      <c r="C30" s="152"/>
      <c r="D30" s="178"/>
      <c r="E30" s="178"/>
      <c r="F30" s="22" t="s">
        <v>1385</v>
      </c>
      <c r="G30" s="12" t="s">
        <v>39</v>
      </c>
      <c r="H30" s="34" t="s">
        <v>1386</v>
      </c>
      <c r="I30" s="28" t="s">
        <v>10</v>
      </c>
      <c r="J30" s="11"/>
      <c r="K30" s="33"/>
      <c r="L30" s="29"/>
    </row>
    <row r="31" spans="2:12" ht="54" customHeight="1" x14ac:dyDescent="0.2">
      <c r="B31" s="152"/>
      <c r="C31" s="152"/>
      <c r="D31" s="178"/>
      <c r="E31" s="178"/>
      <c r="F31" s="22" t="s">
        <v>677</v>
      </c>
      <c r="G31" s="12" t="s">
        <v>36</v>
      </c>
      <c r="H31" s="34" t="s">
        <v>1387</v>
      </c>
      <c r="I31" s="28" t="s">
        <v>10</v>
      </c>
      <c r="J31" s="11"/>
      <c r="K31" s="33"/>
      <c r="L31" s="29"/>
    </row>
    <row r="32" spans="2:12" ht="54" customHeight="1" x14ac:dyDescent="0.2">
      <c r="B32" s="143" t="s">
        <v>92</v>
      </c>
      <c r="C32" s="143" t="s">
        <v>24</v>
      </c>
      <c r="D32" s="181" t="s">
        <v>1388</v>
      </c>
      <c r="E32" s="181" t="s">
        <v>1389</v>
      </c>
      <c r="F32" s="23" t="s">
        <v>1390</v>
      </c>
      <c r="G32" s="41" t="s">
        <v>41</v>
      </c>
      <c r="H32" s="35" t="s">
        <v>1391</v>
      </c>
      <c r="I32" s="28" t="s">
        <v>10</v>
      </c>
      <c r="J32" s="36"/>
      <c r="K32" s="37"/>
      <c r="L32" s="38"/>
    </row>
    <row r="33" spans="2:12" ht="54" customHeight="1" x14ac:dyDescent="0.2">
      <c r="B33" s="144"/>
      <c r="C33" s="144"/>
      <c r="D33" s="182"/>
      <c r="E33" s="182"/>
      <c r="F33" s="23" t="s">
        <v>1392</v>
      </c>
      <c r="G33" s="41" t="s">
        <v>43</v>
      </c>
      <c r="H33" s="35" t="s">
        <v>1393</v>
      </c>
      <c r="I33" s="28" t="s">
        <v>10</v>
      </c>
      <c r="J33" s="36"/>
      <c r="K33" s="37"/>
      <c r="L33" s="38"/>
    </row>
    <row r="34" spans="2:12" ht="54" customHeight="1" x14ac:dyDescent="0.2">
      <c r="B34" s="144"/>
      <c r="C34" s="144"/>
      <c r="D34" s="182"/>
      <c r="E34" s="182"/>
      <c r="F34" s="23" t="s">
        <v>1394</v>
      </c>
      <c r="G34" s="41" t="s">
        <v>602</v>
      </c>
      <c r="H34" s="35" t="s">
        <v>1395</v>
      </c>
      <c r="I34" s="28" t="s">
        <v>10</v>
      </c>
      <c r="J34" s="36"/>
      <c r="K34" s="37"/>
      <c r="L34" s="38"/>
    </row>
    <row r="35" spans="2:12" ht="54" customHeight="1" x14ac:dyDescent="0.2">
      <c r="B35" s="144"/>
      <c r="C35" s="144"/>
      <c r="D35" s="182"/>
      <c r="E35" s="182"/>
      <c r="F35" s="23" t="s">
        <v>1396</v>
      </c>
      <c r="G35" s="41" t="s">
        <v>35</v>
      </c>
      <c r="H35" s="35" t="s">
        <v>1397</v>
      </c>
      <c r="I35" s="28" t="s">
        <v>10</v>
      </c>
      <c r="J35" s="36"/>
      <c r="K35" s="37"/>
      <c r="L35" s="38"/>
    </row>
    <row r="36" spans="2:12" ht="54" customHeight="1" x14ac:dyDescent="0.2">
      <c r="B36" s="144"/>
      <c r="C36" s="144"/>
      <c r="D36" s="182"/>
      <c r="E36" s="182"/>
      <c r="F36" s="23" t="s">
        <v>1398</v>
      </c>
      <c r="G36" s="41" t="s">
        <v>36</v>
      </c>
      <c r="H36" s="35" t="s">
        <v>1399</v>
      </c>
      <c r="I36" s="28" t="s">
        <v>10</v>
      </c>
      <c r="J36" s="36"/>
      <c r="K36" s="37"/>
      <c r="L36" s="38"/>
    </row>
    <row r="37" spans="2:12" ht="54" customHeight="1" x14ac:dyDescent="0.2">
      <c r="B37" s="144"/>
      <c r="C37" s="144"/>
      <c r="D37" s="182"/>
      <c r="E37" s="182"/>
      <c r="F37" s="23" t="s">
        <v>1400</v>
      </c>
      <c r="G37" s="41" t="s">
        <v>36</v>
      </c>
      <c r="H37" s="35" t="s">
        <v>1401</v>
      </c>
      <c r="I37" s="28" t="s">
        <v>10</v>
      </c>
      <c r="J37" s="36"/>
      <c r="K37" s="37"/>
      <c r="L37" s="38"/>
    </row>
    <row r="38" spans="2:12" ht="5.25" customHeight="1" x14ac:dyDescent="0.2"/>
    <row r="39" spans="2:12" ht="31" customHeight="1" x14ac:dyDescent="0.2">
      <c r="B39" s="69" t="s">
        <v>34</v>
      </c>
      <c r="C39" s="69" t="s">
        <v>258</v>
      </c>
      <c r="D39" s="69" t="s">
        <v>259</v>
      </c>
      <c r="E39" s="169" t="s">
        <v>32</v>
      </c>
      <c r="F39" s="170"/>
      <c r="G39" s="169" t="s">
        <v>16</v>
      </c>
      <c r="H39" s="170"/>
      <c r="I39" s="71" t="s">
        <v>8</v>
      </c>
      <c r="J39" s="69" t="s">
        <v>17</v>
      </c>
      <c r="K39" s="72" t="s">
        <v>44</v>
      </c>
      <c r="L39" s="69" t="s">
        <v>45</v>
      </c>
    </row>
    <row r="40" spans="2:12" ht="79.75" customHeight="1" x14ac:dyDescent="0.2">
      <c r="B40" s="151" t="s">
        <v>92</v>
      </c>
      <c r="C40" s="151" t="s">
        <v>260</v>
      </c>
      <c r="D40" s="177" t="s">
        <v>1402</v>
      </c>
      <c r="E40" s="129" t="s">
        <v>1403</v>
      </c>
      <c r="F40" s="130"/>
      <c r="G40" s="127" t="s">
        <v>1404</v>
      </c>
      <c r="H40" s="128"/>
      <c r="I40" s="28" t="s">
        <v>10</v>
      </c>
      <c r="J40" s="11"/>
      <c r="K40" s="33"/>
      <c r="L40" s="29"/>
    </row>
    <row r="41" spans="2:12" ht="79.75" customHeight="1" x14ac:dyDescent="0.2">
      <c r="B41" s="152"/>
      <c r="C41" s="152"/>
      <c r="D41" s="178"/>
      <c r="E41" s="131"/>
      <c r="F41" s="132"/>
      <c r="G41" s="127" t="s">
        <v>1405</v>
      </c>
      <c r="H41" s="128"/>
      <c r="I41" s="28" t="s">
        <v>10</v>
      </c>
      <c r="J41" s="11"/>
      <c r="K41" s="33"/>
      <c r="L41" s="29"/>
    </row>
    <row r="42" spans="2:12" ht="79.75" customHeight="1" x14ac:dyDescent="0.2">
      <c r="B42" s="173"/>
      <c r="C42" s="173"/>
      <c r="D42" s="179"/>
      <c r="E42" s="133"/>
      <c r="F42" s="134"/>
      <c r="G42" s="127" t="s">
        <v>1406</v>
      </c>
      <c r="H42" s="128"/>
      <c r="I42" s="28" t="s">
        <v>10</v>
      </c>
      <c r="J42" s="11"/>
      <c r="K42" s="33"/>
      <c r="L42" s="29"/>
    </row>
    <row r="43" spans="2:12" ht="83.5" customHeight="1" x14ac:dyDescent="0.2">
      <c r="B43" s="143" t="s">
        <v>92</v>
      </c>
      <c r="C43" s="143" t="s">
        <v>261</v>
      </c>
      <c r="D43" s="181" t="s">
        <v>1407</v>
      </c>
      <c r="E43" s="135" t="s">
        <v>1408</v>
      </c>
      <c r="F43" s="136"/>
      <c r="G43" s="141" t="s">
        <v>1409</v>
      </c>
      <c r="H43" s="142"/>
      <c r="I43" s="28" t="s">
        <v>10</v>
      </c>
      <c r="J43" s="36"/>
      <c r="K43" s="37"/>
      <c r="L43" s="38"/>
    </row>
    <row r="44" spans="2:12" ht="83.5" customHeight="1" x14ac:dyDescent="0.2">
      <c r="B44" s="144"/>
      <c r="C44" s="144"/>
      <c r="D44" s="182"/>
      <c r="E44" s="137"/>
      <c r="F44" s="138"/>
      <c r="G44" s="141" t="s">
        <v>1410</v>
      </c>
      <c r="H44" s="142"/>
      <c r="I44" s="28" t="s">
        <v>10</v>
      </c>
      <c r="J44" s="36"/>
      <c r="K44" s="37"/>
      <c r="L44" s="38"/>
    </row>
    <row r="45" spans="2:12" ht="83.5" customHeight="1" x14ac:dyDescent="0.2">
      <c r="B45" s="144"/>
      <c r="C45" s="144"/>
      <c r="D45" s="182"/>
      <c r="E45" s="139"/>
      <c r="F45" s="140"/>
      <c r="G45" s="141" t="s">
        <v>1411</v>
      </c>
      <c r="H45" s="142"/>
      <c r="I45" s="28" t="s">
        <v>10</v>
      </c>
      <c r="J45" s="36"/>
      <c r="K45" s="37"/>
      <c r="L45" s="38"/>
    </row>
    <row r="46" spans="2:12" ht="79.75" customHeight="1" x14ac:dyDescent="0.2">
      <c r="B46" s="151" t="s">
        <v>92</v>
      </c>
      <c r="C46" s="151" t="s">
        <v>262</v>
      </c>
      <c r="D46" s="177" t="s">
        <v>1412</v>
      </c>
      <c r="E46" s="129" t="s">
        <v>1413</v>
      </c>
      <c r="F46" s="130"/>
      <c r="G46" s="127" t="s">
        <v>1414</v>
      </c>
      <c r="H46" s="128"/>
      <c r="I46" s="28" t="s">
        <v>10</v>
      </c>
      <c r="J46" s="11"/>
      <c r="K46" s="33"/>
      <c r="L46" s="29"/>
    </row>
    <row r="47" spans="2:12" ht="79.75" customHeight="1" x14ac:dyDescent="0.2">
      <c r="B47" s="152"/>
      <c r="C47" s="152"/>
      <c r="D47" s="178"/>
      <c r="E47" s="131"/>
      <c r="F47" s="132"/>
      <c r="G47" s="127" t="s">
        <v>1415</v>
      </c>
      <c r="H47" s="128"/>
      <c r="I47" s="28" t="s">
        <v>10</v>
      </c>
      <c r="J47" s="11"/>
      <c r="K47" s="33"/>
      <c r="L47" s="29"/>
    </row>
    <row r="48" spans="2:12" ht="79.75" customHeight="1" x14ac:dyDescent="0.2">
      <c r="B48" s="173"/>
      <c r="C48" s="173"/>
      <c r="D48" s="179"/>
      <c r="E48" s="133"/>
      <c r="F48" s="134"/>
      <c r="G48" s="127" t="s">
        <v>1416</v>
      </c>
      <c r="H48" s="128"/>
      <c r="I48" s="28" t="s">
        <v>10</v>
      </c>
      <c r="J48" s="11"/>
      <c r="K48" s="33"/>
      <c r="L48" s="29"/>
    </row>
    <row r="49" spans="2:12" ht="83.5" customHeight="1" x14ac:dyDescent="0.2">
      <c r="B49" s="143" t="s">
        <v>92</v>
      </c>
      <c r="C49" s="143" t="s">
        <v>263</v>
      </c>
      <c r="D49" s="181" t="s">
        <v>1417</v>
      </c>
      <c r="E49" s="135" t="s">
        <v>1418</v>
      </c>
      <c r="F49" s="136"/>
      <c r="G49" s="141" t="s">
        <v>1419</v>
      </c>
      <c r="H49" s="142"/>
      <c r="I49" s="28" t="s">
        <v>10</v>
      </c>
      <c r="J49" s="36"/>
      <c r="K49" s="37"/>
      <c r="L49" s="38"/>
    </row>
    <row r="50" spans="2:12" ht="83.5" customHeight="1" x14ac:dyDescent="0.2">
      <c r="B50" s="144"/>
      <c r="C50" s="144"/>
      <c r="D50" s="182"/>
      <c r="E50" s="137"/>
      <c r="F50" s="138"/>
      <c r="G50" s="141" t="s">
        <v>1420</v>
      </c>
      <c r="H50" s="142"/>
      <c r="I50" s="28" t="s">
        <v>10</v>
      </c>
      <c r="J50" s="36"/>
      <c r="K50" s="37"/>
      <c r="L50" s="38"/>
    </row>
    <row r="51" spans="2:12" ht="83.5" customHeight="1" x14ac:dyDescent="0.2">
      <c r="B51" s="144"/>
      <c r="C51" s="144"/>
      <c r="D51" s="182"/>
      <c r="E51" s="139"/>
      <c r="F51" s="140"/>
      <c r="G51" s="141" t="s">
        <v>1421</v>
      </c>
      <c r="H51" s="142"/>
      <c r="I51" s="28" t="s">
        <v>10</v>
      </c>
      <c r="J51" s="36"/>
      <c r="K51" s="37"/>
      <c r="L51" s="38"/>
    </row>
    <row r="52" spans="2:12" ht="79.75" customHeight="1" x14ac:dyDescent="0.2">
      <c r="B52" s="151" t="s">
        <v>92</v>
      </c>
      <c r="C52" s="151" t="s">
        <v>267</v>
      </c>
      <c r="D52" s="177" t="s">
        <v>1422</v>
      </c>
      <c r="E52" s="129" t="s">
        <v>1423</v>
      </c>
      <c r="F52" s="130"/>
      <c r="G52" s="127" t="s">
        <v>1424</v>
      </c>
      <c r="H52" s="128"/>
      <c r="I52" s="28" t="s">
        <v>10</v>
      </c>
      <c r="J52" s="11"/>
      <c r="K52" s="33"/>
      <c r="L52" s="29"/>
    </row>
    <row r="53" spans="2:12" ht="79.75" customHeight="1" x14ac:dyDescent="0.2">
      <c r="B53" s="152"/>
      <c r="C53" s="152"/>
      <c r="D53" s="178"/>
      <c r="E53" s="131"/>
      <c r="F53" s="132"/>
      <c r="G53" s="127" t="s">
        <v>1425</v>
      </c>
      <c r="H53" s="128"/>
      <c r="I53" s="28" t="s">
        <v>10</v>
      </c>
      <c r="J53" s="11"/>
      <c r="K53" s="33"/>
      <c r="L53" s="29"/>
    </row>
    <row r="54" spans="2:12" ht="79.75" customHeight="1" x14ac:dyDescent="0.2">
      <c r="B54" s="173"/>
      <c r="C54" s="173"/>
      <c r="D54" s="179"/>
      <c r="E54" s="133"/>
      <c r="F54" s="134"/>
      <c r="G54" s="127" t="s">
        <v>1426</v>
      </c>
      <c r="H54" s="128"/>
      <c r="I54" s="28" t="s">
        <v>10</v>
      </c>
      <c r="J54" s="11"/>
      <c r="K54" s="33"/>
      <c r="L54" s="29"/>
    </row>
    <row r="55" spans="2:12" ht="54" customHeight="1" x14ac:dyDescent="0.2">
      <c r="B55" s="143" t="s">
        <v>92</v>
      </c>
      <c r="C55" s="143" t="s">
        <v>268</v>
      </c>
      <c r="D55" s="181" t="s">
        <v>1427</v>
      </c>
      <c r="E55" s="135" t="s">
        <v>1428</v>
      </c>
      <c r="F55" s="136"/>
      <c r="G55" s="141" t="s">
        <v>1429</v>
      </c>
      <c r="H55" s="142"/>
      <c r="I55" s="28" t="s">
        <v>10</v>
      </c>
      <c r="J55" s="195"/>
      <c r="K55" s="196"/>
      <c r="L55" s="197"/>
    </row>
    <row r="56" spans="2:12" ht="54" customHeight="1" x14ac:dyDescent="0.2">
      <c r="B56" s="144"/>
      <c r="C56" s="144"/>
      <c r="D56" s="182"/>
      <c r="E56" s="137"/>
      <c r="F56" s="138"/>
      <c r="G56" s="141" t="s">
        <v>1430</v>
      </c>
      <c r="H56" s="142"/>
      <c r="I56" s="28" t="s">
        <v>10</v>
      </c>
      <c r="J56" s="36"/>
      <c r="K56" s="37"/>
      <c r="L56" s="38"/>
    </row>
    <row r="210" spans="1:13" s="4" customFormat="1" x14ac:dyDescent="0.2">
      <c r="A210" s="1"/>
      <c r="B210" s="2"/>
      <c r="C210" s="3"/>
      <c r="D210" s="3"/>
      <c r="E210" s="3"/>
      <c r="G210" s="3"/>
      <c r="I210" s="6"/>
      <c r="J210" s="1"/>
      <c r="K210" s="30"/>
      <c r="L210" s="1"/>
      <c r="M210" s="1"/>
    </row>
    <row r="211" spans="1:13" s="4" customFormat="1" x14ac:dyDescent="0.2">
      <c r="A211" s="1"/>
      <c r="B211" s="2"/>
      <c r="C211" s="3"/>
      <c r="D211" s="3"/>
      <c r="E211" s="3"/>
      <c r="G211" s="79"/>
      <c r="I211" s="6"/>
      <c r="J211" s="1"/>
      <c r="K211" s="30"/>
      <c r="L211" s="1"/>
      <c r="M211" s="1"/>
    </row>
    <row r="212" spans="1:13" s="4" customFormat="1" x14ac:dyDescent="0.2">
      <c r="A212" s="1"/>
      <c r="B212" s="2"/>
      <c r="C212" s="3"/>
      <c r="D212" s="3"/>
      <c r="E212" s="3"/>
      <c r="G212" s="80"/>
      <c r="I212" s="6"/>
      <c r="J212" s="1"/>
      <c r="K212" s="30"/>
      <c r="L212" s="1"/>
      <c r="M212" s="1"/>
    </row>
    <row r="213" spans="1:13" s="4" customFormat="1" x14ac:dyDescent="0.2">
      <c r="A213" s="1"/>
      <c r="B213" s="2"/>
      <c r="C213" s="3"/>
      <c r="D213" s="3"/>
      <c r="E213" s="3"/>
      <c r="G213" s="81"/>
      <c r="I213" s="6"/>
      <c r="J213" s="1"/>
      <c r="K213" s="30"/>
      <c r="L213" s="1"/>
      <c r="M213" s="1"/>
    </row>
    <row r="214" spans="1:13" s="4" customFormat="1" x14ac:dyDescent="0.2">
      <c r="A214" s="1"/>
      <c r="B214" s="2"/>
      <c r="C214" s="3"/>
      <c r="D214" s="3"/>
      <c r="E214" s="3"/>
      <c r="G214" s="82"/>
      <c r="I214" s="6"/>
      <c r="J214" s="1"/>
      <c r="K214" s="30"/>
      <c r="L214" s="1"/>
      <c r="M214" s="1"/>
    </row>
    <row r="215" spans="1:13" s="4" customFormat="1" x14ac:dyDescent="0.2">
      <c r="A215" s="1"/>
      <c r="B215" s="2"/>
      <c r="C215" s="3"/>
      <c r="D215" s="3"/>
      <c r="E215" s="3"/>
      <c r="G215" s="79"/>
      <c r="I215" s="6"/>
      <c r="J215" s="1"/>
      <c r="K215" s="30"/>
      <c r="L215" s="1"/>
      <c r="M215" s="1"/>
    </row>
    <row r="219" spans="1:13" s="4" customFormat="1" x14ac:dyDescent="0.2">
      <c r="A219" s="1"/>
      <c r="B219" s="2"/>
      <c r="C219" s="3"/>
      <c r="D219" s="3"/>
      <c r="E219" s="3"/>
      <c r="G219" s="83"/>
      <c r="I219" s="6"/>
      <c r="J219" s="1"/>
      <c r="K219" s="30"/>
      <c r="L219" s="1"/>
      <c r="M219" s="1"/>
    </row>
    <row r="220" spans="1:13" s="4" customFormat="1" x14ac:dyDescent="0.2">
      <c r="A220" s="1"/>
      <c r="B220" s="2"/>
      <c r="C220" s="3"/>
      <c r="D220" s="3"/>
      <c r="E220" s="3"/>
      <c r="G220" s="84"/>
      <c r="I220" s="6"/>
      <c r="J220" s="1"/>
      <c r="K220" s="30"/>
      <c r="L220" s="1"/>
      <c r="M220" s="1"/>
    </row>
    <row r="221" spans="1:13" s="4" customFormat="1" x14ac:dyDescent="0.2">
      <c r="A221" s="1"/>
      <c r="B221" s="2"/>
      <c r="C221" s="3"/>
      <c r="D221" s="3"/>
      <c r="E221" s="3"/>
      <c r="G221" s="81"/>
      <c r="I221" s="6"/>
      <c r="J221" s="1"/>
      <c r="K221" s="30"/>
      <c r="L221" s="1"/>
      <c r="M221" s="1"/>
    </row>
    <row r="222" spans="1:13" s="4" customFormat="1" x14ac:dyDescent="0.2">
      <c r="A222" s="1"/>
      <c r="B222" s="2"/>
      <c r="C222" s="3"/>
      <c r="D222" s="3"/>
      <c r="E222" s="3"/>
      <c r="G222" s="81"/>
      <c r="I222" s="6"/>
      <c r="J222" s="1"/>
      <c r="K222" s="30"/>
      <c r="L222" s="1"/>
      <c r="M222" s="1"/>
    </row>
    <row r="223" spans="1:13" s="4" customFormat="1" x14ac:dyDescent="0.2">
      <c r="A223" s="1"/>
      <c r="B223" s="2"/>
      <c r="C223" s="3"/>
      <c r="D223" s="3"/>
      <c r="E223" s="3"/>
      <c r="G223" s="79"/>
      <c r="I223" s="6"/>
      <c r="J223" s="1"/>
      <c r="K223" s="30"/>
      <c r="L223" s="1"/>
      <c r="M223" s="1"/>
    </row>
    <row r="227" spans="1:13" s="4" customFormat="1" x14ac:dyDescent="0.2">
      <c r="A227" s="1"/>
      <c r="B227" s="2"/>
      <c r="C227" s="3"/>
      <c r="D227" s="3"/>
      <c r="E227" s="3"/>
      <c r="G227" s="83"/>
      <c r="I227" s="6"/>
      <c r="J227" s="1"/>
      <c r="K227" s="30"/>
      <c r="L227" s="1"/>
      <c r="M227" s="1"/>
    </row>
    <row r="228" spans="1:13" s="4" customFormat="1" x14ac:dyDescent="0.2">
      <c r="A228" s="1"/>
      <c r="B228" s="2"/>
      <c r="C228" s="3"/>
      <c r="D228" s="3"/>
      <c r="E228" s="3"/>
      <c r="G228" s="84"/>
      <c r="I228" s="6"/>
      <c r="J228" s="1"/>
      <c r="K228" s="30"/>
      <c r="L228" s="1"/>
      <c r="M228" s="1"/>
    </row>
    <row r="229" spans="1:13" s="4" customFormat="1" x14ac:dyDescent="0.2">
      <c r="A229" s="1"/>
      <c r="B229" s="2"/>
      <c r="C229" s="3"/>
      <c r="D229" s="3"/>
      <c r="E229" s="3"/>
      <c r="G229" s="81"/>
      <c r="I229" s="6"/>
      <c r="J229" s="1"/>
      <c r="K229" s="30"/>
      <c r="L229" s="1"/>
      <c r="M229" s="1"/>
    </row>
    <row r="230" spans="1:13" s="4" customFormat="1" x14ac:dyDescent="0.2">
      <c r="A230" s="1"/>
      <c r="B230" s="2"/>
      <c r="C230" s="3"/>
      <c r="D230" s="3"/>
      <c r="E230" s="3"/>
      <c r="G230" s="81"/>
      <c r="I230" s="6"/>
      <c r="J230" s="1"/>
      <c r="K230" s="30"/>
      <c r="L230" s="1"/>
      <c r="M230" s="1"/>
    </row>
    <row r="231" spans="1:13" s="4" customFormat="1" x14ac:dyDescent="0.2">
      <c r="A231" s="1"/>
      <c r="B231" s="2"/>
      <c r="C231" s="3"/>
      <c r="D231" s="3"/>
      <c r="E231" s="3"/>
      <c r="G231" s="83"/>
      <c r="I231" s="6"/>
      <c r="J231" s="1"/>
      <c r="K231" s="30"/>
      <c r="L231" s="1"/>
      <c r="M231" s="1"/>
    </row>
    <row r="232" spans="1:13" s="4" customFormat="1" x14ac:dyDescent="0.2">
      <c r="A232" s="1"/>
      <c r="B232" s="2"/>
      <c r="C232" s="3"/>
      <c r="D232" s="3"/>
      <c r="E232" s="3"/>
      <c r="G232" s="85"/>
      <c r="I232" s="6"/>
      <c r="J232" s="1"/>
      <c r="K232" s="30"/>
      <c r="L232" s="1"/>
      <c r="M232" s="1"/>
    </row>
    <row r="233" spans="1:13" s="4" customFormat="1" x14ac:dyDescent="0.2">
      <c r="A233" s="1"/>
      <c r="B233" s="2"/>
      <c r="C233" s="3"/>
      <c r="D233" s="3"/>
      <c r="E233" s="3"/>
      <c r="G233" s="86"/>
      <c r="I233" s="6"/>
      <c r="J233" s="1"/>
      <c r="K233" s="30"/>
      <c r="L233" s="1"/>
      <c r="M233" s="1"/>
    </row>
  </sheetData>
  <mergeCells count="66">
    <mergeCell ref="G55:H55"/>
    <mergeCell ref="G56:H56"/>
    <mergeCell ref="E43:F45"/>
    <mergeCell ref="E49:F51"/>
    <mergeCell ref="E55:F56"/>
    <mergeCell ref="G49:H49"/>
    <mergeCell ref="G50:H50"/>
    <mergeCell ref="G51:H51"/>
    <mergeCell ref="E52:F54"/>
    <mergeCell ref="G52:H52"/>
    <mergeCell ref="G53:H53"/>
    <mergeCell ref="G54:H54"/>
    <mergeCell ref="G43:H43"/>
    <mergeCell ref="G44:H44"/>
    <mergeCell ref="G45:H45"/>
    <mergeCell ref="E46:F48"/>
    <mergeCell ref="G46:H46"/>
    <mergeCell ref="G47:H47"/>
    <mergeCell ref="G48:H48"/>
    <mergeCell ref="B55:B56"/>
    <mergeCell ref="C55:C56"/>
    <mergeCell ref="D55:D56"/>
    <mergeCell ref="B49:B51"/>
    <mergeCell ref="C49:C51"/>
    <mergeCell ref="D49:D51"/>
    <mergeCell ref="B52:B54"/>
    <mergeCell ref="C52:C54"/>
    <mergeCell ref="D52:D54"/>
    <mergeCell ref="B43:B45"/>
    <mergeCell ref="C43:C45"/>
    <mergeCell ref="D43:D45"/>
    <mergeCell ref="B46:B48"/>
    <mergeCell ref="C46:C48"/>
    <mergeCell ref="D46:D48"/>
    <mergeCell ref="E39:F39"/>
    <mergeCell ref="G39:H39"/>
    <mergeCell ref="B40:B42"/>
    <mergeCell ref="C40:C42"/>
    <mergeCell ref="D40:D42"/>
    <mergeCell ref="E40:F42"/>
    <mergeCell ref="G40:H40"/>
    <mergeCell ref="G41:H41"/>
    <mergeCell ref="G42:H42"/>
    <mergeCell ref="B26:B31"/>
    <mergeCell ref="C26:C31"/>
    <mergeCell ref="D26:D31"/>
    <mergeCell ref="E26:E31"/>
    <mergeCell ref="B32:B37"/>
    <mergeCell ref="C32:C37"/>
    <mergeCell ref="D32:D37"/>
    <mergeCell ref="E32:E37"/>
    <mergeCell ref="B20:B25"/>
    <mergeCell ref="C20:C25"/>
    <mergeCell ref="D20:D25"/>
    <mergeCell ref="E20:E25"/>
    <mergeCell ref="B2:J2"/>
    <mergeCell ref="B4:J4"/>
    <mergeCell ref="B6:H8"/>
    <mergeCell ref="I6:J6"/>
    <mergeCell ref="I7:J8"/>
    <mergeCell ref="C10:J10"/>
    <mergeCell ref="C11:J11"/>
    <mergeCell ref="B14:B19"/>
    <mergeCell ref="C14:C19"/>
    <mergeCell ref="D14:D19"/>
    <mergeCell ref="E14:E19"/>
  </mergeCells>
  <conditionalFormatting sqref="I1 I57:I1048576">
    <cfRule type="cellIs" dxfId="271" priority="18" operator="equal">
      <formula>1</formula>
    </cfRule>
  </conditionalFormatting>
  <conditionalFormatting sqref="I7">
    <cfRule type="cellIs" dxfId="270" priority="17" operator="equal">
      <formula>1</formula>
    </cfRule>
  </conditionalFormatting>
  <conditionalFormatting sqref="I14:I37">
    <cfRule type="expression" dxfId="111" priority="5" stopIfTrue="1">
      <formula>TRIM(UPPER(I14))="N/A"</formula>
    </cfRule>
    <cfRule type="expression" dxfId="110" priority="6">
      <formula>I14&gt;=0.9</formula>
    </cfRule>
    <cfRule type="expression" dxfId="109" priority="7">
      <formula>AND(I14&gt;=0.8, I14&lt;0.9)</formula>
    </cfRule>
    <cfRule type="expression" dxfId="108" priority="8">
      <formula>I14&lt;0.8</formula>
    </cfRule>
  </conditionalFormatting>
  <conditionalFormatting sqref="I40:I56">
    <cfRule type="expression" dxfId="107" priority="1" stopIfTrue="1">
      <formula>TRIM(UPPER(I40))="N/A"</formula>
    </cfRule>
    <cfRule type="expression" dxfId="106" priority="2">
      <formula>I40&gt;=0.9</formula>
    </cfRule>
    <cfRule type="expression" dxfId="105" priority="3">
      <formula>AND(I40&gt;=0.8, I40&lt;0.9)</formula>
    </cfRule>
    <cfRule type="expression" dxfId="104" priority="4">
      <formula>I40&lt;0.8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41B7CBB-CC48-DE47-A4C7-60A85AF5D738}">
          <x14:formula1>
            <xm:f>'Listas desplegables'!$C$4:$C$15</xm:f>
          </x14:formula1>
          <xm:sqref>I14:I37 I40:I56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FE75-BB3E-3C46-AC1F-141464A010CF}">
  <sheetPr>
    <tabColor rgb="FF0993A5"/>
  </sheetPr>
  <dimension ref="A1:M236"/>
  <sheetViews>
    <sheetView zoomScale="70" zoomScaleNormal="70" workbookViewId="0">
      <selection activeCell="J14" sqref="J14"/>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6.66406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94" t="s">
        <v>1431</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AVERAGEIF(I14:I45,"&lt;&gt;N/A")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122" customHeight="1" x14ac:dyDescent="0.2">
      <c r="B10" s="40" t="s">
        <v>13</v>
      </c>
      <c r="C10" s="147" t="s">
        <v>1432</v>
      </c>
      <c r="D10" s="148"/>
      <c r="E10" s="148"/>
      <c r="F10" s="148"/>
      <c r="G10" s="148"/>
      <c r="H10" s="148"/>
      <c r="I10" s="148"/>
      <c r="J10" s="149"/>
    </row>
    <row r="11" spans="2:12" ht="67" customHeight="1" x14ac:dyDescent="0.2">
      <c r="B11" s="39" t="s">
        <v>14</v>
      </c>
      <c r="C11" s="150" t="s">
        <v>1433</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54" customHeight="1" x14ac:dyDescent="0.2">
      <c r="B14" s="151" t="s">
        <v>94</v>
      </c>
      <c r="C14" s="151" t="s">
        <v>19</v>
      </c>
      <c r="D14" s="153" t="s">
        <v>1434</v>
      </c>
      <c r="E14" s="177" t="s">
        <v>1435</v>
      </c>
      <c r="F14" s="78" t="s">
        <v>1436</v>
      </c>
      <c r="G14" s="12" t="s">
        <v>39</v>
      </c>
      <c r="H14" s="34" t="s">
        <v>1437</v>
      </c>
      <c r="I14" s="28" t="s">
        <v>10</v>
      </c>
      <c r="J14" s="11"/>
      <c r="K14" s="33"/>
      <c r="L14" s="29"/>
    </row>
    <row r="15" spans="2:12" ht="54" customHeight="1" x14ac:dyDescent="0.2">
      <c r="B15" s="152"/>
      <c r="C15" s="152"/>
      <c r="D15" s="154"/>
      <c r="E15" s="178"/>
      <c r="F15" s="78" t="s">
        <v>1438</v>
      </c>
      <c r="G15" s="12" t="s">
        <v>39</v>
      </c>
      <c r="H15" s="34" t="s">
        <v>1439</v>
      </c>
      <c r="I15" s="28" t="s">
        <v>10</v>
      </c>
      <c r="J15" s="11"/>
      <c r="K15" s="33"/>
      <c r="L15" s="29"/>
    </row>
    <row r="16" spans="2:12" ht="54" customHeight="1" x14ac:dyDescent="0.2">
      <c r="B16" s="152"/>
      <c r="C16" s="152"/>
      <c r="D16" s="154"/>
      <c r="E16" s="178"/>
      <c r="F16" s="78" t="s">
        <v>1440</v>
      </c>
      <c r="G16" s="12" t="s">
        <v>43</v>
      </c>
      <c r="H16" s="34" t="s">
        <v>1441</v>
      </c>
      <c r="I16" s="28" t="s">
        <v>10</v>
      </c>
      <c r="J16" s="11"/>
      <c r="K16" s="33"/>
      <c r="L16" s="29"/>
    </row>
    <row r="17" spans="2:12" ht="54" customHeight="1" x14ac:dyDescent="0.2">
      <c r="B17" s="152"/>
      <c r="C17" s="152"/>
      <c r="D17" s="154"/>
      <c r="E17" s="178"/>
      <c r="F17" s="78" t="s">
        <v>1442</v>
      </c>
      <c r="G17" s="12" t="s">
        <v>38</v>
      </c>
      <c r="H17" s="34" t="s">
        <v>1443</v>
      </c>
      <c r="I17" s="28" t="s">
        <v>10</v>
      </c>
      <c r="J17" s="11"/>
      <c r="K17" s="33"/>
      <c r="L17" s="29"/>
    </row>
    <row r="18" spans="2:12" ht="54" customHeight="1" x14ac:dyDescent="0.2">
      <c r="B18" s="152"/>
      <c r="C18" s="152"/>
      <c r="D18" s="154"/>
      <c r="E18" s="178"/>
      <c r="F18" s="78" t="s">
        <v>1444</v>
      </c>
      <c r="G18" s="12" t="s">
        <v>36</v>
      </c>
      <c r="H18" s="34" t="s">
        <v>1445</v>
      </c>
      <c r="I18" s="28" t="s">
        <v>10</v>
      </c>
      <c r="J18" s="11"/>
      <c r="K18" s="33"/>
      <c r="L18" s="29"/>
    </row>
    <row r="19" spans="2:12" ht="54" customHeight="1" x14ac:dyDescent="0.2">
      <c r="B19" s="152"/>
      <c r="C19" s="152"/>
      <c r="D19" s="154"/>
      <c r="E19" s="178"/>
      <c r="F19" s="78" t="s">
        <v>677</v>
      </c>
      <c r="G19" s="12" t="s">
        <v>36</v>
      </c>
      <c r="H19" s="34" t="s">
        <v>1446</v>
      </c>
      <c r="I19" s="28" t="s">
        <v>10</v>
      </c>
      <c r="J19" s="11"/>
      <c r="K19" s="33"/>
      <c r="L19" s="29"/>
    </row>
    <row r="20" spans="2:12" ht="54" customHeight="1" x14ac:dyDescent="0.2">
      <c r="B20" s="152"/>
      <c r="C20" s="152"/>
      <c r="D20" s="154"/>
      <c r="E20" s="178"/>
      <c r="F20" s="78" t="s">
        <v>1447</v>
      </c>
      <c r="G20" s="12" t="s">
        <v>39</v>
      </c>
      <c r="H20" s="34" t="s">
        <v>1448</v>
      </c>
      <c r="I20" s="28" t="s">
        <v>10</v>
      </c>
      <c r="J20" s="11"/>
      <c r="K20" s="33"/>
      <c r="L20" s="29"/>
    </row>
    <row r="21" spans="2:12" ht="54" customHeight="1" x14ac:dyDescent="0.2">
      <c r="B21" s="143" t="s">
        <v>94</v>
      </c>
      <c r="C21" s="143" t="s">
        <v>20</v>
      </c>
      <c r="D21" s="145" t="s">
        <v>1449</v>
      </c>
      <c r="E21" s="181" t="s">
        <v>1450</v>
      </c>
      <c r="F21" s="23" t="s">
        <v>1451</v>
      </c>
      <c r="G21" s="41" t="s">
        <v>39</v>
      </c>
      <c r="H21" s="35" t="s">
        <v>1452</v>
      </c>
      <c r="I21" s="28" t="s">
        <v>10</v>
      </c>
      <c r="J21" s="36"/>
      <c r="K21" s="37"/>
      <c r="L21" s="38"/>
    </row>
    <row r="22" spans="2:12" ht="54" customHeight="1" x14ac:dyDescent="0.2">
      <c r="B22" s="144"/>
      <c r="C22" s="144"/>
      <c r="D22" s="146"/>
      <c r="E22" s="182"/>
      <c r="F22" s="35" t="s">
        <v>1453</v>
      </c>
      <c r="G22" s="41" t="s">
        <v>38</v>
      </c>
      <c r="H22" s="35" t="s">
        <v>1454</v>
      </c>
      <c r="I22" s="28" t="s">
        <v>10</v>
      </c>
      <c r="J22" s="36"/>
      <c r="K22" s="37"/>
      <c r="L22" s="38"/>
    </row>
    <row r="23" spans="2:12" ht="54" customHeight="1" x14ac:dyDescent="0.2">
      <c r="B23" s="144"/>
      <c r="C23" s="144"/>
      <c r="D23" s="146"/>
      <c r="E23" s="182"/>
      <c r="F23" s="23" t="s">
        <v>1455</v>
      </c>
      <c r="G23" s="41" t="s">
        <v>37</v>
      </c>
      <c r="H23" s="35" t="s">
        <v>1456</v>
      </c>
      <c r="I23" s="28" t="s">
        <v>10</v>
      </c>
      <c r="J23" s="36"/>
      <c r="K23" s="37"/>
      <c r="L23" s="38"/>
    </row>
    <row r="24" spans="2:12" ht="54" customHeight="1" x14ac:dyDescent="0.2">
      <c r="B24" s="144"/>
      <c r="C24" s="144"/>
      <c r="D24" s="146"/>
      <c r="E24" s="182"/>
      <c r="F24" s="23" t="s">
        <v>1457</v>
      </c>
      <c r="G24" s="41" t="s">
        <v>37</v>
      </c>
      <c r="H24" s="35" t="s">
        <v>1458</v>
      </c>
      <c r="I24" s="28" t="s">
        <v>10</v>
      </c>
      <c r="J24" s="36"/>
      <c r="K24" s="37"/>
      <c r="L24" s="38"/>
    </row>
    <row r="25" spans="2:12" ht="54" customHeight="1" x14ac:dyDescent="0.2">
      <c r="B25" s="144"/>
      <c r="C25" s="144"/>
      <c r="D25" s="146"/>
      <c r="E25" s="182"/>
      <c r="F25" s="23" t="s">
        <v>1459</v>
      </c>
      <c r="G25" s="41" t="s">
        <v>41</v>
      </c>
      <c r="H25" s="35" t="s">
        <v>1460</v>
      </c>
      <c r="I25" s="28" t="s">
        <v>10</v>
      </c>
      <c r="J25" s="36"/>
      <c r="K25" s="37"/>
      <c r="L25" s="38"/>
    </row>
    <row r="26" spans="2:12" ht="54" customHeight="1" x14ac:dyDescent="0.2">
      <c r="B26" s="144"/>
      <c r="C26" s="144"/>
      <c r="D26" s="146"/>
      <c r="E26" s="182"/>
      <c r="F26" s="23" t="s">
        <v>1461</v>
      </c>
      <c r="G26" s="41" t="s">
        <v>36</v>
      </c>
      <c r="H26" s="35" t="s">
        <v>1462</v>
      </c>
      <c r="I26" s="28" t="s">
        <v>10</v>
      </c>
      <c r="J26" s="36"/>
      <c r="K26" s="37"/>
      <c r="L26" s="38"/>
    </row>
    <row r="27" spans="2:12" ht="54" customHeight="1" x14ac:dyDescent="0.2">
      <c r="B27" s="144"/>
      <c r="C27" s="144"/>
      <c r="D27" s="146"/>
      <c r="E27" s="182"/>
      <c r="F27" s="23" t="s">
        <v>1463</v>
      </c>
      <c r="G27" s="41" t="s">
        <v>41</v>
      </c>
      <c r="H27" s="35" t="s">
        <v>1464</v>
      </c>
      <c r="I27" s="28" t="s">
        <v>10</v>
      </c>
      <c r="J27" s="36"/>
      <c r="K27" s="37"/>
      <c r="L27" s="38"/>
    </row>
    <row r="28" spans="2:12" ht="54" customHeight="1" x14ac:dyDescent="0.2">
      <c r="B28" s="151" t="s">
        <v>94</v>
      </c>
      <c r="C28" s="151" t="s">
        <v>23</v>
      </c>
      <c r="D28" s="177" t="s">
        <v>1465</v>
      </c>
      <c r="E28" s="177" t="s">
        <v>1466</v>
      </c>
      <c r="F28" s="22" t="s">
        <v>1467</v>
      </c>
      <c r="G28" s="12" t="s">
        <v>36</v>
      </c>
      <c r="H28" s="34" t="s">
        <v>1468</v>
      </c>
      <c r="I28" s="28" t="s">
        <v>10</v>
      </c>
      <c r="J28" s="11"/>
      <c r="K28" s="33"/>
      <c r="L28" s="29"/>
    </row>
    <row r="29" spans="2:12" ht="54" customHeight="1" x14ac:dyDescent="0.2">
      <c r="B29" s="152"/>
      <c r="C29" s="152"/>
      <c r="D29" s="178"/>
      <c r="E29" s="178"/>
      <c r="F29" s="22" t="s">
        <v>626</v>
      </c>
      <c r="G29" s="12" t="s">
        <v>39</v>
      </c>
      <c r="H29" s="34" t="s">
        <v>1469</v>
      </c>
      <c r="I29" s="28" t="s">
        <v>10</v>
      </c>
      <c r="J29" s="11"/>
      <c r="K29" s="33"/>
      <c r="L29" s="29"/>
    </row>
    <row r="30" spans="2:12" ht="54" customHeight="1" x14ac:dyDescent="0.2">
      <c r="B30" s="152"/>
      <c r="C30" s="152"/>
      <c r="D30" s="178"/>
      <c r="E30" s="178"/>
      <c r="F30" s="22" t="s">
        <v>1470</v>
      </c>
      <c r="G30" s="12" t="s">
        <v>38</v>
      </c>
      <c r="H30" s="34" t="s">
        <v>1471</v>
      </c>
      <c r="I30" s="28" t="s">
        <v>10</v>
      </c>
      <c r="J30" s="11"/>
      <c r="K30" s="33"/>
      <c r="L30" s="29"/>
    </row>
    <row r="31" spans="2:12" ht="54" customHeight="1" x14ac:dyDescent="0.2">
      <c r="B31" s="152"/>
      <c r="C31" s="152"/>
      <c r="D31" s="178"/>
      <c r="E31" s="178"/>
      <c r="F31" s="22" t="s">
        <v>1472</v>
      </c>
      <c r="G31" s="12" t="s">
        <v>39</v>
      </c>
      <c r="H31" s="34" t="s">
        <v>1473</v>
      </c>
      <c r="I31" s="28" t="s">
        <v>10</v>
      </c>
      <c r="J31" s="11"/>
      <c r="K31" s="33"/>
      <c r="L31" s="29"/>
    </row>
    <row r="32" spans="2:12" ht="54" customHeight="1" x14ac:dyDescent="0.2">
      <c r="B32" s="152"/>
      <c r="C32" s="152"/>
      <c r="D32" s="178"/>
      <c r="E32" s="178"/>
      <c r="F32" s="22" t="s">
        <v>1474</v>
      </c>
      <c r="G32" s="12" t="s">
        <v>35</v>
      </c>
      <c r="H32" s="34" t="s">
        <v>1475</v>
      </c>
      <c r="I32" s="28" t="s">
        <v>10</v>
      </c>
      <c r="J32" s="11"/>
      <c r="K32" s="33"/>
      <c r="L32" s="29"/>
    </row>
    <row r="33" spans="2:12" ht="54" customHeight="1" x14ac:dyDescent="0.2">
      <c r="B33" s="152"/>
      <c r="C33" s="152"/>
      <c r="D33" s="178"/>
      <c r="E33" s="178"/>
      <c r="F33" s="22" t="s">
        <v>1476</v>
      </c>
      <c r="G33" s="12" t="s">
        <v>35</v>
      </c>
      <c r="H33" s="34" t="s">
        <v>1477</v>
      </c>
      <c r="I33" s="28" t="s">
        <v>10</v>
      </c>
      <c r="J33" s="11"/>
      <c r="K33" s="33"/>
      <c r="L33" s="29"/>
    </row>
    <row r="34" spans="2:12" ht="54" customHeight="1" x14ac:dyDescent="0.2">
      <c r="B34" s="143" t="s">
        <v>94</v>
      </c>
      <c r="C34" s="143" t="s">
        <v>24</v>
      </c>
      <c r="D34" s="181" t="s">
        <v>1478</v>
      </c>
      <c r="E34" s="181" t="s">
        <v>1479</v>
      </c>
      <c r="F34" s="23" t="s">
        <v>1480</v>
      </c>
      <c r="G34" s="41" t="s">
        <v>39</v>
      </c>
      <c r="H34" s="35" t="s">
        <v>1481</v>
      </c>
      <c r="I34" s="28" t="s">
        <v>10</v>
      </c>
      <c r="J34" s="36"/>
      <c r="K34" s="37"/>
      <c r="L34" s="38"/>
    </row>
    <row r="35" spans="2:12" ht="54" customHeight="1" x14ac:dyDescent="0.2">
      <c r="B35" s="144"/>
      <c r="C35" s="144"/>
      <c r="D35" s="182"/>
      <c r="E35" s="182"/>
      <c r="F35" s="23" t="s">
        <v>1482</v>
      </c>
      <c r="G35" s="41" t="s">
        <v>38</v>
      </c>
      <c r="H35" s="35" t="s">
        <v>1483</v>
      </c>
      <c r="I35" s="28" t="s">
        <v>10</v>
      </c>
      <c r="J35" s="36"/>
      <c r="K35" s="37"/>
      <c r="L35" s="38"/>
    </row>
    <row r="36" spans="2:12" ht="54" customHeight="1" x14ac:dyDescent="0.2">
      <c r="B36" s="144"/>
      <c r="C36" s="144"/>
      <c r="D36" s="182"/>
      <c r="E36" s="182"/>
      <c r="F36" s="23" t="s">
        <v>1484</v>
      </c>
      <c r="G36" s="41" t="s">
        <v>38</v>
      </c>
      <c r="H36" s="35" t="s">
        <v>1485</v>
      </c>
      <c r="I36" s="28" t="s">
        <v>10</v>
      </c>
      <c r="J36" s="36"/>
      <c r="K36" s="37"/>
      <c r="L36" s="38"/>
    </row>
    <row r="37" spans="2:12" ht="54" customHeight="1" x14ac:dyDescent="0.2">
      <c r="B37" s="144"/>
      <c r="C37" s="144"/>
      <c r="D37" s="182"/>
      <c r="E37" s="182"/>
      <c r="F37" s="23" t="s">
        <v>1486</v>
      </c>
      <c r="G37" s="41" t="s">
        <v>36</v>
      </c>
      <c r="H37" s="35" t="s">
        <v>1487</v>
      </c>
      <c r="I37" s="28" t="s">
        <v>10</v>
      </c>
      <c r="J37" s="36"/>
      <c r="K37" s="37"/>
      <c r="L37" s="38"/>
    </row>
    <row r="38" spans="2:12" ht="54" customHeight="1" x14ac:dyDescent="0.2">
      <c r="B38" s="144"/>
      <c r="C38" s="144"/>
      <c r="D38" s="182"/>
      <c r="E38" s="182"/>
      <c r="F38" s="23" t="s">
        <v>1488</v>
      </c>
      <c r="G38" s="41" t="s">
        <v>36</v>
      </c>
      <c r="H38" s="35" t="s">
        <v>1489</v>
      </c>
      <c r="I38" s="28" t="s">
        <v>10</v>
      </c>
      <c r="J38" s="36"/>
      <c r="K38" s="37"/>
      <c r="L38" s="38"/>
    </row>
    <row r="39" spans="2:12" ht="54" customHeight="1" x14ac:dyDescent="0.2">
      <c r="B39" s="144"/>
      <c r="C39" s="144"/>
      <c r="D39" s="182"/>
      <c r="E39" s="182"/>
      <c r="F39" s="23" t="s">
        <v>1490</v>
      </c>
      <c r="G39" s="41" t="s">
        <v>35</v>
      </c>
      <c r="H39" s="35" t="s">
        <v>1491</v>
      </c>
      <c r="I39" s="28" t="s">
        <v>10</v>
      </c>
      <c r="J39" s="36"/>
      <c r="K39" s="37"/>
      <c r="L39" s="38"/>
    </row>
    <row r="40" spans="2:12" ht="54" customHeight="1" x14ac:dyDescent="0.2">
      <c r="B40" s="151" t="s">
        <v>94</v>
      </c>
      <c r="C40" s="151" t="s">
        <v>25</v>
      </c>
      <c r="D40" s="185" t="s">
        <v>635</v>
      </c>
      <c r="E40" s="185" t="s">
        <v>1492</v>
      </c>
      <c r="F40" s="34" t="s">
        <v>1493</v>
      </c>
      <c r="G40" s="12" t="s">
        <v>36</v>
      </c>
      <c r="H40" s="34" t="s">
        <v>1494</v>
      </c>
      <c r="I40" s="28" t="s">
        <v>10</v>
      </c>
      <c r="J40" s="11"/>
      <c r="K40" s="33"/>
      <c r="L40" s="29"/>
    </row>
    <row r="41" spans="2:12" ht="54" customHeight="1" x14ac:dyDescent="0.2">
      <c r="B41" s="152"/>
      <c r="C41" s="152"/>
      <c r="D41" s="186"/>
      <c r="E41" s="186"/>
      <c r="F41" s="34" t="s">
        <v>1495</v>
      </c>
      <c r="G41" s="12" t="s">
        <v>43</v>
      </c>
      <c r="H41" s="34" t="s">
        <v>1496</v>
      </c>
      <c r="I41" s="28" t="s">
        <v>10</v>
      </c>
      <c r="J41" s="11"/>
      <c r="K41" s="33"/>
      <c r="L41" s="29"/>
    </row>
    <row r="42" spans="2:12" ht="54" customHeight="1" x14ac:dyDescent="0.2">
      <c r="B42" s="152"/>
      <c r="C42" s="152"/>
      <c r="D42" s="186"/>
      <c r="E42" s="186"/>
      <c r="F42" s="34" t="s">
        <v>1497</v>
      </c>
      <c r="G42" s="12" t="s">
        <v>39</v>
      </c>
      <c r="H42" s="34" t="s">
        <v>1498</v>
      </c>
      <c r="I42" s="28" t="s">
        <v>10</v>
      </c>
      <c r="J42" s="11"/>
      <c r="K42" s="33"/>
      <c r="L42" s="29"/>
    </row>
    <row r="43" spans="2:12" ht="54" customHeight="1" x14ac:dyDescent="0.2">
      <c r="B43" s="152"/>
      <c r="C43" s="152"/>
      <c r="D43" s="186"/>
      <c r="E43" s="186"/>
      <c r="F43" s="34" t="s">
        <v>1499</v>
      </c>
      <c r="G43" s="12" t="s">
        <v>35</v>
      </c>
      <c r="H43" s="34" t="s">
        <v>1500</v>
      </c>
      <c r="I43" s="28" t="s">
        <v>10</v>
      </c>
      <c r="J43" s="11"/>
      <c r="K43" s="33"/>
      <c r="L43" s="29"/>
    </row>
    <row r="44" spans="2:12" ht="54" customHeight="1" x14ac:dyDescent="0.2">
      <c r="B44" s="152"/>
      <c r="C44" s="152"/>
      <c r="D44" s="186"/>
      <c r="E44" s="186"/>
      <c r="F44" s="34" t="s">
        <v>1501</v>
      </c>
      <c r="G44" s="12" t="s">
        <v>43</v>
      </c>
      <c r="H44" s="34" t="s">
        <v>1502</v>
      </c>
      <c r="I44" s="28" t="s">
        <v>10</v>
      </c>
      <c r="J44" s="11"/>
      <c r="K44" s="33"/>
      <c r="L44" s="29"/>
    </row>
    <row r="45" spans="2:12" ht="54" customHeight="1" x14ac:dyDescent="0.2">
      <c r="B45" s="152"/>
      <c r="C45" s="152"/>
      <c r="D45" s="186"/>
      <c r="E45" s="186"/>
      <c r="F45" s="34" t="s">
        <v>1503</v>
      </c>
      <c r="G45" s="12" t="s">
        <v>35</v>
      </c>
      <c r="H45" s="34" t="s">
        <v>1504</v>
      </c>
      <c r="I45" s="28" t="s">
        <v>10</v>
      </c>
      <c r="J45" s="11"/>
      <c r="K45" s="33"/>
      <c r="L45" s="29"/>
    </row>
    <row r="46" spans="2:12" ht="5.25" customHeight="1" x14ac:dyDescent="0.2"/>
    <row r="47" spans="2:12" ht="31" customHeight="1" x14ac:dyDescent="0.2">
      <c r="B47" s="69" t="s">
        <v>34</v>
      </c>
      <c r="C47" s="69" t="s">
        <v>258</v>
      </c>
      <c r="D47" s="69" t="s">
        <v>259</v>
      </c>
      <c r="E47" s="169" t="s">
        <v>32</v>
      </c>
      <c r="F47" s="170"/>
      <c r="G47" s="169" t="s">
        <v>16</v>
      </c>
      <c r="H47" s="170"/>
      <c r="I47" s="71" t="s">
        <v>8</v>
      </c>
      <c r="J47" s="69" t="s">
        <v>17</v>
      </c>
      <c r="K47" s="72" t="s">
        <v>44</v>
      </c>
      <c r="L47" s="69" t="s">
        <v>45</v>
      </c>
    </row>
    <row r="48" spans="2:12" ht="79.75" customHeight="1" x14ac:dyDescent="0.2">
      <c r="B48" s="151" t="s">
        <v>94</v>
      </c>
      <c r="C48" s="151" t="s">
        <v>260</v>
      </c>
      <c r="D48" s="177" t="s">
        <v>1505</v>
      </c>
      <c r="E48" s="129" t="s">
        <v>1506</v>
      </c>
      <c r="F48" s="130"/>
      <c r="G48" s="127" t="s">
        <v>2317</v>
      </c>
      <c r="H48" s="128"/>
      <c r="I48" s="28" t="s">
        <v>10</v>
      </c>
      <c r="J48" s="11"/>
      <c r="K48" s="33"/>
      <c r="L48" s="29"/>
    </row>
    <row r="49" spans="2:12" ht="79.75" customHeight="1" x14ac:dyDescent="0.2">
      <c r="B49" s="152"/>
      <c r="C49" s="152"/>
      <c r="D49" s="178"/>
      <c r="E49" s="131"/>
      <c r="F49" s="132"/>
      <c r="G49" s="127" t="s">
        <v>1507</v>
      </c>
      <c r="H49" s="128"/>
      <c r="I49" s="28" t="s">
        <v>10</v>
      </c>
      <c r="J49" s="11"/>
      <c r="K49" s="33"/>
      <c r="L49" s="29"/>
    </row>
    <row r="50" spans="2:12" ht="79.75" customHeight="1" x14ac:dyDescent="0.2">
      <c r="B50" s="173"/>
      <c r="C50" s="173"/>
      <c r="D50" s="179"/>
      <c r="E50" s="133"/>
      <c r="F50" s="134"/>
      <c r="G50" s="127" t="s">
        <v>1508</v>
      </c>
      <c r="H50" s="128"/>
      <c r="I50" s="28" t="s">
        <v>10</v>
      </c>
      <c r="J50" s="11"/>
      <c r="K50" s="33"/>
      <c r="L50" s="29"/>
    </row>
    <row r="51" spans="2:12" ht="83.5" customHeight="1" x14ac:dyDescent="0.2">
      <c r="B51" s="143" t="s">
        <v>94</v>
      </c>
      <c r="C51" s="143" t="s">
        <v>261</v>
      </c>
      <c r="D51" s="181" t="s">
        <v>1509</v>
      </c>
      <c r="E51" s="135" t="s">
        <v>1510</v>
      </c>
      <c r="F51" s="136"/>
      <c r="G51" s="141" t="s">
        <v>1511</v>
      </c>
      <c r="H51" s="142"/>
      <c r="I51" s="28" t="s">
        <v>10</v>
      </c>
      <c r="J51" s="36"/>
      <c r="K51" s="37"/>
      <c r="L51" s="38"/>
    </row>
    <row r="52" spans="2:12" ht="83.5" customHeight="1" x14ac:dyDescent="0.2">
      <c r="B52" s="144"/>
      <c r="C52" s="144"/>
      <c r="D52" s="182"/>
      <c r="E52" s="137"/>
      <c r="F52" s="138"/>
      <c r="G52" s="141" t="s">
        <v>1512</v>
      </c>
      <c r="H52" s="142"/>
      <c r="I52" s="28" t="s">
        <v>10</v>
      </c>
      <c r="J52" s="36"/>
      <c r="K52" s="37"/>
      <c r="L52" s="38"/>
    </row>
    <row r="53" spans="2:12" ht="83.5" customHeight="1" x14ac:dyDescent="0.2">
      <c r="B53" s="144"/>
      <c r="C53" s="144"/>
      <c r="D53" s="182"/>
      <c r="E53" s="139"/>
      <c r="F53" s="140"/>
      <c r="G53" s="141" t="s">
        <v>1513</v>
      </c>
      <c r="H53" s="142"/>
      <c r="I53" s="28" t="s">
        <v>10</v>
      </c>
      <c r="J53" s="36"/>
      <c r="K53" s="37"/>
      <c r="L53" s="38"/>
    </row>
    <row r="54" spans="2:12" ht="79.75" customHeight="1" x14ac:dyDescent="0.2">
      <c r="B54" s="151" t="s">
        <v>94</v>
      </c>
      <c r="C54" s="151" t="s">
        <v>262</v>
      </c>
      <c r="D54" s="177" t="s">
        <v>1514</v>
      </c>
      <c r="E54" s="129" t="s">
        <v>1515</v>
      </c>
      <c r="F54" s="130"/>
      <c r="G54" s="127" t="s">
        <v>2318</v>
      </c>
      <c r="H54" s="128"/>
      <c r="I54" s="28" t="s">
        <v>10</v>
      </c>
      <c r="J54" s="11"/>
      <c r="K54" s="33"/>
      <c r="L54" s="29"/>
    </row>
    <row r="55" spans="2:12" ht="79.75" customHeight="1" x14ac:dyDescent="0.2">
      <c r="B55" s="152"/>
      <c r="C55" s="152"/>
      <c r="D55" s="178"/>
      <c r="E55" s="131"/>
      <c r="F55" s="132"/>
      <c r="G55" s="127" t="s">
        <v>1516</v>
      </c>
      <c r="H55" s="128"/>
      <c r="I55" s="28" t="s">
        <v>10</v>
      </c>
      <c r="J55" s="11"/>
      <c r="K55" s="33"/>
      <c r="L55" s="29"/>
    </row>
    <row r="56" spans="2:12" ht="79.75" customHeight="1" x14ac:dyDescent="0.2">
      <c r="B56" s="173"/>
      <c r="C56" s="173"/>
      <c r="D56" s="179"/>
      <c r="E56" s="133"/>
      <c r="F56" s="134"/>
      <c r="G56" s="127" t="s">
        <v>1517</v>
      </c>
      <c r="H56" s="128"/>
      <c r="I56" s="28" t="s">
        <v>10</v>
      </c>
      <c r="J56" s="11"/>
      <c r="K56" s="33"/>
      <c r="L56" s="29"/>
    </row>
    <row r="57" spans="2:12" ht="83.5" customHeight="1" x14ac:dyDescent="0.2">
      <c r="B57" s="143" t="s">
        <v>94</v>
      </c>
      <c r="C57" s="143" t="s">
        <v>263</v>
      </c>
      <c r="D57" s="181" t="s">
        <v>1518</v>
      </c>
      <c r="E57" s="135" t="s">
        <v>1519</v>
      </c>
      <c r="F57" s="136"/>
      <c r="G57" s="141" t="s">
        <v>1520</v>
      </c>
      <c r="H57" s="142"/>
      <c r="I57" s="28" t="s">
        <v>10</v>
      </c>
      <c r="J57" s="36"/>
      <c r="K57" s="37"/>
      <c r="L57" s="38"/>
    </row>
    <row r="58" spans="2:12" ht="83.5" customHeight="1" x14ac:dyDescent="0.2">
      <c r="B58" s="144"/>
      <c r="C58" s="144"/>
      <c r="D58" s="182"/>
      <c r="E58" s="137"/>
      <c r="F58" s="138"/>
      <c r="G58" s="141" t="s">
        <v>2319</v>
      </c>
      <c r="H58" s="142"/>
      <c r="I58" s="28" t="s">
        <v>10</v>
      </c>
      <c r="J58" s="36"/>
      <c r="K58" s="37"/>
      <c r="L58" s="38"/>
    </row>
    <row r="59" spans="2:12" ht="83.5" customHeight="1" x14ac:dyDescent="0.2">
      <c r="B59" s="144"/>
      <c r="C59" s="144"/>
      <c r="D59" s="182"/>
      <c r="E59" s="139"/>
      <c r="F59" s="140"/>
      <c r="G59" s="141" t="s">
        <v>2320</v>
      </c>
      <c r="H59" s="142"/>
      <c r="I59" s="28" t="s">
        <v>10</v>
      </c>
      <c r="J59" s="36"/>
      <c r="K59" s="37"/>
      <c r="L59" s="38"/>
    </row>
    <row r="213" spans="1:13" s="4" customFormat="1" x14ac:dyDescent="0.2">
      <c r="A213" s="1"/>
      <c r="B213" s="2"/>
      <c r="C213" s="3"/>
      <c r="D213" s="3"/>
      <c r="E213" s="3"/>
      <c r="G213" s="3"/>
      <c r="I213" s="6"/>
      <c r="J213" s="1"/>
      <c r="K213" s="30"/>
      <c r="L213" s="1"/>
      <c r="M213" s="1"/>
    </row>
    <row r="214" spans="1:13" s="4" customFormat="1" x14ac:dyDescent="0.2">
      <c r="A214" s="1"/>
      <c r="B214" s="2"/>
      <c r="C214" s="3"/>
      <c r="D214" s="3"/>
      <c r="E214" s="3"/>
      <c r="G214" s="79"/>
      <c r="I214" s="6"/>
      <c r="J214" s="1"/>
      <c r="K214" s="30"/>
      <c r="L214" s="1"/>
      <c r="M214" s="1"/>
    </row>
    <row r="215" spans="1:13" s="4" customFormat="1" x14ac:dyDescent="0.2">
      <c r="A215" s="1"/>
      <c r="B215" s="2"/>
      <c r="C215" s="3"/>
      <c r="D215" s="3"/>
      <c r="E215" s="3"/>
      <c r="G215" s="80"/>
      <c r="I215" s="6"/>
      <c r="J215" s="1"/>
      <c r="K215" s="30"/>
      <c r="L215" s="1"/>
      <c r="M215" s="1"/>
    </row>
    <row r="216" spans="1:13" s="4" customFormat="1" x14ac:dyDescent="0.2">
      <c r="A216" s="1"/>
      <c r="B216" s="2"/>
      <c r="C216" s="3"/>
      <c r="D216" s="3"/>
      <c r="E216" s="3"/>
      <c r="G216" s="81"/>
      <c r="I216" s="6"/>
      <c r="J216" s="1"/>
      <c r="K216" s="30"/>
      <c r="L216" s="1"/>
      <c r="M216" s="1"/>
    </row>
    <row r="217" spans="1:13" s="4" customFormat="1" x14ac:dyDescent="0.2">
      <c r="A217" s="1"/>
      <c r="B217" s="2"/>
      <c r="C217" s="3"/>
      <c r="D217" s="3"/>
      <c r="E217" s="3"/>
      <c r="G217" s="82"/>
      <c r="I217" s="6"/>
      <c r="J217" s="1"/>
      <c r="K217" s="30"/>
      <c r="L217" s="1"/>
      <c r="M217" s="1"/>
    </row>
    <row r="218" spans="1:13" s="4" customFormat="1" x14ac:dyDescent="0.2">
      <c r="A218" s="1"/>
      <c r="B218" s="2"/>
      <c r="C218" s="3"/>
      <c r="D218" s="3"/>
      <c r="E218" s="3"/>
      <c r="G218" s="79"/>
      <c r="I218" s="6"/>
      <c r="J218" s="1"/>
      <c r="K218" s="30"/>
      <c r="L218" s="1"/>
      <c r="M218" s="1"/>
    </row>
    <row r="222" spans="1:13" s="4" customFormat="1" x14ac:dyDescent="0.2">
      <c r="A222" s="1"/>
      <c r="B222" s="2"/>
      <c r="C222" s="3"/>
      <c r="D222" s="3"/>
      <c r="E222" s="3"/>
      <c r="G222" s="83"/>
      <c r="I222" s="6"/>
      <c r="J222" s="1"/>
      <c r="K222" s="30"/>
      <c r="L222" s="1"/>
      <c r="M222" s="1"/>
    </row>
    <row r="223" spans="1:13" s="4" customFormat="1" x14ac:dyDescent="0.2">
      <c r="A223" s="1"/>
      <c r="B223" s="2"/>
      <c r="C223" s="3"/>
      <c r="D223" s="3"/>
      <c r="E223" s="3"/>
      <c r="G223" s="84"/>
      <c r="I223" s="6"/>
      <c r="J223" s="1"/>
      <c r="K223" s="30"/>
      <c r="L223" s="1"/>
      <c r="M223" s="1"/>
    </row>
    <row r="224" spans="1:13" s="4" customFormat="1" x14ac:dyDescent="0.2">
      <c r="A224" s="1"/>
      <c r="B224" s="2"/>
      <c r="C224" s="3"/>
      <c r="D224" s="3"/>
      <c r="E224" s="3"/>
      <c r="G224" s="81"/>
      <c r="I224" s="6"/>
      <c r="J224" s="1"/>
      <c r="K224" s="30"/>
      <c r="L224" s="1"/>
      <c r="M224" s="1"/>
    </row>
    <row r="225" spans="1:13" s="4" customFormat="1" x14ac:dyDescent="0.2">
      <c r="A225" s="1"/>
      <c r="B225" s="2"/>
      <c r="C225" s="3"/>
      <c r="D225" s="3"/>
      <c r="E225" s="3"/>
      <c r="G225" s="81"/>
      <c r="I225" s="6"/>
      <c r="J225" s="1"/>
      <c r="K225" s="30"/>
      <c r="L225" s="1"/>
      <c r="M225" s="1"/>
    </row>
    <row r="226" spans="1:13" s="4" customFormat="1" x14ac:dyDescent="0.2">
      <c r="A226" s="1"/>
      <c r="B226" s="2"/>
      <c r="C226" s="3"/>
      <c r="D226" s="3"/>
      <c r="E226" s="3"/>
      <c r="G226" s="79"/>
      <c r="I226" s="6"/>
      <c r="J226" s="1"/>
      <c r="K226" s="30"/>
      <c r="L226" s="1"/>
      <c r="M226" s="1"/>
    </row>
    <row r="230" spans="1:13" s="4" customFormat="1" x14ac:dyDescent="0.2">
      <c r="A230" s="1"/>
      <c r="B230" s="2"/>
      <c r="C230" s="3"/>
      <c r="D230" s="3"/>
      <c r="E230" s="3"/>
      <c r="G230" s="83"/>
      <c r="I230" s="6"/>
      <c r="J230" s="1"/>
      <c r="K230" s="30"/>
      <c r="L230" s="1"/>
      <c r="M230" s="1"/>
    </row>
    <row r="231" spans="1:13" s="4" customFormat="1" x14ac:dyDescent="0.2">
      <c r="A231" s="1"/>
      <c r="B231" s="2"/>
      <c r="C231" s="3"/>
      <c r="D231" s="3"/>
      <c r="E231" s="3"/>
      <c r="G231" s="84"/>
      <c r="I231" s="6"/>
      <c r="J231" s="1"/>
      <c r="K231" s="30"/>
      <c r="L231" s="1"/>
      <c r="M231" s="1"/>
    </row>
    <row r="232" spans="1:13" s="4" customFormat="1" x14ac:dyDescent="0.2">
      <c r="A232" s="1"/>
      <c r="B232" s="2"/>
      <c r="C232" s="3"/>
      <c r="D232" s="3"/>
      <c r="E232" s="3"/>
      <c r="G232" s="81"/>
      <c r="I232" s="6"/>
      <c r="J232" s="1"/>
      <c r="K232" s="30"/>
      <c r="L232" s="1"/>
      <c r="M232" s="1"/>
    </row>
    <row r="233" spans="1:13" s="4" customFormat="1" x14ac:dyDescent="0.2">
      <c r="A233" s="1"/>
      <c r="B233" s="2"/>
      <c r="C233" s="3"/>
      <c r="D233" s="3"/>
      <c r="E233" s="3"/>
      <c r="G233" s="81"/>
      <c r="I233" s="6"/>
      <c r="J233" s="1"/>
      <c r="K233" s="30"/>
      <c r="L233" s="1"/>
      <c r="M233" s="1"/>
    </row>
    <row r="234" spans="1:13" s="4" customFormat="1" x14ac:dyDescent="0.2">
      <c r="A234" s="1"/>
      <c r="B234" s="2"/>
      <c r="C234" s="3"/>
      <c r="D234" s="3"/>
      <c r="E234" s="3"/>
      <c r="G234" s="83"/>
      <c r="I234" s="6"/>
      <c r="J234" s="1"/>
      <c r="K234" s="30"/>
      <c r="L234" s="1"/>
      <c r="M234" s="1"/>
    </row>
    <row r="235" spans="1:13" s="4" customFormat="1" x14ac:dyDescent="0.2">
      <c r="A235" s="1"/>
      <c r="B235" s="2"/>
      <c r="C235" s="3"/>
      <c r="D235" s="3"/>
      <c r="E235" s="3"/>
      <c r="G235" s="85"/>
      <c r="I235" s="6"/>
      <c r="J235" s="1"/>
      <c r="K235" s="30"/>
      <c r="L235" s="1"/>
      <c r="M235" s="1"/>
    </row>
    <row r="236" spans="1:13" s="4" customFormat="1" x14ac:dyDescent="0.2">
      <c r="A236" s="1"/>
      <c r="B236" s="2"/>
      <c r="C236" s="3"/>
      <c r="D236" s="3"/>
      <c r="E236" s="3"/>
      <c r="G236" s="86"/>
      <c r="I236" s="6"/>
      <c r="J236" s="1"/>
      <c r="K236" s="30"/>
      <c r="L236" s="1"/>
      <c r="M236" s="1"/>
    </row>
  </sheetData>
  <mergeCells count="57">
    <mergeCell ref="G54:H54"/>
    <mergeCell ref="G55:H55"/>
    <mergeCell ref="G56:H56"/>
    <mergeCell ref="E57:F59"/>
    <mergeCell ref="G57:H57"/>
    <mergeCell ref="G58:H58"/>
    <mergeCell ref="G59:H59"/>
    <mergeCell ref="G48:H48"/>
    <mergeCell ref="G49:H49"/>
    <mergeCell ref="G50:H50"/>
    <mergeCell ref="E51:F53"/>
    <mergeCell ref="G51:H51"/>
    <mergeCell ref="G52:H52"/>
    <mergeCell ref="G53:H53"/>
    <mergeCell ref="B54:B56"/>
    <mergeCell ref="C54:C56"/>
    <mergeCell ref="D54:D56"/>
    <mergeCell ref="E54:F56"/>
    <mergeCell ref="B57:B59"/>
    <mergeCell ref="C57:C59"/>
    <mergeCell ref="D57:D59"/>
    <mergeCell ref="B48:B50"/>
    <mergeCell ref="C48:C50"/>
    <mergeCell ref="D48:D50"/>
    <mergeCell ref="E48:F50"/>
    <mergeCell ref="B51:B53"/>
    <mergeCell ref="C51:C53"/>
    <mergeCell ref="D51:D53"/>
    <mergeCell ref="G47:H47"/>
    <mergeCell ref="B28:B33"/>
    <mergeCell ref="C28:C33"/>
    <mergeCell ref="D28:D33"/>
    <mergeCell ref="E28:E33"/>
    <mergeCell ref="B34:B39"/>
    <mergeCell ref="C34:C39"/>
    <mergeCell ref="D34:D39"/>
    <mergeCell ref="E34:E39"/>
    <mergeCell ref="B40:B45"/>
    <mergeCell ref="C40:C45"/>
    <mergeCell ref="D40:D45"/>
    <mergeCell ref="E40:E45"/>
    <mergeCell ref="E47:F47"/>
    <mergeCell ref="B21:B27"/>
    <mergeCell ref="C21:C27"/>
    <mergeCell ref="D21:D27"/>
    <mergeCell ref="E21:E27"/>
    <mergeCell ref="B2:J2"/>
    <mergeCell ref="B4:J4"/>
    <mergeCell ref="B6:H8"/>
    <mergeCell ref="I6:J6"/>
    <mergeCell ref="I7:J8"/>
    <mergeCell ref="C10:J10"/>
    <mergeCell ref="C11:J11"/>
    <mergeCell ref="B14:B20"/>
    <mergeCell ref="C14:C20"/>
    <mergeCell ref="D14:D20"/>
    <mergeCell ref="E14:E20"/>
  </mergeCells>
  <conditionalFormatting sqref="I1 I60:I1048576">
    <cfRule type="cellIs" dxfId="261" priority="18" operator="equal">
      <formula>1</formula>
    </cfRule>
  </conditionalFormatting>
  <conditionalFormatting sqref="I7">
    <cfRule type="cellIs" dxfId="260" priority="17" operator="equal">
      <formula>1</formula>
    </cfRule>
  </conditionalFormatting>
  <conditionalFormatting sqref="I14:I45">
    <cfRule type="expression" dxfId="103" priority="5" stopIfTrue="1">
      <formula>TRIM(UPPER(I14))="N/A"</formula>
    </cfRule>
    <cfRule type="expression" dxfId="102" priority="6">
      <formula>I14&gt;=0.9</formula>
    </cfRule>
    <cfRule type="expression" dxfId="101" priority="7">
      <formula>AND(I14&gt;=0.8, I14&lt;0.9)</formula>
    </cfRule>
    <cfRule type="expression" dxfId="100" priority="8">
      <formula>I14&lt;0.8</formula>
    </cfRule>
  </conditionalFormatting>
  <conditionalFormatting sqref="I48:I59">
    <cfRule type="expression" dxfId="99" priority="1" stopIfTrue="1">
      <formula>TRIM(UPPER(I48))="N/A"</formula>
    </cfRule>
    <cfRule type="expression" dxfId="98" priority="2">
      <formula>I48&gt;=0.9</formula>
    </cfRule>
    <cfRule type="expression" dxfId="97" priority="3">
      <formula>AND(I48&gt;=0.8, I48&lt;0.9)</formula>
    </cfRule>
    <cfRule type="expression" dxfId="96" priority="4">
      <formula>I48&lt;0.8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FD00F56-E069-764B-92D5-C354603D040E}">
          <x14:formula1>
            <xm:f>'Listas desplegables'!$C$4:$C$15</xm:f>
          </x14:formula1>
          <xm:sqref>I14:I45 I48:I59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38E47-85D2-1741-B999-B4804E344A1B}">
  <sheetPr>
    <tabColor rgb="FF0993A5"/>
  </sheetPr>
  <dimension ref="A1:M230"/>
  <sheetViews>
    <sheetView zoomScale="75" zoomScaleNormal="75" workbookViewId="0">
      <selection activeCell="J59" sqref="J59"/>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94" t="s">
        <v>1521</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AVERAGEIF(I14:I40,"&lt;&gt;N/A")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122" customHeight="1" x14ac:dyDescent="0.2">
      <c r="B10" s="40" t="s">
        <v>13</v>
      </c>
      <c r="C10" s="147" t="s">
        <v>1522</v>
      </c>
      <c r="D10" s="148"/>
      <c r="E10" s="148"/>
      <c r="F10" s="148"/>
      <c r="G10" s="148"/>
      <c r="H10" s="148"/>
      <c r="I10" s="148"/>
      <c r="J10" s="149"/>
    </row>
    <row r="11" spans="2:12" ht="65" customHeight="1" x14ac:dyDescent="0.2">
      <c r="B11" s="39" t="s">
        <v>14</v>
      </c>
      <c r="C11" s="150" t="s">
        <v>1523</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54" customHeight="1" x14ac:dyDescent="0.2">
      <c r="B14" s="151" t="s">
        <v>96</v>
      </c>
      <c r="C14" s="151" t="s">
        <v>19</v>
      </c>
      <c r="D14" s="153" t="s">
        <v>1524</v>
      </c>
      <c r="E14" s="177" t="s">
        <v>1525</v>
      </c>
      <c r="F14" s="78" t="s">
        <v>1526</v>
      </c>
      <c r="G14" s="12" t="s">
        <v>43</v>
      </c>
      <c r="H14" s="34" t="s">
        <v>1527</v>
      </c>
      <c r="I14" s="28" t="s">
        <v>10</v>
      </c>
      <c r="J14" s="11"/>
      <c r="K14" s="33"/>
      <c r="L14" s="29"/>
    </row>
    <row r="15" spans="2:12" ht="54" customHeight="1" x14ac:dyDescent="0.2">
      <c r="B15" s="152"/>
      <c r="C15" s="152"/>
      <c r="D15" s="154"/>
      <c r="E15" s="178"/>
      <c r="F15" s="78" t="s">
        <v>1528</v>
      </c>
      <c r="G15" s="12" t="s">
        <v>39</v>
      </c>
      <c r="H15" s="34" t="s">
        <v>1529</v>
      </c>
      <c r="I15" s="28" t="s">
        <v>10</v>
      </c>
      <c r="J15" s="11"/>
      <c r="K15" s="33"/>
      <c r="L15" s="29"/>
    </row>
    <row r="16" spans="2:12" ht="54" customHeight="1" x14ac:dyDescent="0.2">
      <c r="B16" s="152"/>
      <c r="C16" s="152"/>
      <c r="D16" s="154"/>
      <c r="E16" s="178"/>
      <c r="F16" s="78" t="s">
        <v>1530</v>
      </c>
      <c r="G16" s="12" t="s">
        <v>39</v>
      </c>
      <c r="H16" s="34" t="s">
        <v>1531</v>
      </c>
      <c r="I16" s="28" t="s">
        <v>10</v>
      </c>
      <c r="J16" s="11"/>
      <c r="K16" s="33"/>
      <c r="L16" s="29"/>
    </row>
    <row r="17" spans="2:12" ht="54" customHeight="1" x14ac:dyDescent="0.2">
      <c r="B17" s="152"/>
      <c r="C17" s="152"/>
      <c r="D17" s="154"/>
      <c r="E17" s="178"/>
      <c r="F17" s="78" t="s">
        <v>1532</v>
      </c>
      <c r="G17" s="12" t="s">
        <v>39</v>
      </c>
      <c r="H17" s="34" t="s">
        <v>1533</v>
      </c>
      <c r="I17" s="28" t="s">
        <v>10</v>
      </c>
      <c r="J17" s="11"/>
      <c r="K17" s="33"/>
      <c r="L17" s="29"/>
    </row>
    <row r="18" spans="2:12" ht="54" customHeight="1" x14ac:dyDescent="0.2">
      <c r="B18" s="152"/>
      <c r="C18" s="152"/>
      <c r="D18" s="154"/>
      <c r="E18" s="178"/>
      <c r="F18" s="78" t="s">
        <v>1534</v>
      </c>
      <c r="G18" s="12" t="s">
        <v>39</v>
      </c>
      <c r="H18" s="34" t="s">
        <v>1535</v>
      </c>
      <c r="I18" s="28" t="s">
        <v>10</v>
      </c>
      <c r="J18" s="11"/>
      <c r="K18" s="33"/>
      <c r="L18" s="29"/>
    </row>
    <row r="19" spans="2:12" ht="54" customHeight="1" x14ac:dyDescent="0.2">
      <c r="B19" s="152"/>
      <c r="C19" s="152"/>
      <c r="D19" s="154"/>
      <c r="E19" s="178"/>
      <c r="F19" s="78" t="s">
        <v>1536</v>
      </c>
      <c r="G19" s="12" t="s">
        <v>36</v>
      </c>
      <c r="H19" s="34" t="s">
        <v>1537</v>
      </c>
      <c r="I19" s="28" t="s">
        <v>10</v>
      </c>
      <c r="J19" s="11"/>
      <c r="K19" s="33"/>
      <c r="L19" s="29"/>
    </row>
    <row r="20" spans="2:12" ht="54" customHeight="1" x14ac:dyDescent="0.2">
      <c r="B20" s="143" t="s">
        <v>96</v>
      </c>
      <c r="C20" s="143" t="s">
        <v>20</v>
      </c>
      <c r="D20" s="145" t="s">
        <v>1538</v>
      </c>
      <c r="E20" s="181" t="s">
        <v>1539</v>
      </c>
      <c r="F20" s="23" t="s">
        <v>1540</v>
      </c>
      <c r="G20" s="41" t="s">
        <v>36</v>
      </c>
      <c r="H20" s="35" t="s">
        <v>1541</v>
      </c>
      <c r="I20" s="28" t="s">
        <v>10</v>
      </c>
      <c r="J20" s="36"/>
      <c r="K20" s="37"/>
      <c r="L20" s="38"/>
    </row>
    <row r="21" spans="2:12" ht="54" customHeight="1" x14ac:dyDescent="0.2">
      <c r="B21" s="144"/>
      <c r="C21" s="144"/>
      <c r="D21" s="146"/>
      <c r="E21" s="182"/>
      <c r="F21" s="35" t="s">
        <v>1542</v>
      </c>
      <c r="G21" s="41" t="s">
        <v>36</v>
      </c>
      <c r="H21" s="35" t="s">
        <v>1543</v>
      </c>
      <c r="I21" s="28" t="s">
        <v>10</v>
      </c>
      <c r="J21" s="36"/>
      <c r="K21" s="37"/>
      <c r="L21" s="38"/>
    </row>
    <row r="22" spans="2:12" ht="54" customHeight="1" x14ac:dyDescent="0.2">
      <c r="B22" s="144"/>
      <c r="C22" s="144"/>
      <c r="D22" s="146"/>
      <c r="E22" s="182"/>
      <c r="F22" s="23" t="s">
        <v>1544</v>
      </c>
      <c r="G22" s="41" t="s">
        <v>39</v>
      </c>
      <c r="H22" s="35" t="s">
        <v>1545</v>
      </c>
      <c r="I22" s="28" t="s">
        <v>10</v>
      </c>
      <c r="J22" s="36"/>
      <c r="K22" s="37"/>
      <c r="L22" s="38"/>
    </row>
    <row r="23" spans="2:12" ht="54" customHeight="1" x14ac:dyDescent="0.2">
      <c r="B23" s="144"/>
      <c r="C23" s="144"/>
      <c r="D23" s="146"/>
      <c r="E23" s="182"/>
      <c r="F23" s="23" t="s">
        <v>1546</v>
      </c>
      <c r="G23" s="41" t="s">
        <v>39</v>
      </c>
      <c r="H23" s="35" t="s">
        <v>1547</v>
      </c>
      <c r="I23" s="28" t="s">
        <v>10</v>
      </c>
      <c r="J23" s="36"/>
      <c r="K23" s="37"/>
      <c r="L23" s="38"/>
    </row>
    <row r="24" spans="2:12" ht="54" customHeight="1" x14ac:dyDescent="0.2">
      <c r="B24" s="144"/>
      <c r="C24" s="144"/>
      <c r="D24" s="146"/>
      <c r="E24" s="182"/>
      <c r="F24" s="23" t="s">
        <v>1548</v>
      </c>
      <c r="G24" s="41" t="s">
        <v>43</v>
      </c>
      <c r="H24" s="35" t="s">
        <v>1549</v>
      </c>
      <c r="I24" s="28" t="s">
        <v>10</v>
      </c>
      <c r="J24" s="36"/>
      <c r="K24" s="37"/>
      <c r="L24" s="38"/>
    </row>
    <row r="25" spans="2:12" ht="54" customHeight="1" x14ac:dyDescent="0.2">
      <c r="B25" s="151" t="s">
        <v>96</v>
      </c>
      <c r="C25" s="151" t="s">
        <v>23</v>
      </c>
      <c r="D25" s="177" t="s">
        <v>1550</v>
      </c>
      <c r="E25" s="177" t="s">
        <v>1551</v>
      </c>
      <c r="F25" s="22" t="s">
        <v>1552</v>
      </c>
      <c r="G25" s="12" t="s">
        <v>36</v>
      </c>
      <c r="H25" s="34" t="s">
        <v>1553</v>
      </c>
      <c r="I25" s="28" t="s">
        <v>10</v>
      </c>
      <c r="J25" s="11"/>
      <c r="K25" s="33"/>
      <c r="L25" s="29"/>
    </row>
    <row r="26" spans="2:12" ht="54" customHeight="1" x14ac:dyDescent="0.2">
      <c r="B26" s="152"/>
      <c r="C26" s="152"/>
      <c r="D26" s="178"/>
      <c r="E26" s="178"/>
      <c r="F26" s="22" t="s">
        <v>1554</v>
      </c>
      <c r="G26" s="12" t="s">
        <v>43</v>
      </c>
      <c r="H26" s="34" t="s">
        <v>1555</v>
      </c>
      <c r="I26" s="28" t="s">
        <v>10</v>
      </c>
      <c r="J26" s="11"/>
      <c r="K26" s="33"/>
      <c r="L26" s="29"/>
    </row>
    <row r="27" spans="2:12" ht="54" customHeight="1" x14ac:dyDescent="0.2">
      <c r="B27" s="152"/>
      <c r="C27" s="152"/>
      <c r="D27" s="178"/>
      <c r="E27" s="178"/>
      <c r="F27" s="22" t="s">
        <v>1556</v>
      </c>
      <c r="G27" s="12" t="s">
        <v>39</v>
      </c>
      <c r="H27" s="34" t="s">
        <v>1557</v>
      </c>
      <c r="I27" s="28" t="s">
        <v>10</v>
      </c>
      <c r="J27" s="11"/>
      <c r="K27" s="33"/>
      <c r="L27" s="29"/>
    </row>
    <row r="28" spans="2:12" ht="54" customHeight="1" x14ac:dyDescent="0.2">
      <c r="B28" s="152"/>
      <c r="C28" s="152"/>
      <c r="D28" s="178"/>
      <c r="E28" s="178"/>
      <c r="F28" s="22" t="s">
        <v>1558</v>
      </c>
      <c r="G28" s="12" t="s">
        <v>35</v>
      </c>
      <c r="H28" s="34" t="s">
        <v>1559</v>
      </c>
      <c r="I28" s="28" t="s">
        <v>10</v>
      </c>
      <c r="J28" s="11"/>
      <c r="K28" s="33"/>
      <c r="L28" s="29"/>
    </row>
    <row r="29" spans="2:12" ht="54" customHeight="1" x14ac:dyDescent="0.2">
      <c r="B29" s="152"/>
      <c r="C29" s="152"/>
      <c r="D29" s="178"/>
      <c r="E29" s="178"/>
      <c r="F29" s="22" t="s">
        <v>1560</v>
      </c>
      <c r="G29" s="12" t="s">
        <v>39</v>
      </c>
      <c r="H29" s="34" t="s">
        <v>1561</v>
      </c>
      <c r="I29" s="28" t="s">
        <v>10</v>
      </c>
      <c r="J29" s="11"/>
      <c r="K29" s="33"/>
      <c r="L29" s="29"/>
    </row>
    <row r="30" spans="2:12" ht="54" customHeight="1" x14ac:dyDescent="0.2">
      <c r="B30" s="143" t="s">
        <v>96</v>
      </c>
      <c r="C30" s="143" t="s">
        <v>24</v>
      </c>
      <c r="D30" s="181" t="s">
        <v>1562</v>
      </c>
      <c r="E30" s="181" t="s">
        <v>1563</v>
      </c>
      <c r="F30" s="23" t="s">
        <v>1564</v>
      </c>
      <c r="G30" s="41" t="s">
        <v>36</v>
      </c>
      <c r="H30" s="35" t="s">
        <v>1565</v>
      </c>
      <c r="I30" s="28" t="s">
        <v>10</v>
      </c>
      <c r="J30" s="36"/>
      <c r="K30" s="37"/>
      <c r="L30" s="38"/>
    </row>
    <row r="31" spans="2:12" ht="54" customHeight="1" x14ac:dyDescent="0.2">
      <c r="B31" s="144"/>
      <c r="C31" s="144"/>
      <c r="D31" s="182"/>
      <c r="E31" s="182"/>
      <c r="F31" s="23" t="s">
        <v>1566</v>
      </c>
      <c r="G31" s="41" t="s">
        <v>43</v>
      </c>
      <c r="H31" s="35" t="s">
        <v>1567</v>
      </c>
      <c r="I31" s="28" t="s">
        <v>10</v>
      </c>
      <c r="J31" s="36"/>
      <c r="K31" s="37"/>
      <c r="L31" s="38"/>
    </row>
    <row r="32" spans="2:12" ht="54" customHeight="1" x14ac:dyDescent="0.2">
      <c r="B32" s="144"/>
      <c r="C32" s="144"/>
      <c r="D32" s="182"/>
      <c r="E32" s="182"/>
      <c r="F32" s="23" t="s">
        <v>1568</v>
      </c>
      <c r="G32" s="41" t="s">
        <v>35</v>
      </c>
      <c r="H32" s="35" t="s">
        <v>1569</v>
      </c>
      <c r="I32" s="28" t="s">
        <v>10</v>
      </c>
      <c r="J32" s="36"/>
      <c r="K32" s="37"/>
      <c r="L32" s="38"/>
    </row>
    <row r="33" spans="2:12" ht="54" customHeight="1" x14ac:dyDescent="0.2">
      <c r="B33" s="144"/>
      <c r="C33" s="144"/>
      <c r="D33" s="182"/>
      <c r="E33" s="182"/>
      <c r="F33" s="23" t="s">
        <v>1570</v>
      </c>
      <c r="G33" s="41" t="s">
        <v>39</v>
      </c>
      <c r="H33" s="35" t="s">
        <v>1571</v>
      </c>
      <c r="I33" s="28" t="s">
        <v>10</v>
      </c>
      <c r="J33" s="36"/>
      <c r="K33" s="37"/>
      <c r="L33" s="38"/>
    </row>
    <row r="34" spans="2:12" ht="54" customHeight="1" x14ac:dyDescent="0.2">
      <c r="B34" s="144"/>
      <c r="C34" s="144"/>
      <c r="D34" s="182"/>
      <c r="E34" s="182"/>
      <c r="F34" s="23" t="s">
        <v>1572</v>
      </c>
      <c r="G34" s="41" t="s">
        <v>39</v>
      </c>
      <c r="H34" s="35" t="s">
        <v>1573</v>
      </c>
      <c r="I34" s="28" t="s">
        <v>10</v>
      </c>
      <c r="J34" s="36"/>
      <c r="K34" s="37"/>
      <c r="L34" s="38"/>
    </row>
    <row r="35" spans="2:12" ht="54" customHeight="1" x14ac:dyDescent="0.2">
      <c r="B35" s="144"/>
      <c r="C35" s="144"/>
      <c r="D35" s="182"/>
      <c r="E35" s="182"/>
      <c r="F35" s="23"/>
      <c r="G35" s="41"/>
      <c r="H35" s="35"/>
      <c r="I35" s="28" t="s">
        <v>10</v>
      </c>
      <c r="J35" s="36"/>
      <c r="K35" s="37"/>
      <c r="L35" s="38"/>
    </row>
    <row r="36" spans="2:12" ht="54" customHeight="1" x14ac:dyDescent="0.2">
      <c r="B36" s="151" t="s">
        <v>96</v>
      </c>
      <c r="C36" s="151" t="s">
        <v>25</v>
      </c>
      <c r="D36" s="185" t="s">
        <v>1574</v>
      </c>
      <c r="E36" s="185" t="s">
        <v>1575</v>
      </c>
      <c r="F36" s="34" t="s">
        <v>1576</v>
      </c>
      <c r="G36" s="12" t="s">
        <v>36</v>
      </c>
      <c r="H36" s="34" t="s">
        <v>1577</v>
      </c>
      <c r="I36" s="28" t="s">
        <v>10</v>
      </c>
      <c r="J36" s="11"/>
      <c r="K36" s="33"/>
      <c r="L36" s="29"/>
    </row>
    <row r="37" spans="2:12" ht="54" customHeight="1" x14ac:dyDescent="0.2">
      <c r="B37" s="152"/>
      <c r="C37" s="152"/>
      <c r="D37" s="186"/>
      <c r="E37" s="186"/>
      <c r="F37" s="34" t="s">
        <v>1578</v>
      </c>
      <c r="G37" s="12" t="s">
        <v>39</v>
      </c>
      <c r="H37" s="34" t="s">
        <v>1579</v>
      </c>
      <c r="I37" s="28" t="s">
        <v>10</v>
      </c>
      <c r="J37" s="11"/>
      <c r="K37" s="33"/>
      <c r="L37" s="29"/>
    </row>
    <row r="38" spans="2:12" ht="54" customHeight="1" x14ac:dyDescent="0.2">
      <c r="B38" s="152"/>
      <c r="C38" s="152"/>
      <c r="D38" s="186"/>
      <c r="E38" s="186"/>
      <c r="F38" s="34" t="s">
        <v>1580</v>
      </c>
      <c r="G38" s="12" t="s">
        <v>36</v>
      </c>
      <c r="H38" s="34" t="s">
        <v>1581</v>
      </c>
      <c r="I38" s="28" t="s">
        <v>10</v>
      </c>
      <c r="J38" s="11"/>
      <c r="K38" s="33"/>
      <c r="L38" s="29"/>
    </row>
    <row r="39" spans="2:12" ht="54" customHeight="1" x14ac:dyDescent="0.2">
      <c r="B39" s="152"/>
      <c r="C39" s="152"/>
      <c r="D39" s="186"/>
      <c r="E39" s="186"/>
      <c r="F39" s="34" t="s">
        <v>1582</v>
      </c>
      <c r="G39" s="12" t="s">
        <v>35</v>
      </c>
      <c r="H39" s="34" t="s">
        <v>1583</v>
      </c>
      <c r="I39" s="28" t="s">
        <v>10</v>
      </c>
      <c r="J39" s="11"/>
      <c r="K39" s="33"/>
      <c r="L39" s="29"/>
    </row>
    <row r="40" spans="2:12" ht="54" customHeight="1" x14ac:dyDescent="0.2">
      <c r="B40" s="152"/>
      <c r="C40" s="152"/>
      <c r="D40" s="186"/>
      <c r="E40" s="186"/>
      <c r="F40" s="34" t="s">
        <v>1584</v>
      </c>
      <c r="G40" s="12" t="s">
        <v>36</v>
      </c>
      <c r="H40" s="34" t="s">
        <v>1585</v>
      </c>
      <c r="I40" s="28" t="s">
        <v>10</v>
      </c>
      <c r="J40" s="11"/>
      <c r="K40" s="33"/>
      <c r="L40" s="29"/>
    </row>
    <row r="41" spans="2:12" ht="5.25" customHeight="1" x14ac:dyDescent="0.2"/>
    <row r="42" spans="2:12" ht="31" customHeight="1" x14ac:dyDescent="0.2">
      <c r="B42" s="69" t="s">
        <v>34</v>
      </c>
      <c r="C42" s="69" t="s">
        <v>258</v>
      </c>
      <c r="D42" s="69" t="s">
        <v>259</v>
      </c>
      <c r="E42" s="169" t="s">
        <v>32</v>
      </c>
      <c r="F42" s="170"/>
      <c r="G42" s="169" t="s">
        <v>16</v>
      </c>
      <c r="H42" s="170"/>
      <c r="I42" s="71" t="s">
        <v>8</v>
      </c>
      <c r="J42" s="69" t="s">
        <v>17</v>
      </c>
      <c r="K42" s="72" t="s">
        <v>44</v>
      </c>
      <c r="L42" s="69" t="s">
        <v>45</v>
      </c>
    </row>
    <row r="43" spans="2:12" ht="79.75" customHeight="1" x14ac:dyDescent="0.2">
      <c r="B43" s="151" t="s">
        <v>96</v>
      </c>
      <c r="C43" s="151" t="s">
        <v>260</v>
      </c>
      <c r="D43" s="177" t="s">
        <v>1586</v>
      </c>
      <c r="E43" s="129" t="s">
        <v>1587</v>
      </c>
      <c r="F43" s="130"/>
      <c r="G43" s="127" t="s">
        <v>1588</v>
      </c>
      <c r="H43" s="128" t="s">
        <v>1588</v>
      </c>
      <c r="I43" s="28" t="s">
        <v>10</v>
      </c>
      <c r="J43" s="11"/>
      <c r="K43" s="33"/>
      <c r="L43" s="29"/>
    </row>
    <row r="44" spans="2:12" ht="79.75" customHeight="1" x14ac:dyDescent="0.2">
      <c r="B44" s="152"/>
      <c r="C44" s="152"/>
      <c r="D44" s="178"/>
      <c r="E44" s="131"/>
      <c r="F44" s="132"/>
      <c r="G44" s="127" t="s">
        <v>1589</v>
      </c>
      <c r="H44" s="128" t="s">
        <v>1589</v>
      </c>
      <c r="I44" s="28" t="s">
        <v>10</v>
      </c>
      <c r="J44" s="11"/>
      <c r="K44" s="33"/>
      <c r="L44" s="29"/>
    </row>
    <row r="45" spans="2:12" ht="79.75" customHeight="1" x14ac:dyDescent="0.2">
      <c r="B45" s="173"/>
      <c r="C45" s="173"/>
      <c r="D45" s="179"/>
      <c r="E45" s="133"/>
      <c r="F45" s="134"/>
      <c r="G45" s="127" t="s">
        <v>1590</v>
      </c>
      <c r="H45" s="128" t="s">
        <v>1590</v>
      </c>
      <c r="I45" s="28" t="s">
        <v>10</v>
      </c>
      <c r="J45" s="11"/>
      <c r="K45" s="33"/>
      <c r="L45" s="29"/>
    </row>
    <row r="46" spans="2:12" ht="83.5" customHeight="1" x14ac:dyDescent="0.2">
      <c r="B46" s="143" t="s">
        <v>96</v>
      </c>
      <c r="C46" s="143" t="s">
        <v>261</v>
      </c>
      <c r="D46" s="181" t="s">
        <v>1591</v>
      </c>
      <c r="E46" s="135" t="s">
        <v>1592</v>
      </c>
      <c r="F46" s="136"/>
      <c r="G46" s="141" t="s">
        <v>2321</v>
      </c>
      <c r="H46" s="142" t="s">
        <v>1593</v>
      </c>
      <c r="I46" s="28" t="s">
        <v>10</v>
      </c>
      <c r="J46" s="36"/>
      <c r="K46" s="37"/>
      <c r="L46" s="38"/>
    </row>
    <row r="47" spans="2:12" ht="83.5" customHeight="1" x14ac:dyDescent="0.2">
      <c r="B47" s="144"/>
      <c r="C47" s="144"/>
      <c r="D47" s="182"/>
      <c r="E47" s="137"/>
      <c r="F47" s="138"/>
      <c r="G47" s="141" t="s">
        <v>2322</v>
      </c>
      <c r="H47" s="142" t="s">
        <v>1594</v>
      </c>
      <c r="I47" s="28" t="s">
        <v>10</v>
      </c>
      <c r="J47" s="36"/>
      <c r="K47" s="37"/>
      <c r="L47" s="38"/>
    </row>
    <row r="48" spans="2:12" ht="83.5" customHeight="1" x14ac:dyDescent="0.2">
      <c r="B48" s="144"/>
      <c r="C48" s="144"/>
      <c r="D48" s="182"/>
      <c r="E48" s="139"/>
      <c r="F48" s="140"/>
      <c r="G48" s="141" t="s">
        <v>1595</v>
      </c>
      <c r="H48" s="142" t="s">
        <v>1595</v>
      </c>
      <c r="I48" s="28" t="s">
        <v>10</v>
      </c>
      <c r="J48" s="36"/>
      <c r="K48" s="37"/>
      <c r="L48" s="38"/>
    </row>
    <row r="49" spans="2:12" ht="79.75" customHeight="1" x14ac:dyDescent="0.2">
      <c r="B49" s="151" t="s">
        <v>96</v>
      </c>
      <c r="C49" s="151" t="s">
        <v>262</v>
      </c>
      <c r="D49" s="177" t="s">
        <v>1596</v>
      </c>
      <c r="E49" s="129" t="s">
        <v>1597</v>
      </c>
      <c r="F49" s="130"/>
      <c r="G49" s="127" t="s">
        <v>1598</v>
      </c>
      <c r="H49" s="128" t="s">
        <v>1598</v>
      </c>
      <c r="I49" s="28" t="s">
        <v>10</v>
      </c>
      <c r="J49" s="11"/>
      <c r="K49" s="33"/>
      <c r="L49" s="29"/>
    </row>
    <row r="50" spans="2:12" ht="79.75" customHeight="1" x14ac:dyDescent="0.2">
      <c r="B50" s="152"/>
      <c r="C50" s="152"/>
      <c r="D50" s="178"/>
      <c r="E50" s="131"/>
      <c r="F50" s="132"/>
      <c r="G50" s="127" t="s">
        <v>1599</v>
      </c>
      <c r="H50" s="128" t="s">
        <v>1599</v>
      </c>
      <c r="I50" s="28" t="s">
        <v>10</v>
      </c>
      <c r="J50" s="11"/>
      <c r="K50" s="33"/>
      <c r="L50" s="29"/>
    </row>
    <row r="51" spans="2:12" ht="79.75" customHeight="1" x14ac:dyDescent="0.2">
      <c r="B51" s="173"/>
      <c r="C51" s="173"/>
      <c r="D51" s="179"/>
      <c r="E51" s="133"/>
      <c r="F51" s="134"/>
      <c r="G51" s="127" t="s">
        <v>2323</v>
      </c>
      <c r="H51" s="128" t="s">
        <v>1600</v>
      </c>
      <c r="I51" s="28" t="s">
        <v>10</v>
      </c>
      <c r="J51" s="11"/>
      <c r="K51" s="33"/>
      <c r="L51" s="29"/>
    </row>
    <row r="52" spans="2:12" ht="83.5" customHeight="1" x14ac:dyDescent="0.2">
      <c r="B52" s="143" t="s">
        <v>96</v>
      </c>
      <c r="C52" s="143" t="s">
        <v>263</v>
      </c>
      <c r="D52" s="181" t="s">
        <v>1601</v>
      </c>
      <c r="E52" s="135" t="s">
        <v>1602</v>
      </c>
      <c r="F52" s="136"/>
      <c r="G52" s="141" t="s">
        <v>2324</v>
      </c>
      <c r="H52" s="142" t="s">
        <v>1603</v>
      </c>
      <c r="I52" s="28" t="s">
        <v>10</v>
      </c>
      <c r="J52" s="36"/>
      <c r="K52" s="37"/>
      <c r="L52" s="38"/>
    </row>
    <row r="53" spans="2:12" ht="83.5" customHeight="1" x14ac:dyDescent="0.2">
      <c r="B53" s="144"/>
      <c r="C53" s="144"/>
      <c r="D53" s="182"/>
      <c r="E53" s="137"/>
      <c r="F53" s="138"/>
      <c r="G53" s="141" t="s">
        <v>2325</v>
      </c>
      <c r="H53" s="142" t="s">
        <v>1604</v>
      </c>
      <c r="I53" s="28" t="s">
        <v>10</v>
      </c>
      <c r="J53" s="36"/>
      <c r="K53" s="37"/>
      <c r="L53" s="38"/>
    </row>
    <row r="54" spans="2:12" ht="83.5" customHeight="1" x14ac:dyDescent="0.2">
      <c r="B54" s="144"/>
      <c r="C54" s="144"/>
      <c r="D54" s="182"/>
      <c r="E54" s="139"/>
      <c r="F54" s="140"/>
      <c r="G54" s="141" t="s">
        <v>2326</v>
      </c>
      <c r="H54" s="142" t="s">
        <v>1605</v>
      </c>
      <c r="I54" s="28" t="s">
        <v>10</v>
      </c>
      <c r="J54" s="36"/>
      <c r="K54" s="37"/>
      <c r="L54" s="38"/>
    </row>
    <row r="55" spans="2:12" ht="79.75" customHeight="1" x14ac:dyDescent="0.2">
      <c r="B55" s="151" t="s">
        <v>96</v>
      </c>
      <c r="C55" s="151" t="s">
        <v>264</v>
      </c>
      <c r="D55" s="177" t="s">
        <v>1606</v>
      </c>
      <c r="E55" s="129" t="s">
        <v>1607</v>
      </c>
      <c r="F55" s="130"/>
      <c r="G55" s="127" t="s">
        <v>1608</v>
      </c>
      <c r="H55" s="128" t="s">
        <v>1608</v>
      </c>
      <c r="I55" s="28" t="s">
        <v>10</v>
      </c>
      <c r="J55" s="11"/>
      <c r="K55" s="33"/>
      <c r="L55" s="29"/>
    </row>
    <row r="56" spans="2:12" ht="79.75" customHeight="1" x14ac:dyDescent="0.2">
      <c r="B56" s="152"/>
      <c r="C56" s="152"/>
      <c r="D56" s="178"/>
      <c r="E56" s="131"/>
      <c r="F56" s="132"/>
      <c r="G56" s="127" t="s">
        <v>1609</v>
      </c>
      <c r="H56" s="128" t="s">
        <v>1609</v>
      </c>
      <c r="I56" s="28" t="s">
        <v>10</v>
      </c>
      <c r="J56" s="11"/>
      <c r="K56" s="33"/>
      <c r="L56" s="29"/>
    </row>
    <row r="57" spans="2:12" ht="79.75" customHeight="1" x14ac:dyDescent="0.2">
      <c r="B57" s="173" t="s">
        <v>96</v>
      </c>
      <c r="C57" s="173" t="s">
        <v>267</v>
      </c>
      <c r="D57" s="179" t="s">
        <v>1610</v>
      </c>
      <c r="E57" s="133" t="s">
        <v>1611</v>
      </c>
      <c r="F57" s="134"/>
      <c r="G57" s="127" t="s">
        <v>2327</v>
      </c>
      <c r="H57" s="128" t="s">
        <v>1612</v>
      </c>
      <c r="I57" s="28" t="s">
        <v>10</v>
      </c>
      <c r="J57" s="11"/>
      <c r="K57" s="33"/>
      <c r="L57" s="29"/>
    </row>
    <row r="58" spans="2:12" ht="83.5" customHeight="1" x14ac:dyDescent="0.2">
      <c r="B58" s="143" t="s">
        <v>96</v>
      </c>
      <c r="C58" s="143" t="s">
        <v>267</v>
      </c>
      <c r="D58" s="181" t="s">
        <v>1610</v>
      </c>
      <c r="E58" s="135" t="s">
        <v>1611</v>
      </c>
      <c r="F58" s="136"/>
      <c r="G58" s="141" t="s">
        <v>1613</v>
      </c>
      <c r="H58" s="142" t="s">
        <v>1613</v>
      </c>
      <c r="I58" s="28" t="s">
        <v>10</v>
      </c>
      <c r="J58" s="36"/>
      <c r="K58" s="37"/>
      <c r="L58" s="38"/>
    </row>
    <row r="59" spans="2:12" ht="83.5" customHeight="1" x14ac:dyDescent="0.2">
      <c r="B59" s="144"/>
      <c r="C59" s="144"/>
      <c r="D59" s="182"/>
      <c r="E59" s="137"/>
      <c r="F59" s="138"/>
      <c r="G59" s="141" t="s">
        <v>1614</v>
      </c>
      <c r="H59" s="142" t="s">
        <v>1614</v>
      </c>
      <c r="I59" s="28" t="s">
        <v>10</v>
      </c>
      <c r="J59" s="36"/>
      <c r="K59" s="37"/>
      <c r="L59" s="38"/>
    </row>
    <row r="60" spans="2:12" ht="83.5" customHeight="1" x14ac:dyDescent="0.2">
      <c r="B60" s="144"/>
      <c r="C60" s="144"/>
      <c r="D60" s="182"/>
      <c r="E60" s="139" t="s">
        <v>1616</v>
      </c>
      <c r="F60" s="140"/>
      <c r="G60" s="141" t="s">
        <v>2328</v>
      </c>
      <c r="H60" s="142" t="s">
        <v>1617</v>
      </c>
      <c r="I60" s="28" t="s">
        <v>10</v>
      </c>
      <c r="J60" s="36"/>
      <c r="K60" s="37"/>
      <c r="L60" s="38"/>
    </row>
    <row r="61" spans="2:12" ht="79.75" customHeight="1" x14ac:dyDescent="0.2">
      <c r="B61" s="151" t="s">
        <v>96</v>
      </c>
      <c r="C61" s="151" t="s">
        <v>268</v>
      </c>
      <c r="D61" s="177" t="s">
        <v>1615</v>
      </c>
      <c r="E61" s="129" t="s">
        <v>1611</v>
      </c>
      <c r="F61" s="103"/>
      <c r="G61" s="127" t="s">
        <v>1618</v>
      </c>
      <c r="H61" s="128" t="s">
        <v>1618</v>
      </c>
      <c r="I61" s="28" t="s">
        <v>10</v>
      </c>
      <c r="J61" s="11"/>
      <c r="K61" s="33"/>
      <c r="L61" s="29"/>
    </row>
    <row r="62" spans="2:12" ht="79.75" customHeight="1" x14ac:dyDescent="0.2">
      <c r="B62" s="152"/>
      <c r="C62" s="152"/>
      <c r="D62" s="178"/>
      <c r="E62" s="103"/>
      <c r="F62" s="103"/>
      <c r="G62" s="127" t="s">
        <v>1619</v>
      </c>
      <c r="H62" s="128" t="s">
        <v>1619</v>
      </c>
      <c r="I62" s="28" t="s">
        <v>10</v>
      </c>
      <c r="J62" s="11"/>
      <c r="K62" s="33"/>
      <c r="L62" s="29"/>
    </row>
    <row r="207" spans="1:13" s="4" customFormat="1" x14ac:dyDescent="0.2">
      <c r="A207" s="1"/>
      <c r="B207" s="2"/>
      <c r="C207" s="3"/>
      <c r="D207" s="3"/>
      <c r="E207" s="3"/>
      <c r="G207" s="3"/>
      <c r="I207" s="6"/>
      <c r="J207" s="1"/>
      <c r="K207" s="30"/>
      <c r="L207" s="1"/>
      <c r="M207" s="1"/>
    </row>
    <row r="208" spans="1:13" s="4" customFormat="1" x14ac:dyDescent="0.2">
      <c r="A208" s="1"/>
      <c r="B208" s="2"/>
      <c r="C208" s="3"/>
      <c r="D208" s="3"/>
      <c r="E208" s="3"/>
      <c r="G208" s="79"/>
      <c r="I208" s="6"/>
      <c r="J208" s="1"/>
      <c r="K208" s="30"/>
      <c r="L208" s="1"/>
      <c r="M208" s="1"/>
    </row>
    <row r="209" spans="1:13" s="4" customFormat="1" x14ac:dyDescent="0.2">
      <c r="A209" s="1"/>
      <c r="B209" s="2"/>
      <c r="C209" s="3"/>
      <c r="D209" s="3"/>
      <c r="E209" s="3"/>
      <c r="G209" s="80"/>
      <c r="I209" s="6"/>
      <c r="J209" s="1"/>
      <c r="K209" s="30"/>
      <c r="L209" s="1"/>
      <c r="M209" s="1"/>
    </row>
    <row r="210" spans="1:13" s="4" customFormat="1" x14ac:dyDescent="0.2">
      <c r="A210" s="1"/>
      <c r="B210" s="2"/>
      <c r="C210" s="3"/>
      <c r="D210" s="3"/>
      <c r="E210" s="3"/>
      <c r="G210" s="81"/>
      <c r="I210" s="6"/>
      <c r="J210" s="1"/>
      <c r="K210" s="30"/>
      <c r="L210" s="1"/>
      <c r="M210" s="1"/>
    </row>
    <row r="211" spans="1:13" s="4" customFormat="1" x14ac:dyDescent="0.2">
      <c r="A211" s="1"/>
      <c r="B211" s="2"/>
      <c r="C211" s="3"/>
      <c r="D211" s="3"/>
      <c r="E211" s="3"/>
      <c r="G211" s="82"/>
      <c r="I211" s="6"/>
      <c r="J211" s="1"/>
      <c r="K211" s="30"/>
      <c r="L211" s="1"/>
      <c r="M211" s="1"/>
    </row>
    <row r="212" spans="1:13" s="4" customFormat="1" x14ac:dyDescent="0.2">
      <c r="A212" s="1"/>
      <c r="B212" s="2"/>
      <c r="C212" s="3"/>
      <c r="D212" s="3"/>
      <c r="E212" s="3"/>
      <c r="G212" s="79"/>
      <c r="I212" s="6"/>
      <c r="J212" s="1"/>
      <c r="K212" s="30"/>
      <c r="L212" s="1"/>
      <c r="M212" s="1"/>
    </row>
    <row r="216" spans="1:13" s="4" customFormat="1" x14ac:dyDescent="0.2">
      <c r="A216" s="1"/>
      <c r="B216" s="2"/>
      <c r="C216" s="3"/>
      <c r="D216" s="3"/>
      <c r="E216" s="3"/>
      <c r="G216" s="83"/>
      <c r="I216" s="6"/>
      <c r="J216" s="1"/>
      <c r="K216" s="30"/>
      <c r="L216" s="1"/>
      <c r="M216" s="1"/>
    </row>
    <row r="217" spans="1:13" s="4" customFormat="1" x14ac:dyDescent="0.2">
      <c r="A217" s="1"/>
      <c r="B217" s="2"/>
      <c r="C217" s="3"/>
      <c r="D217" s="3"/>
      <c r="E217" s="3"/>
      <c r="G217" s="84"/>
      <c r="I217" s="6"/>
      <c r="J217" s="1"/>
      <c r="K217" s="30"/>
      <c r="L217" s="1"/>
      <c r="M217" s="1"/>
    </row>
    <row r="218" spans="1:13" s="4" customFormat="1" x14ac:dyDescent="0.2">
      <c r="A218" s="1"/>
      <c r="B218" s="2"/>
      <c r="C218" s="3"/>
      <c r="D218" s="3"/>
      <c r="E218" s="3"/>
      <c r="G218" s="81"/>
      <c r="I218" s="6"/>
      <c r="J218" s="1"/>
      <c r="K218" s="30"/>
      <c r="L218" s="1"/>
      <c r="M218" s="1"/>
    </row>
    <row r="219" spans="1:13" s="4" customFormat="1" x14ac:dyDescent="0.2">
      <c r="A219" s="1"/>
      <c r="B219" s="2"/>
      <c r="C219" s="3"/>
      <c r="D219" s="3"/>
      <c r="E219" s="3"/>
      <c r="G219" s="81"/>
      <c r="I219" s="6"/>
      <c r="J219" s="1"/>
      <c r="K219" s="30"/>
      <c r="L219" s="1"/>
      <c r="M219" s="1"/>
    </row>
    <row r="220" spans="1:13" s="4" customFormat="1" x14ac:dyDescent="0.2">
      <c r="A220" s="1"/>
      <c r="B220" s="2"/>
      <c r="C220" s="3"/>
      <c r="D220" s="3"/>
      <c r="E220" s="3"/>
      <c r="G220" s="79"/>
      <c r="I220" s="6"/>
      <c r="J220" s="1"/>
      <c r="K220" s="30"/>
      <c r="L220" s="1"/>
      <c r="M220" s="1"/>
    </row>
    <row r="224" spans="1:13" s="4" customFormat="1" x14ac:dyDescent="0.2">
      <c r="A224" s="1"/>
      <c r="B224" s="2"/>
      <c r="C224" s="3"/>
      <c r="D224" s="3"/>
      <c r="E224" s="3"/>
      <c r="G224" s="83"/>
      <c r="I224" s="6"/>
      <c r="J224" s="1"/>
      <c r="K224" s="30"/>
      <c r="L224" s="1"/>
      <c r="M224" s="1"/>
    </row>
    <row r="225" spans="1:13" s="4" customFormat="1" x14ac:dyDescent="0.2">
      <c r="A225" s="1"/>
      <c r="B225" s="2"/>
      <c r="C225" s="3"/>
      <c r="D225" s="3"/>
      <c r="E225" s="3"/>
      <c r="G225" s="84"/>
      <c r="I225" s="6"/>
      <c r="J225" s="1"/>
      <c r="K225" s="30"/>
      <c r="L225" s="1"/>
      <c r="M225" s="1"/>
    </row>
    <row r="226" spans="1:13" s="4" customFormat="1" x14ac:dyDescent="0.2">
      <c r="A226" s="1"/>
      <c r="B226" s="2"/>
      <c r="C226" s="3"/>
      <c r="D226" s="3"/>
      <c r="E226" s="3"/>
      <c r="G226" s="81"/>
      <c r="I226" s="6"/>
      <c r="J226" s="1"/>
      <c r="K226" s="30"/>
      <c r="L226" s="1"/>
      <c r="M226" s="1"/>
    </row>
    <row r="227" spans="1:13" s="4" customFormat="1" x14ac:dyDescent="0.2">
      <c r="A227" s="1"/>
      <c r="B227" s="2"/>
      <c r="C227" s="3"/>
      <c r="D227" s="3"/>
      <c r="E227" s="3"/>
      <c r="G227" s="81"/>
      <c r="I227" s="6"/>
      <c r="J227" s="1"/>
      <c r="K227" s="30"/>
      <c r="L227" s="1"/>
      <c r="M227" s="1"/>
    </row>
    <row r="228" spans="1:13" s="4" customFormat="1" x14ac:dyDescent="0.2">
      <c r="A228" s="1"/>
      <c r="B228" s="2"/>
      <c r="C228" s="3"/>
      <c r="D228" s="3"/>
      <c r="E228" s="3"/>
      <c r="G228" s="83"/>
      <c r="I228" s="6"/>
      <c r="J228" s="1"/>
      <c r="K228" s="30"/>
      <c r="L228" s="1"/>
      <c r="M228" s="1"/>
    </row>
    <row r="229" spans="1:13" s="4" customFormat="1" x14ac:dyDescent="0.2">
      <c r="A229" s="1"/>
      <c r="B229" s="2"/>
      <c r="C229" s="3"/>
      <c r="D229" s="3"/>
      <c r="E229" s="3"/>
      <c r="G229" s="85"/>
      <c r="I229" s="6"/>
      <c r="J229" s="1"/>
      <c r="K229" s="30"/>
      <c r="L229" s="1"/>
      <c r="M229" s="1"/>
    </row>
    <row r="230" spans="1:13" s="4" customFormat="1" x14ac:dyDescent="0.2">
      <c r="A230" s="1"/>
      <c r="B230" s="2"/>
      <c r="C230" s="3"/>
      <c r="D230" s="3"/>
      <c r="E230" s="3"/>
      <c r="G230" s="86"/>
      <c r="I230" s="6"/>
      <c r="J230" s="1"/>
      <c r="K230" s="30"/>
      <c r="L230" s="1"/>
      <c r="M230" s="1"/>
    </row>
  </sheetData>
  <mergeCells count="77">
    <mergeCell ref="G61:H61"/>
    <mergeCell ref="G62:H62"/>
    <mergeCell ref="B61:B62"/>
    <mergeCell ref="C61:C62"/>
    <mergeCell ref="D61:D62"/>
    <mergeCell ref="G55:H55"/>
    <mergeCell ref="G56:H56"/>
    <mergeCell ref="G57:H57"/>
    <mergeCell ref="B58:B60"/>
    <mergeCell ref="C58:C60"/>
    <mergeCell ref="D58:D60"/>
    <mergeCell ref="E58:F60"/>
    <mergeCell ref="G58:H58"/>
    <mergeCell ref="G59:H59"/>
    <mergeCell ref="G60:H60"/>
    <mergeCell ref="G49:H49"/>
    <mergeCell ref="G50:H50"/>
    <mergeCell ref="G51:H51"/>
    <mergeCell ref="E52:F54"/>
    <mergeCell ref="G52:H52"/>
    <mergeCell ref="G53:H53"/>
    <mergeCell ref="G54:H54"/>
    <mergeCell ref="G43:H43"/>
    <mergeCell ref="G44:H44"/>
    <mergeCell ref="G45:H45"/>
    <mergeCell ref="E46:F48"/>
    <mergeCell ref="G46:H46"/>
    <mergeCell ref="G47:H47"/>
    <mergeCell ref="G48:H48"/>
    <mergeCell ref="E61:F62"/>
    <mergeCell ref="B55:B57"/>
    <mergeCell ref="C55:C57"/>
    <mergeCell ref="D55:D57"/>
    <mergeCell ref="E55:F57"/>
    <mergeCell ref="B49:B51"/>
    <mergeCell ref="C49:C51"/>
    <mergeCell ref="D49:D51"/>
    <mergeCell ref="E49:F51"/>
    <mergeCell ref="B52:B54"/>
    <mergeCell ref="C52:C54"/>
    <mergeCell ref="D52:D54"/>
    <mergeCell ref="B43:B45"/>
    <mergeCell ref="C43:C45"/>
    <mergeCell ref="D43:D45"/>
    <mergeCell ref="E43:F45"/>
    <mergeCell ref="B46:B48"/>
    <mergeCell ref="C46:C48"/>
    <mergeCell ref="D46:D48"/>
    <mergeCell ref="G42:H42"/>
    <mergeCell ref="B25:B29"/>
    <mergeCell ref="C25:C29"/>
    <mergeCell ref="D25:D29"/>
    <mergeCell ref="E25:E29"/>
    <mergeCell ref="B30:B35"/>
    <mergeCell ref="C30:C35"/>
    <mergeCell ref="D30:D35"/>
    <mergeCell ref="E30:E35"/>
    <mergeCell ref="B36:B40"/>
    <mergeCell ref="C36:C40"/>
    <mergeCell ref="D36:D40"/>
    <mergeCell ref="E36:E40"/>
    <mergeCell ref="E42:F42"/>
    <mergeCell ref="B20:B24"/>
    <mergeCell ref="C20:C24"/>
    <mergeCell ref="D20:D24"/>
    <mergeCell ref="E20:E24"/>
    <mergeCell ref="B2:J2"/>
    <mergeCell ref="B4:J4"/>
    <mergeCell ref="B6:H8"/>
    <mergeCell ref="I6:J6"/>
    <mergeCell ref="I7:J8"/>
    <mergeCell ref="C10:J10"/>
    <mergeCell ref="C11:J11"/>
    <mergeCell ref="B14:B19"/>
    <mergeCell ref="C14:C19"/>
    <mergeCell ref="D14:D19"/>
    <mergeCell ref="E14:E19"/>
  </mergeCells>
  <conditionalFormatting sqref="I1 I63:I1048576">
    <cfRule type="cellIs" dxfId="251" priority="22" operator="equal">
      <formula>1</formula>
    </cfRule>
  </conditionalFormatting>
  <conditionalFormatting sqref="I7">
    <cfRule type="cellIs" dxfId="250" priority="21" operator="equal">
      <formula>1</formula>
    </cfRule>
  </conditionalFormatting>
  <conditionalFormatting sqref="I14:I40">
    <cfRule type="expression" dxfId="95" priority="9" stopIfTrue="1">
      <formula>TRIM(UPPER(I14))="N/A"</formula>
    </cfRule>
    <cfRule type="expression" dxfId="94" priority="10">
      <formula>I14&gt;=0.9</formula>
    </cfRule>
    <cfRule type="expression" dxfId="93" priority="11">
      <formula>AND(I14&gt;=0.8, I14&lt;0.9)</formula>
    </cfRule>
    <cfRule type="expression" dxfId="92" priority="12">
      <formula>I14&lt;0.8</formula>
    </cfRule>
  </conditionalFormatting>
  <conditionalFormatting sqref="I43:I60">
    <cfRule type="expression" dxfId="91" priority="5" stopIfTrue="1">
      <formula>TRIM(UPPER(I43))="N/A"</formula>
    </cfRule>
    <cfRule type="expression" dxfId="90" priority="6">
      <formula>I43&gt;=0.9</formula>
    </cfRule>
    <cfRule type="expression" dxfId="89" priority="7">
      <formula>AND(I43&gt;=0.8, I43&lt;0.9)</formula>
    </cfRule>
    <cfRule type="expression" dxfId="88" priority="8">
      <formula>I43&lt;0.8</formula>
    </cfRule>
  </conditionalFormatting>
  <conditionalFormatting sqref="I61:I62">
    <cfRule type="expression" dxfId="87" priority="1" stopIfTrue="1">
      <formula>TRIM(UPPER(I61))="N/A"</formula>
    </cfRule>
    <cfRule type="expression" dxfId="86" priority="2">
      <formula>I61&gt;=0.9</formula>
    </cfRule>
    <cfRule type="expression" dxfId="85" priority="3">
      <formula>AND(I61&gt;=0.8, I61&lt;0.9)</formula>
    </cfRule>
    <cfRule type="expression" dxfId="84" priority="4">
      <formula>I61&lt;0.8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D64BFD9-05FC-B64B-A8B0-81219695B06F}">
          <x14:formula1>
            <xm:f>'Listas desplegables'!$C$4:$C$15</xm:f>
          </x14:formula1>
          <xm:sqref>I14:I40 I43:I62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EAA89-321C-8441-97F9-3ABF8085D2E2}">
  <sheetPr>
    <tabColor rgb="FF0993A5"/>
  </sheetPr>
  <dimension ref="A1:M228"/>
  <sheetViews>
    <sheetView zoomScale="70" zoomScaleNormal="70" workbookViewId="0">
      <selection activeCell="J15" sqref="J15"/>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94" t="s">
        <v>1620</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AVERAGEIF(I14:I42,"&lt;&gt;N/A")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146" customHeight="1" x14ac:dyDescent="0.2">
      <c r="B10" s="40" t="s">
        <v>13</v>
      </c>
      <c r="C10" s="147" t="s">
        <v>2332</v>
      </c>
      <c r="D10" s="148"/>
      <c r="E10" s="148"/>
      <c r="F10" s="148"/>
      <c r="G10" s="148"/>
      <c r="H10" s="148"/>
      <c r="I10" s="148"/>
      <c r="J10" s="149"/>
    </row>
    <row r="11" spans="2:12" ht="92" customHeight="1" x14ac:dyDescent="0.2">
      <c r="B11" s="39" t="s">
        <v>14</v>
      </c>
      <c r="C11" s="150" t="s">
        <v>2333</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54" customHeight="1" x14ac:dyDescent="0.2">
      <c r="B14" s="151" t="s">
        <v>97</v>
      </c>
      <c r="C14" s="151" t="s">
        <v>19</v>
      </c>
      <c r="D14" s="153" t="s">
        <v>1621</v>
      </c>
      <c r="E14" s="177" t="s">
        <v>1622</v>
      </c>
      <c r="F14" s="78" t="s">
        <v>1623</v>
      </c>
      <c r="G14" s="12" t="s">
        <v>36</v>
      </c>
      <c r="H14" s="34" t="s">
        <v>2331</v>
      </c>
      <c r="I14" s="28" t="s">
        <v>10</v>
      </c>
      <c r="J14" s="11"/>
      <c r="K14" s="33"/>
      <c r="L14" s="29"/>
    </row>
    <row r="15" spans="2:12" ht="54" customHeight="1" x14ac:dyDescent="0.2">
      <c r="B15" s="152"/>
      <c r="C15" s="152"/>
      <c r="D15" s="154"/>
      <c r="E15" s="178"/>
      <c r="F15" s="78" t="s">
        <v>1624</v>
      </c>
      <c r="G15" s="12" t="s">
        <v>36</v>
      </c>
      <c r="H15" s="34" t="s">
        <v>1625</v>
      </c>
      <c r="I15" s="28" t="s">
        <v>10</v>
      </c>
      <c r="J15" s="11"/>
      <c r="K15" s="33"/>
      <c r="L15" s="29"/>
    </row>
    <row r="16" spans="2:12" ht="54" customHeight="1" x14ac:dyDescent="0.2">
      <c r="B16" s="152"/>
      <c r="C16" s="152"/>
      <c r="D16" s="154"/>
      <c r="E16" s="178"/>
      <c r="F16" s="78" t="s">
        <v>1626</v>
      </c>
      <c r="G16" s="12" t="s">
        <v>39</v>
      </c>
      <c r="H16" s="34" t="s">
        <v>1627</v>
      </c>
      <c r="I16" s="28" t="s">
        <v>10</v>
      </c>
      <c r="J16" s="11"/>
      <c r="K16" s="33"/>
      <c r="L16" s="29"/>
    </row>
    <row r="17" spans="2:12" ht="54" customHeight="1" x14ac:dyDescent="0.2">
      <c r="B17" s="152"/>
      <c r="C17" s="152"/>
      <c r="D17" s="154"/>
      <c r="E17" s="178"/>
      <c r="F17" s="78" t="s">
        <v>1628</v>
      </c>
      <c r="G17" s="12" t="s">
        <v>39</v>
      </c>
      <c r="H17" s="34" t="s">
        <v>1629</v>
      </c>
      <c r="I17" s="28" t="s">
        <v>10</v>
      </c>
      <c r="J17" s="11"/>
      <c r="K17" s="33"/>
      <c r="L17" s="29"/>
    </row>
    <row r="18" spans="2:12" ht="54" customHeight="1" x14ac:dyDescent="0.2">
      <c r="B18" s="152"/>
      <c r="C18" s="152"/>
      <c r="D18" s="154"/>
      <c r="E18" s="178"/>
      <c r="F18" s="78" t="s">
        <v>1630</v>
      </c>
      <c r="G18" s="12" t="s">
        <v>35</v>
      </c>
      <c r="H18" s="34" t="s">
        <v>1631</v>
      </c>
      <c r="I18" s="28" t="s">
        <v>10</v>
      </c>
      <c r="J18" s="11"/>
      <c r="K18" s="33"/>
      <c r="L18" s="29"/>
    </row>
    <row r="19" spans="2:12" ht="54" customHeight="1" x14ac:dyDescent="0.2">
      <c r="B19" s="152"/>
      <c r="C19" s="152"/>
      <c r="D19" s="154"/>
      <c r="E19" s="178"/>
      <c r="F19" s="78" t="s">
        <v>1632</v>
      </c>
      <c r="G19" s="12" t="s">
        <v>43</v>
      </c>
      <c r="H19" s="34" t="s">
        <v>1633</v>
      </c>
      <c r="I19" s="28" t="s">
        <v>10</v>
      </c>
      <c r="J19" s="11"/>
      <c r="K19" s="33"/>
      <c r="L19" s="29"/>
    </row>
    <row r="20" spans="2:12" ht="54" customHeight="1" x14ac:dyDescent="0.2">
      <c r="B20" s="143" t="s">
        <v>97</v>
      </c>
      <c r="C20" s="143" t="s">
        <v>20</v>
      </c>
      <c r="D20" s="145" t="s">
        <v>1634</v>
      </c>
      <c r="E20" s="181" t="s">
        <v>1635</v>
      </c>
      <c r="F20" s="23" t="s">
        <v>1636</v>
      </c>
      <c r="G20" s="41" t="s">
        <v>36</v>
      </c>
      <c r="H20" s="35" t="s">
        <v>1637</v>
      </c>
      <c r="I20" s="28" t="s">
        <v>10</v>
      </c>
      <c r="J20" s="36"/>
      <c r="K20" s="37"/>
      <c r="L20" s="38"/>
    </row>
    <row r="21" spans="2:12" ht="54" customHeight="1" x14ac:dyDescent="0.2">
      <c r="B21" s="144"/>
      <c r="C21" s="144"/>
      <c r="D21" s="146"/>
      <c r="E21" s="182"/>
      <c r="F21" s="35" t="s">
        <v>1638</v>
      </c>
      <c r="G21" s="41" t="s">
        <v>36</v>
      </c>
      <c r="H21" s="35" t="s">
        <v>1639</v>
      </c>
      <c r="I21" s="28" t="s">
        <v>10</v>
      </c>
      <c r="J21" s="36"/>
      <c r="K21" s="37"/>
      <c r="L21" s="38"/>
    </row>
    <row r="22" spans="2:12" ht="54" customHeight="1" x14ac:dyDescent="0.2">
      <c r="B22" s="144"/>
      <c r="C22" s="144"/>
      <c r="D22" s="146"/>
      <c r="E22" s="182"/>
      <c r="F22" s="23" t="s">
        <v>1640</v>
      </c>
      <c r="G22" s="41" t="s">
        <v>39</v>
      </c>
      <c r="H22" s="35" t="s">
        <v>1641</v>
      </c>
      <c r="I22" s="28" t="s">
        <v>10</v>
      </c>
      <c r="J22" s="36"/>
      <c r="K22" s="37"/>
      <c r="L22" s="38"/>
    </row>
    <row r="23" spans="2:12" ht="54" customHeight="1" x14ac:dyDescent="0.2">
      <c r="B23" s="144"/>
      <c r="C23" s="144"/>
      <c r="D23" s="146"/>
      <c r="E23" s="182"/>
      <c r="F23" s="23" t="s">
        <v>1642</v>
      </c>
      <c r="G23" s="41" t="s">
        <v>39</v>
      </c>
      <c r="H23" s="35" t="s">
        <v>1643</v>
      </c>
      <c r="I23" s="28" t="s">
        <v>10</v>
      </c>
      <c r="J23" s="36"/>
      <c r="K23" s="37"/>
      <c r="L23" s="38"/>
    </row>
    <row r="24" spans="2:12" ht="54" customHeight="1" x14ac:dyDescent="0.2">
      <c r="B24" s="144"/>
      <c r="C24" s="144"/>
      <c r="D24" s="146"/>
      <c r="E24" s="182"/>
      <c r="F24" s="23" t="s">
        <v>1644</v>
      </c>
      <c r="G24" s="41" t="s">
        <v>39</v>
      </c>
      <c r="H24" s="35" t="s">
        <v>1645</v>
      </c>
      <c r="I24" s="28" t="s">
        <v>10</v>
      </c>
      <c r="J24" s="36"/>
      <c r="K24" s="37"/>
      <c r="L24" s="38"/>
    </row>
    <row r="25" spans="2:12" ht="54" customHeight="1" x14ac:dyDescent="0.2">
      <c r="B25" s="144"/>
      <c r="C25" s="144"/>
      <c r="D25" s="146"/>
      <c r="E25" s="182"/>
      <c r="F25" s="23" t="s">
        <v>1646</v>
      </c>
      <c r="G25" s="41" t="s">
        <v>36</v>
      </c>
      <c r="H25" s="35" t="s">
        <v>1647</v>
      </c>
      <c r="I25" s="28" t="s">
        <v>10</v>
      </c>
      <c r="J25" s="36"/>
      <c r="K25" s="37"/>
      <c r="L25" s="38"/>
    </row>
    <row r="26" spans="2:12" ht="54" customHeight="1" x14ac:dyDescent="0.2">
      <c r="B26" s="151" t="s">
        <v>97</v>
      </c>
      <c r="C26" s="151" t="s">
        <v>21</v>
      </c>
      <c r="D26" s="177" t="s">
        <v>1648</v>
      </c>
      <c r="E26" s="177" t="s">
        <v>1649</v>
      </c>
      <c r="F26" s="22" t="s">
        <v>1650</v>
      </c>
      <c r="G26" s="12" t="s">
        <v>36</v>
      </c>
      <c r="H26" s="34" t="s">
        <v>1651</v>
      </c>
      <c r="I26" s="28" t="s">
        <v>10</v>
      </c>
      <c r="J26" s="11"/>
      <c r="K26" s="33"/>
      <c r="L26" s="29"/>
    </row>
    <row r="27" spans="2:12" ht="54" customHeight="1" x14ac:dyDescent="0.2">
      <c r="B27" s="152"/>
      <c r="C27" s="152"/>
      <c r="D27" s="178"/>
      <c r="E27" s="178"/>
      <c r="F27" s="22" t="s">
        <v>1652</v>
      </c>
      <c r="G27" s="12" t="s">
        <v>39</v>
      </c>
      <c r="H27" s="34" t="s">
        <v>1653</v>
      </c>
      <c r="I27" s="28" t="s">
        <v>10</v>
      </c>
      <c r="J27" s="11"/>
      <c r="K27" s="33"/>
      <c r="L27" s="29"/>
    </row>
    <row r="28" spans="2:12" ht="54" customHeight="1" x14ac:dyDescent="0.2">
      <c r="B28" s="152"/>
      <c r="C28" s="152"/>
      <c r="D28" s="178"/>
      <c r="E28" s="178"/>
      <c r="F28" s="22" t="s">
        <v>1654</v>
      </c>
      <c r="G28" s="12" t="s">
        <v>39</v>
      </c>
      <c r="H28" s="34" t="s">
        <v>1655</v>
      </c>
      <c r="I28" s="28" t="s">
        <v>10</v>
      </c>
      <c r="J28" s="11"/>
      <c r="K28" s="33"/>
      <c r="L28" s="29"/>
    </row>
    <row r="29" spans="2:12" ht="54" customHeight="1" x14ac:dyDescent="0.2">
      <c r="B29" s="152"/>
      <c r="C29" s="152"/>
      <c r="D29" s="178"/>
      <c r="E29" s="178"/>
      <c r="F29" s="22" t="s">
        <v>1656</v>
      </c>
      <c r="G29" s="12" t="s">
        <v>43</v>
      </c>
      <c r="H29" s="34" t="s">
        <v>1657</v>
      </c>
      <c r="I29" s="28" t="s">
        <v>10</v>
      </c>
      <c r="J29" s="11"/>
      <c r="K29" s="33"/>
      <c r="L29" s="29"/>
    </row>
    <row r="30" spans="2:12" ht="54" customHeight="1" x14ac:dyDescent="0.2">
      <c r="B30" s="152"/>
      <c r="C30" s="152"/>
      <c r="D30" s="178"/>
      <c r="E30" s="178"/>
      <c r="F30" s="22" t="s">
        <v>1658</v>
      </c>
      <c r="G30" s="12" t="s">
        <v>39</v>
      </c>
      <c r="H30" s="34" t="s">
        <v>1659</v>
      </c>
      <c r="I30" s="28" t="s">
        <v>10</v>
      </c>
      <c r="J30" s="11"/>
      <c r="K30" s="33"/>
      <c r="L30" s="29"/>
    </row>
    <row r="31" spans="2:12" ht="54" customHeight="1" x14ac:dyDescent="0.2">
      <c r="B31" s="152"/>
      <c r="C31" s="152"/>
      <c r="D31" s="178"/>
      <c r="E31" s="178"/>
      <c r="F31" s="22" t="s">
        <v>1660</v>
      </c>
      <c r="G31" s="12" t="s">
        <v>35</v>
      </c>
      <c r="H31" s="34" t="s">
        <v>1661</v>
      </c>
      <c r="I31" s="28" t="s">
        <v>10</v>
      </c>
      <c r="J31" s="11"/>
      <c r="K31" s="33"/>
      <c r="L31" s="29"/>
    </row>
    <row r="32" spans="2:12" ht="54" customHeight="1" x14ac:dyDescent="0.2">
      <c r="B32" s="143" t="s">
        <v>97</v>
      </c>
      <c r="C32" s="143" t="s">
        <v>23</v>
      </c>
      <c r="D32" s="181" t="s">
        <v>1662</v>
      </c>
      <c r="E32" s="181" t="s">
        <v>1663</v>
      </c>
      <c r="F32" s="23" t="s">
        <v>1664</v>
      </c>
      <c r="G32" s="41" t="s">
        <v>36</v>
      </c>
      <c r="H32" s="35" t="s">
        <v>1665</v>
      </c>
      <c r="I32" s="28" t="s">
        <v>10</v>
      </c>
      <c r="J32" s="36"/>
      <c r="K32" s="37"/>
      <c r="L32" s="38"/>
    </row>
    <row r="33" spans="2:12" ht="54" customHeight="1" x14ac:dyDescent="0.2">
      <c r="B33" s="144"/>
      <c r="C33" s="144"/>
      <c r="D33" s="182"/>
      <c r="E33" s="182"/>
      <c r="F33" s="23" t="s">
        <v>1666</v>
      </c>
      <c r="G33" s="41" t="s">
        <v>43</v>
      </c>
      <c r="H33" s="35" t="s">
        <v>1667</v>
      </c>
      <c r="I33" s="28" t="s">
        <v>10</v>
      </c>
      <c r="J33" s="36"/>
      <c r="K33" s="37"/>
      <c r="L33" s="38"/>
    </row>
    <row r="34" spans="2:12" ht="54" customHeight="1" x14ac:dyDescent="0.2">
      <c r="B34" s="144"/>
      <c r="C34" s="144"/>
      <c r="D34" s="182"/>
      <c r="E34" s="182"/>
      <c r="F34" s="23" t="s">
        <v>1668</v>
      </c>
      <c r="G34" s="41" t="s">
        <v>39</v>
      </c>
      <c r="H34" s="35" t="s">
        <v>1669</v>
      </c>
      <c r="I34" s="28" t="s">
        <v>10</v>
      </c>
      <c r="J34" s="36"/>
      <c r="K34" s="37"/>
      <c r="L34" s="38"/>
    </row>
    <row r="35" spans="2:12" ht="54" customHeight="1" x14ac:dyDescent="0.2">
      <c r="B35" s="144"/>
      <c r="C35" s="144"/>
      <c r="D35" s="182"/>
      <c r="E35" s="182"/>
      <c r="F35" s="23" t="s">
        <v>1670</v>
      </c>
      <c r="G35" s="41" t="s">
        <v>36</v>
      </c>
      <c r="H35" s="35" t="s">
        <v>1671</v>
      </c>
      <c r="I35" s="28" t="s">
        <v>10</v>
      </c>
      <c r="J35" s="36"/>
      <c r="K35" s="37"/>
      <c r="L35" s="38"/>
    </row>
    <row r="36" spans="2:12" ht="54" customHeight="1" x14ac:dyDescent="0.2">
      <c r="B36" s="144"/>
      <c r="C36" s="144"/>
      <c r="D36" s="182"/>
      <c r="E36" s="182"/>
      <c r="F36" s="23" t="s">
        <v>1672</v>
      </c>
      <c r="G36" s="41" t="s">
        <v>39</v>
      </c>
      <c r="H36" s="35" t="s">
        <v>1673</v>
      </c>
      <c r="I36" s="28" t="s">
        <v>10</v>
      </c>
      <c r="J36" s="36"/>
      <c r="K36" s="37"/>
      <c r="L36" s="38"/>
    </row>
    <row r="37" spans="2:12" ht="54" customHeight="1" x14ac:dyDescent="0.2">
      <c r="B37" s="151" t="s">
        <v>97</v>
      </c>
      <c r="C37" s="151" t="s">
        <v>24</v>
      </c>
      <c r="D37" s="185" t="s">
        <v>1674</v>
      </c>
      <c r="E37" s="185" t="s">
        <v>1675</v>
      </c>
      <c r="F37" s="34" t="s">
        <v>1676</v>
      </c>
      <c r="G37" s="12" t="s">
        <v>35</v>
      </c>
      <c r="H37" s="34" t="s">
        <v>1677</v>
      </c>
      <c r="I37" s="28" t="s">
        <v>10</v>
      </c>
      <c r="J37" s="11"/>
      <c r="K37" s="33"/>
      <c r="L37" s="29"/>
    </row>
    <row r="38" spans="2:12" ht="54" customHeight="1" x14ac:dyDescent="0.2">
      <c r="B38" s="152"/>
      <c r="C38" s="152"/>
      <c r="D38" s="186"/>
      <c r="E38" s="186"/>
      <c r="F38" s="34" t="s">
        <v>1678</v>
      </c>
      <c r="G38" s="12" t="s">
        <v>35</v>
      </c>
      <c r="H38" s="34" t="s">
        <v>1679</v>
      </c>
      <c r="I38" s="28" t="s">
        <v>10</v>
      </c>
      <c r="J38" s="11"/>
      <c r="K38" s="33"/>
      <c r="L38" s="29"/>
    </row>
    <row r="39" spans="2:12" ht="54" customHeight="1" x14ac:dyDescent="0.2">
      <c r="B39" s="152"/>
      <c r="C39" s="152"/>
      <c r="D39" s="186"/>
      <c r="E39" s="186"/>
      <c r="F39" s="34" t="s">
        <v>1680</v>
      </c>
      <c r="G39" s="12" t="s">
        <v>602</v>
      </c>
      <c r="H39" s="34" t="s">
        <v>1681</v>
      </c>
      <c r="I39" s="28" t="s">
        <v>10</v>
      </c>
      <c r="J39" s="11"/>
      <c r="K39" s="33"/>
      <c r="L39" s="29"/>
    </row>
    <row r="40" spans="2:12" ht="54" customHeight="1" x14ac:dyDescent="0.2">
      <c r="B40" s="152"/>
      <c r="C40" s="152"/>
      <c r="D40" s="186"/>
      <c r="E40" s="186"/>
      <c r="F40" s="34" t="s">
        <v>1682</v>
      </c>
      <c r="G40" s="12" t="s">
        <v>43</v>
      </c>
      <c r="H40" s="34" t="s">
        <v>1683</v>
      </c>
      <c r="I40" s="28" t="s">
        <v>10</v>
      </c>
      <c r="J40" s="11"/>
      <c r="K40" s="33"/>
      <c r="L40" s="29"/>
    </row>
    <row r="41" spans="2:12" ht="54" customHeight="1" x14ac:dyDescent="0.2">
      <c r="B41" s="152"/>
      <c r="C41" s="152"/>
      <c r="D41" s="186"/>
      <c r="E41" s="186"/>
      <c r="F41" s="34" t="s">
        <v>1684</v>
      </c>
      <c r="G41" s="12" t="s">
        <v>36</v>
      </c>
      <c r="H41" s="34" t="s">
        <v>2336</v>
      </c>
      <c r="I41" s="28" t="s">
        <v>10</v>
      </c>
      <c r="J41" s="11"/>
      <c r="K41" s="33"/>
      <c r="L41" s="29"/>
    </row>
    <row r="42" spans="2:12" ht="54" customHeight="1" x14ac:dyDescent="0.2">
      <c r="B42" s="152"/>
      <c r="C42" s="152"/>
      <c r="D42" s="186"/>
      <c r="E42" s="186"/>
      <c r="F42" s="34" t="s">
        <v>1685</v>
      </c>
      <c r="G42" s="12" t="s">
        <v>39</v>
      </c>
      <c r="H42" s="34" t="s">
        <v>2335</v>
      </c>
      <c r="I42" s="28" t="s">
        <v>10</v>
      </c>
      <c r="J42" s="11"/>
      <c r="K42" s="33"/>
      <c r="L42" s="29"/>
    </row>
    <row r="43" spans="2:12" ht="5.25" customHeight="1" x14ac:dyDescent="0.2"/>
    <row r="44" spans="2:12" ht="31" customHeight="1" x14ac:dyDescent="0.2">
      <c r="B44" s="69" t="s">
        <v>34</v>
      </c>
      <c r="C44" s="69" t="s">
        <v>258</v>
      </c>
      <c r="D44" s="69" t="s">
        <v>259</v>
      </c>
      <c r="E44" s="169" t="s">
        <v>32</v>
      </c>
      <c r="F44" s="170"/>
      <c r="G44" s="169" t="s">
        <v>16</v>
      </c>
      <c r="H44" s="170"/>
      <c r="I44" s="71" t="s">
        <v>8</v>
      </c>
      <c r="J44" s="69" t="s">
        <v>17</v>
      </c>
      <c r="K44" s="72" t="s">
        <v>44</v>
      </c>
      <c r="L44" s="69" t="s">
        <v>45</v>
      </c>
    </row>
    <row r="45" spans="2:12" ht="79.75" customHeight="1" x14ac:dyDescent="0.2">
      <c r="B45" s="151" t="s">
        <v>97</v>
      </c>
      <c r="C45" s="151" t="s">
        <v>260</v>
      </c>
      <c r="D45" s="177" t="s">
        <v>1686</v>
      </c>
      <c r="E45" s="129" t="s">
        <v>1687</v>
      </c>
      <c r="F45" s="130"/>
      <c r="G45" s="127" t="s">
        <v>1688</v>
      </c>
      <c r="H45" s="128"/>
      <c r="I45" s="28" t="s">
        <v>10</v>
      </c>
      <c r="J45" s="11"/>
      <c r="K45" s="33"/>
      <c r="L45" s="29"/>
    </row>
    <row r="46" spans="2:12" ht="79.75" customHeight="1" x14ac:dyDescent="0.2">
      <c r="B46" s="152"/>
      <c r="C46" s="152"/>
      <c r="D46" s="178"/>
      <c r="E46" s="131"/>
      <c r="F46" s="132"/>
      <c r="G46" s="127" t="s">
        <v>2340</v>
      </c>
      <c r="H46" s="128"/>
      <c r="I46" s="28" t="s">
        <v>10</v>
      </c>
      <c r="J46" s="11"/>
      <c r="K46" s="33"/>
      <c r="L46" s="29"/>
    </row>
    <row r="47" spans="2:12" ht="79.75" customHeight="1" x14ac:dyDescent="0.2">
      <c r="B47" s="173"/>
      <c r="C47" s="173"/>
      <c r="D47" s="179"/>
      <c r="E47" s="133"/>
      <c r="F47" s="134"/>
      <c r="G47" s="127" t="s">
        <v>1689</v>
      </c>
      <c r="H47" s="128"/>
      <c r="I47" s="28" t="s">
        <v>10</v>
      </c>
      <c r="J47" s="11"/>
      <c r="K47" s="33"/>
      <c r="L47" s="29"/>
    </row>
    <row r="48" spans="2:12" ht="83.5" customHeight="1" x14ac:dyDescent="0.2">
      <c r="B48" s="143" t="s">
        <v>97</v>
      </c>
      <c r="C48" s="143" t="s">
        <v>261</v>
      </c>
      <c r="D48" s="181" t="s">
        <v>1690</v>
      </c>
      <c r="E48" s="135" t="s">
        <v>1691</v>
      </c>
      <c r="F48" s="136"/>
      <c r="G48" s="141" t="s">
        <v>1692</v>
      </c>
      <c r="H48" s="142"/>
      <c r="I48" s="28" t="s">
        <v>10</v>
      </c>
      <c r="J48" s="36"/>
      <c r="K48" s="37"/>
      <c r="L48" s="38"/>
    </row>
    <row r="49" spans="2:12" ht="83.5" customHeight="1" x14ac:dyDescent="0.2">
      <c r="B49" s="144"/>
      <c r="C49" s="144"/>
      <c r="D49" s="182"/>
      <c r="E49" s="137"/>
      <c r="F49" s="138"/>
      <c r="G49" s="141" t="s">
        <v>1693</v>
      </c>
      <c r="H49" s="142"/>
      <c r="I49" s="28" t="s">
        <v>10</v>
      </c>
      <c r="J49" s="36"/>
      <c r="K49" s="37"/>
      <c r="L49" s="38"/>
    </row>
    <row r="50" spans="2:12" ht="83.5" customHeight="1" x14ac:dyDescent="0.2">
      <c r="B50" s="144"/>
      <c r="C50" s="144"/>
      <c r="D50" s="182"/>
      <c r="E50" s="139"/>
      <c r="F50" s="140"/>
      <c r="G50" s="141" t="s">
        <v>1694</v>
      </c>
      <c r="H50" s="142"/>
      <c r="I50" s="28" t="s">
        <v>10</v>
      </c>
      <c r="J50" s="36"/>
      <c r="K50" s="37"/>
      <c r="L50" s="38"/>
    </row>
    <row r="51" spans="2:12" ht="79.75" customHeight="1" x14ac:dyDescent="0.2">
      <c r="B51" s="151" t="s">
        <v>97</v>
      </c>
      <c r="C51" s="151" t="s">
        <v>262</v>
      </c>
      <c r="D51" s="177" t="s">
        <v>1695</v>
      </c>
      <c r="E51" s="129" t="s">
        <v>1696</v>
      </c>
      <c r="F51" s="130"/>
      <c r="G51" s="127" t="s">
        <v>1697</v>
      </c>
      <c r="H51" s="128"/>
      <c r="I51" s="28" t="s">
        <v>10</v>
      </c>
      <c r="J51" s="11"/>
      <c r="K51" s="33"/>
      <c r="L51" s="29"/>
    </row>
    <row r="52" spans="2:12" ht="79.75" customHeight="1" x14ac:dyDescent="0.2">
      <c r="B52" s="152"/>
      <c r="C52" s="152"/>
      <c r="D52" s="178"/>
      <c r="E52" s="131"/>
      <c r="F52" s="132"/>
      <c r="G52" s="127" t="s">
        <v>1698</v>
      </c>
      <c r="H52" s="128"/>
      <c r="I52" s="28" t="s">
        <v>10</v>
      </c>
      <c r="J52" s="11"/>
      <c r="K52" s="33"/>
      <c r="L52" s="29"/>
    </row>
    <row r="53" spans="2:12" ht="79.75" customHeight="1" x14ac:dyDescent="0.2">
      <c r="B53" s="173"/>
      <c r="C53" s="173"/>
      <c r="D53" s="179"/>
      <c r="E53" s="133"/>
      <c r="F53" s="134"/>
      <c r="G53" s="127" t="s">
        <v>1699</v>
      </c>
      <c r="H53" s="128"/>
      <c r="I53" s="28" t="s">
        <v>10</v>
      </c>
      <c r="J53" s="11"/>
      <c r="K53" s="33"/>
      <c r="L53" s="29"/>
    </row>
    <row r="54" spans="2:12" ht="83.5" customHeight="1" x14ac:dyDescent="0.2">
      <c r="B54" s="143" t="s">
        <v>97</v>
      </c>
      <c r="C54" s="143" t="s">
        <v>263</v>
      </c>
      <c r="D54" s="181" t="s">
        <v>1700</v>
      </c>
      <c r="E54" s="135" t="s">
        <v>2339</v>
      </c>
      <c r="F54" s="136"/>
      <c r="G54" s="141" t="s">
        <v>1701</v>
      </c>
      <c r="H54" s="142"/>
      <c r="I54" s="28" t="s">
        <v>10</v>
      </c>
      <c r="J54" s="36"/>
      <c r="K54" s="37"/>
      <c r="L54" s="38"/>
    </row>
    <row r="55" spans="2:12" ht="83.5" customHeight="1" x14ac:dyDescent="0.2">
      <c r="B55" s="144"/>
      <c r="C55" s="144"/>
      <c r="D55" s="182"/>
      <c r="E55" s="137"/>
      <c r="F55" s="138"/>
      <c r="G55" s="141" t="s">
        <v>2334</v>
      </c>
      <c r="H55" s="142"/>
      <c r="I55" s="28" t="s">
        <v>10</v>
      </c>
      <c r="J55" s="36"/>
      <c r="K55" s="37"/>
      <c r="L55" s="38"/>
    </row>
    <row r="56" spans="2:12" ht="83.5" customHeight="1" x14ac:dyDescent="0.2">
      <c r="B56" s="144"/>
      <c r="C56" s="144"/>
      <c r="D56" s="182"/>
      <c r="E56" s="139"/>
      <c r="F56" s="140"/>
      <c r="G56" s="141" t="s">
        <v>1702</v>
      </c>
      <c r="H56" s="142"/>
      <c r="I56" s="28" t="s">
        <v>10</v>
      </c>
      <c r="J56" s="36"/>
      <c r="K56" s="37"/>
      <c r="L56" s="38"/>
    </row>
    <row r="57" spans="2:12" ht="79.75" customHeight="1" x14ac:dyDescent="0.2">
      <c r="B57" s="151" t="s">
        <v>97</v>
      </c>
      <c r="C57" s="151" t="s">
        <v>264</v>
      </c>
      <c r="D57" s="177" t="s">
        <v>1703</v>
      </c>
      <c r="E57" s="129" t="s">
        <v>1704</v>
      </c>
      <c r="F57" s="130"/>
      <c r="G57" s="127" t="s">
        <v>2337</v>
      </c>
      <c r="H57" s="128"/>
      <c r="I57" s="28" t="s">
        <v>10</v>
      </c>
      <c r="J57" s="11"/>
      <c r="K57" s="33"/>
      <c r="L57" s="29"/>
    </row>
    <row r="58" spans="2:12" ht="79.75" customHeight="1" x14ac:dyDescent="0.2">
      <c r="B58" s="152"/>
      <c r="C58" s="152"/>
      <c r="D58" s="178"/>
      <c r="E58" s="131"/>
      <c r="F58" s="132"/>
      <c r="G58" s="127" t="s">
        <v>2338</v>
      </c>
      <c r="H58" s="128"/>
      <c r="I58" s="28" t="s">
        <v>10</v>
      </c>
      <c r="J58" s="11"/>
      <c r="K58" s="33"/>
      <c r="L58" s="29"/>
    </row>
    <row r="59" spans="2:12" ht="79.75" customHeight="1" x14ac:dyDescent="0.2">
      <c r="B59" s="173"/>
      <c r="C59" s="173"/>
      <c r="D59" s="179"/>
      <c r="E59" s="133"/>
      <c r="F59" s="134"/>
      <c r="G59" s="127" t="s">
        <v>1705</v>
      </c>
      <c r="H59" s="128"/>
      <c r="I59" s="28" t="s">
        <v>10</v>
      </c>
      <c r="J59" s="11"/>
      <c r="K59" s="33"/>
      <c r="L59" s="29"/>
    </row>
    <row r="205" spans="1:13" s="4" customFormat="1" x14ac:dyDescent="0.2">
      <c r="A205" s="1"/>
      <c r="B205" s="2"/>
      <c r="C205" s="3"/>
      <c r="D205" s="3"/>
      <c r="E205" s="3"/>
      <c r="G205" s="3"/>
      <c r="I205" s="6"/>
      <c r="J205" s="1"/>
      <c r="K205" s="30"/>
      <c r="L205" s="1"/>
      <c r="M205" s="1"/>
    </row>
    <row r="206" spans="1:13" s="4" customFormat="1" x14ac:dyDescent="0.2">
      <c r="A206" s="1"/>
      <c r="B206" s="2"/>
      <c r="C206" s="3"/>
      <c r="D206" s="3"/>
      <c r="E206" s="3"/>
      <c r="G206" s="79"/>
      <c r="I206" s="6"/>
      <c r="J206" s="1"/>
      <c r="K206" s="30"/>
      <c r="L206" s="1"/>
      <c r="M206" s="1"/>
    </row>
    <row r="207" spans="1:13" s="4" customFormat="1" x14ac:dyDescent="0.2">
      <c r="A207" s="1"/>
      <c r="B207" s="2"/>
      <c r="C207" s="3"/>
      <c r="D207" s="3"/>
      <c r="E207" s="3"/>
      <c r="G207" s="80"/>
      <c r="I207" s="6"/>
      <c r="J207" s="1"/>
      <c r="K207" s="30"/>
      <c r="L207" s="1"/>
      <c r="M207" s="1"/>
    </row>
    <row r="208" spans="1:13" s="4" customFormat="1" x14ac:dyDescent="0.2">
      <c r="A208" s="1"/>
      <c r="B208" s="2"/>
      <c r="C208" s="3"/>
      <c r="D208" s="3"/>
      <c r="E208" s="3"/>
      <c r="G208" s="81"/>
      <c r="I208" s="6"/>
      <c r="J208" s="1"/>
      <c r="K208" s="30"/>
      <c r="L208" s="1"/>
      <c r="M208" s="1"/>
    </row>
    <row r="209" spans="1:13" s="4" customFormat="1" x14ac:dyDescent="0.2">
      <c r="A209" s="1"/>
      <c r="B209" s="2"/>
      <c r="C209" s="3"/>
      <c r="D209" s="3"/>
      <c r="E209" s="3"/>
      <c r="G209" s="82"/>
      <c r="I209" s="6"/>
      <c r="J209" s="1"/>
      <c r="K209" s="30"/>
      <c r="L209" s="1"/>
      <c r="M209" s="1"/>
    </row>
    <row r="210" spans="1:13" s="4" customFormat="1" x14ac:dyDescent="0.2">
      <c r="A210" s="1"/>
      <c r="B210" s="2"/>
      <c r="C210" s="3"/>
      <c r="D210" s="3"/>
      <c r="E210" s="3"/>
      <c r="G210" s="79"/>
      <c r="I210" s="6"/>
      <c r="J210" s="1"/>
      <c r="K210" s="30"/>
      <c r="L210" s="1"/>
      <c r="M210" s="1"/>
    </row>
    <row r="214" spans="1:13" s="4" customFormat="1" x14ac:dyDescent="0.2">
      <c r="A214" s="1"/>
      <c r="B214" s="2"/>
      <c r="C214" s="3"/>
      <c r="D214" s="3"/>
      <c r="E214" s="3"/>
      <c r="G214" s="83"/>
      <c r="I214" s="6"/>
      <c r="J214" s="1"/>
      <c r="K214" s="30"/>
      <c r="L214" s="1"/>
      <c r="M214" s="1"/>
    </row>
    <row r="215" spans="1:13" s="4" customFormat="1" x14ac:dyDescent="0.2">
      <c r="A215" s="1"/>
      <c r="B215" s="2"/>
      <c r="C215" s="3"/>
      <c r="D215" s="3"/>
      <c r="E215" s="3"/>
      <c r="G215" s="84"/>
      <c r="I215" s="6"/>
      <c r="J215" s="1"/>
      <c r="K215" s="30"/>
      <c r="L215" s="1"/>
      <c r="M215" s="1"/>
    </row>
    <row r="216" spans="1:13" s="4" customFormat="1" x14ac:dyDescent="0.2">
      <c r="A216" s="1"/>
      <c r="B216" s="2"/>
      <c r="C216" s="3"/>
      <c r="D216" s="3"/>
      <c r="E216" s="3"/>
      <c r="G216" s="81"/>
      <c r="I216" s="6"/>
      <c r="J216" s="1"/>
      <c r="K216" s="30"/>
      <c r="L216" s="1"/>
      <c r="M216" s="1"/>
    </row>
    <row r="217" spans="1:13" s="4" customFormat="1" x14ac:dyDescent="0.2">
      <c r="A217" s="1"/>
      <c r="B217" s="2"/>
      <c r="C217" s="3"/>
      <c r="D217" s="3"/>
      <c r="E217" s="3"/>
      <c r="G217" s="81"/>
      <c r="I217" s="6"/>
      <c r="J217" s="1"/>
      <c r="K217" s="30"/>
      <c r="L217" s="1"/>
      <c r="M217" s="1"/>
    </row>
    <row r="218" spans="1:13" s="4" customFormat="1" x14ac:dyDescent="0.2">
      <c r="A218" s="1"/>
      <c r="B218" s="2"/>
      <c r="C218" s="3"/>
      <c r="D218" s="3"/>
      <c r="E218" s="3"/>
      <c r="G218" s="79"/>
      <c r="I218" s="6"/>
      <c r="J218" s="1"/>
      <c r="K218" s="30"/>
      <c r="L218" s="1"/>
      <c r="M218" s="1"/>
    </row>
    <row r="222" spans="1:13" s="4" customFormat="1" x14ac:dyDescent="0.2">
      <c r="A222" s="1"/>
      <c r="B222" s="2"/>
      <c r="C222" s="3"/>
      <c r="D222" s="3"/>
      <c r="E222" s="3"/>
      <c r="G222" s="83"/>
      <c r="I222" s="6"/>
      <c r="J222" s="1"/>
      <c r="K222" s="30"/>
      <c r="L222" s="1"/>
      <c r="M222" s="1"/>
    </row>
    <row r="223" spans="1:13" s="4" customFormat="1" x14ac:dyDescent="0.2">
      <c r="A223" s="1"/>
      <c r="B223" s="2"/>
      <c r="C223" s="3"/>
      <c r="D223" s="3"/>
      <c r="E223" s="3"/>
      <c r="G223" s="84"/>
      <c r="I223" s="6"/>
      <c r="J223" s="1"/>
      <c r="K223" s="30"/>
      <c r="L223" s="1"/>
      <c r="M223" s="1"/>
    </row>
    <row r="224" spans="1:13" s="4" customFormat="1" x14ac:dyDescent="0.2">
      <c r="A224" s="1"/>
      <c r="B224" s="2"/>
      <c r="C224" s="3"/>
      <c r="D224" s="3"/>
      <c r="E224" s="3"/>
      <c r="G224" s="81"/>
      <c r="I224" s="6"/>
      <c r="J224" s="1"/>
      <c r="K224" s="30"/>
      <c r="L224" s="1"/>
      <c r="M224" s="1"/>
    </row>
    <row r="225" spans="1:13" s="4" customFormat="1" x14ac:dyDescent="0.2">
      <c r="A225" s="1"/>
      <c r="B225" s="2"/>
      <c r="C225" s="3"/>
      <c r="D225" s="3"/>
      <c r="E225" s="3"/>
      <c r="G225" s="81"/>
      <c r="I225" s="6"/>
      <c r="J225" s="1"/>
      <c r="K225" s="30"/>
      <c r="L225" s="1"/>
      <c r="M225" s="1"/>
    </row>
    <row r="226" spans="1:13" s="4" customFormat="1" x14ac:dyDescent="0.2">
      <c r="A226" s="1"/>
      <c r="B226" s="2"/>
      <c r="C226" s="3"/>
      <c r="D226" s="3"/>
      <c r="E226" s="3"/>
      <c r="G226" s="83"/>
      <c r="I226" s="6"/>
      <c r="J226" s="1"/>
      <c r="K226" s="30"/>
      <c r="L226" s="1"/>
      <c r="M226" s="1"/>
    </row>
    <row r="227" spans="1:13" s="4" customFormat="1" x14ac:dyDescent="0.2">
      <c r="A227" s="1"/>
      <c r="B227" s="2"/>
      <c r="C227" s="3"/>
      <c r="D227" s="3"/>
      <c r="E227" s="3"/>
      <c r="G227" s="85"/>
      <c r="I227" s="6"/>
      <c r="J227" s="1"/>
      <c r="K227" s="30"/>
      <c r="L227" s="1"/>
      <c r="M227" s="1"/>
    </row>
    <row r="228" spans="1:13" s="4" customFormat="1" x14ac:dyDescent="0.2">
      <c r="A228" s="1"/>
      <c r="B228" s="2"/>
      <c r="C228" s="3"/>
      <c r="D228" s="3"/>
      <c r="E228" s="3"/>
      <c r="G228" s="86"/>
      <c r="I228" s="6"/>
      <c r="J228" s="1"/>
      <c r="K228" s="30"/>
      <c r="L228" s="1"/>
      <c r="M228" s="1"/>
    </row>
  </sheetData>
  <mergeCells count="64">
    <mergeCell ref="G57:H57"/>
    <mergeCell ref="G58:H58"/>
    <mergeCell ref="G59:H59"/>
    <mergeCell ref="G51:H51"/>
    <mergeCell ref="G52:H52"/>
    <mergeCell ref="G53:H53"/>
    <mergeCell ref="E54:F56"/>
    <mergeCell ref="G54:H54"/>
    <mergeCell ref="G55:H55"/>
    <mergeCell ref="G56:H56"/>
    <mergeCell ref="G45:H45"/>
    <mergeCell ref="G46:H46"/>
    <mergeCell ref="G47:H47"/>
    <mergeCell ref="E48:F50"/>
    <mergeCell ref="G48:H48"/>
    <mergeCell ref="G49:H49"/>
    <mergeCell ref="G50:H50"/>
    <mergeCell ref="B57:B59"/>
    <mergeCell ref="C57:C59"/>
    <mergeCell ref="D57:D59"/>
    <mergeCell ref="E57:F59"/>
    <mergeCell ref="B51:B53"/>
    <mergeCell ref="C51:C53"/>
    <mergeCell ref="D51:D53"/>
    <mergeCell ref="E51:F53"/>
    <mergeCell ref="B54:B56"/>
    <mergeCell ref="C54:C56"/>
    <mergeCell ref="D54:D56"/>
    <mergeCell ref="B45:B47"/>
    <mergeCell ref="C45:C47"/>
    <mergeCell ref="D45:D47"/>
    <mergeCell ref="E45:F47"/>
    <mergeCell ref="B48:B50"/>
    <mergeCell ref="C48:C50"/>
    <mergeCell ref="D48:D50"/>
    <mergeCell ref="G44:H44"/>
    <mergeCell ref="B26:B31"/>
    <mergeCell ref="C26:C31"/>
    <mergeCell ref="D26:D31"/>
    <mergeCell ref="E26:E31"/>
    <mergeCell ref="B32:B36"/>
    <mergeCell ref="C32:C36"/>
    <mergeCell ref="D32:D36"/>
    <mergeCell ref="E32:E36"/>
    <mergeCell ref="B37:B42"/>
    <mergeCell ref="C37:C42"/>
    <mergeCell ref="D37:D42"/>
    <mergeCell ref="E37:E42"/>
    <mergeCell ref="E44:F44"/>
    <mergeCell ref="B20:B25"/>
    <mergeCell ref="C20:C25"/>
    <mergeCell ref="D20:D25"/>
    <mergeCell ref="E20:E25"/>
    <mergeCell ref="B2:J2"/>
    <mergeCell ref="B4:J4"/>
    <mergeCell ref="B6:H8"/>
    <mergeCell ref="I6:J6"/>
    <mergeCell ref="I7:J8"/>
    <mergeCell ref="C10:J10"/>
    <mergeCell ref="C11:J11"/>
    <mergeCell ref="B14:B19"/>
    <mergeCell ref="C14:C19"/>
    <mergeCell ref="D14:D19"/>
    <mergeCell ref="E14:E19"/>
  </mergeCells>
  <conditionalFormatting sqref="I1 I60:I1048576">
    <cfRule type="cellIs" dxfId="241" priority="18" operator="equal">
      <formula>1</formula>
    </cfRule>
  </conditionalFormatting>
  <conditionalFormatting sqref="I7">
    <cfRule type="cellIs" dxfId="240" priority="17" operator="equal">
      <formula>1</formula>
    </cfRule>
  </conditionalFormatting>
  <conditionalFormatting sqref="I14:I42">
    <cfRule type="expression" dxfId="83" priority="9" stopIfTrue="1">
      <formula>TRIM(UPPER(I14))="N/A"</formula>
    </cfRule>
    <cfRule type="expression" dxfId="82" priority="10">
      <formula>I14&gt;=0.9</formula>
    </cfRule>
    <cfRule type="expression" dxfId="81" priority="11">
      <formula>AND(I14&gt;=0.8, I14&lt;0.9)</formula>
    </cfRule>
    <cfRule type="expression" dxfId="80" priority="12">
      <formula>I14&lt;0.8</formula>
    </cfRule>
  </conditionalFormatting>
  <conditionalFormatting sqref="I45:I59">
    <cfRule type="expression" dxfId="75" priority="1" stopIfTrue="1">
      <formula>TRIM(UPPER(I45))="N/A"</formula>
    </cfRule>
    <cfRule type="expression" dxfId="74" priority="2">
      <formula>I45&gt;=0.9</formula>
    </cfRule>
    <cfRule type="expression" dxfId="73" priority="3">
      <formula>AND(I45&gt;=0.8, I45&lt;0.9)</formula>
    </cfRule>
    <cfRule type="expression" dxfId="72" priority="4">
      <formula>I45&lt;0.8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6DC44D3-1F53-044F-81AD-5CBDC896A729}">
          <x14:formula1>
            <xm:f>'Listas desplegables'!$C$4:$C$15</xm:f>
          </x14:formula1>
          <xm:sqref>I14:I42 I45:I59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2DC5A-4284-2441-9753-3B58419180FB}">
  <sheetPr>
    <tabColor rgb="FF0993A5"/>
  </sheetPr>
  <dimension ref="A1:M236"/>
  <sheetViews>
    <sheetView zoomScale="70" zoomScaleNormal="70" workbookViewId="0">
      <selection activeCell="L18" sqref="L18"/>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6.16406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94" t="s">
        <v>2173</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AVERAGEIF(I14:I47,"&lt;&gt;N/A")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92" customHeight="1" x14ac:dyDescent="0.2">
      <c r="B10" s="40" t="s">
        <v>13</v>
      </c>
      <c r="C10" s="147" t="s">
        <v>2344</v>
      </c>
      <c r="D10" s="148"/>
      <c r="E10" s="148"/>
      <c r="F10" s="148"/>
      <c r="G10" s="148"/>
      <c r="H10" s="148"/>
      <c r="I10" s="148"/>
      <c r="J10" s="149"/>
    </row>
    <row r="11" spans="2:12" ht="81" customHeight="1" x14ac:dyDescent="0.2">
      <c r="B11" s="39" t="s">
        <v>14</v>
      </c>
      <c r="C11" s="150" t="s">
        <v>2174</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54" customHeight="1" x14ac:dyDescent="0.2">
      <c r="B14" s="151" t="s">
        <v>99</v>
      </c>
      <c r="C14" s="151" t="s">
        <v>19</v>
      </c>
      <c r="D14" s="153" t="s">
        <v>2024</v>
      </c>
      <c r="E14" s="177" t="s">
        <v>2175</v>
      </c>
      <c r="F14" s="78" t="s">
        <v>2176</v>
      </c>
      <c r="G14" s="12" t="s">
        <v>36</v>
      </c>
      <c r="H14" s="34" t="s">
        <v>2352</v>
      </c>
      <c r="I14" s="28" t="s">
        <v>10</v>
      </c>
      <c r="J14" s="11"/>
      <c r="K14" s="33"/>
      <c r="L14" s="29"/>
    </row>
    <row r="15" spans="2:12" ht="54" customHeight="1" x14ac:dyDescent="0.2">
      <c r="B15" s="152"/>
      <c r="C15" s="152"/>
      <c r="D15" s="154"/>
      <c r="E15" s="178"/>
      <c r="F15" s="78" t="s">
        <v>2177</v>
      </c>
      <c r="G15" s="12" t="s">
        <v>35</v>
      </c>
      <c r="H15" s="34" t="s">
        <v>2346</v>
      </c>
      <c r="I15" s="28" t="s">
        <v>10</v>
      </c>
      <c r="J15" s="11"/>
      <c r="K15" s="33"/>
      <c r="L15" s="29"/>
    </row>
    <row r="16" spans="2:12" ht="54" customHeight="1" x14ac:dyDescent="0.2">
      <c r="B16" s="152"/>
      <c r="C16" s="152"/>
      <c r="D16" s="154"/>
      <c r="E16" s="178"/>
      <c r="F16" s="78" t="s">
        <v>2178</v>
      </c>
      <c r="G16" s="12" t="s">
        <v>43</v>
      </c>
      <c r="H16" s="34" t="s">
        <v>2347</v>
      </c>
      <c r="I16" s="28" t="s">
        <v>10</v>
      </c>
      <c r="J16" s="11"/>
      <c r="K16" s="33"/>
      <c r="L16" s="29"/>
    </row>
    <row r="17" spans="2:12" ht="54" customHeight="1" x14ac:dyDescent="0.2">
      <c r="B17" s="152"/>
      <c r="C17" s="152"/>
      <c r="D17" s="154"/>
      <c r="E17" s="178"/>
      <c r="F17" s="78" t="s">
        <v>2179</v>
      </c>
      <c r="G17" s="12" t="s">
        <v>38</v>
      </c>
      <c r="H17" s="34" t="s">
        <v>2348</v>
      </c>
      <c r="I17" s="28" t="s">
        <v>10</v>
      </c>
      <c r="J17" s="11"/>
      <c r="K17" s="33"/>
      <c r="L17" s="29"/>
    </row>
    <row r="18" spans="2:12" ht="54" customHeight="1" x14ac:dyDescent="0.2">
      <c r="B18" s="152"/>
      <c r="C18" s="152"/>
      <c r="D18" s="154"/>
      <c r="E18" s="178"/>
      <c r="F18" s="78" t="s">
        <v>2180</v>
      </c>
      <c r="G18" s="12" t="s">
        <v>37</v>
      </c>
      <c r="H18" s="34" t="s">
        <v>2349</v>
      </c>
      <c r="I18" s="28" t="s">
        <v>10</v>
      </c>
      <c r="J18" s="11"/>
      <c r="K18" s="33"/>
      <c r="L18" s="29"/>
    </row>
    <row r="19" spans="2:12" ht="54" customHeight="1" x14ac:dyDescent="0.2">
      <c r="B19" s="152"/>
      <c r="C19" s="152"/>
      <c r="D19" s="154"/>
      <c r="E19" s="178"/>
      <c r="F19" s="78" t="s">
        <v>2181</v>
      </c>
      <c r="G19" s="12" t="s">
        <v>43</v>
      </c>
      <c r="H19" s="34" t="s">
        <v>2182</v>
      </c>
      <c r="I19" s="28" t="s">
        <v>10</v>
      </c>
      <c r="J19" s="11"/>
      <c r="K19" s="33"/>
      <c r="L19" s="29"/>
    </row>
    <row r="20" spans="2:12" ht="54" customHeight="1" x14ac:dyDescent="0.2">
      <c r="B20" s="152"/>
      <c r="C20" s="152"/>
      <c r="D20" s="154"/>
      <c r="E20" s="178"/>
      <c r="F20" s="78" t="s">
        <v>2183</v>
      </c>
      <c r="G20" s="12" t="s">
        <v>35</v>
      </c>
      <c r="H20" s="34" t="s">
        <v>2350</v>
      </c>
      <c r="I20" s="28" t="s">
        <v>10</v>
      </c>
      <c r="J20" s="11"/>
      <c r="K20" s="33"/>
      <c r="L20" s="29"/>
    </row>
    <row r="21" spans="2:12" ht="54" customHeight="1" x14ac:dyDescent="0.2">
      <c r="B21" s="143" t="s">
        <v>99</v>
      </c>
      <c r="C21" s="143" t="s">
        <v>20</v>
      </c>
      <c r="D21" s="145" t="s">
        <v>2184</v>
      </c>
      <c r="E21" s="181" t="s">
        <v>2185</v>
      </c>
      <c r="F21" s="23" t="s">
        <v>2186</v>
      </c>
      <c r="G21" s="41" t="s">
        <v>39</v>
      </c>
      <c r="H21" s="35" t="s">
        <v>2187</v>
      </c>
      <c r="I21" s="28" t="s">
        <v>10</v>
      </c>
      <c r="J21" s="36"/>
      <c r="K21" s="37"/>
      <c r="L21" s="38"/>
    </row>
    <row r="22" spans="2:12" ht="54" customHeight="1" x14ac:dyDescent="0.2">
      <c r="B22" s="144"/>
      <c r="C22" s="144"/>
      <c r="D22" s="146"/>
      <c r="E22" s="182"/>
      <c r="F22" s="35" t="s">
        <v>2188</v>
      </c>
      <c r="G22" s="41" t="s">
        <v>43</v>
      </c>
      <c r="H22" s="35" t="s">
        <v>2189</v>
      </c>
      <c r="I22" s="28" t="s">
        <v>10</v>
      </c>
      <c r="J22" s="36"/>
      <c r="K22" s="37"/>
      <c r="L22" s="38"/>
    </row>
    <row r="23" spans="2:12" ht="54" customHeight="1" x14ac:dyDescent="0.2">
      <c r="B23" s="144"/>
      <c r="C23" s="144"/>
      <c r="D23" s="146"/>
      <c r="E23" s="182"/>
      <c r="F23" s="23" t="s">
        <v>2190</v>
      </c>
      <c r="G23" s="41" t="s">
        <v>38</v>
      </c>
      <c r="H23" s="35" t="s">
        <v>2345</v>
      </c>
      <c r="I23" s="28" t="s">
        <v>10</v>
      </c>
      <c r="J23" s="36"/>
      <c r="K23" s="37"/>
      <c r="L23" s="38"/>
    </row>
    <row r="24" spans="2:12" ht="54" customHeight="1" x14ac:dyDescent="0.2">
      <c r="B24" s="144"/>
      <c r="C24" s="144"/>
      <c r="D24" s="146"/>
      <c r="E24" s="182"/>
      <c r="F24" s="23" t="s">
        <v>2191</v>
      </c>
      <c r="G24" s="41" t="s">
        <v>37</v>
      </c>
      <c r="H24" s="35" t="s">
        <v>2351</v>
      </c>
      <c r="I24" s="28" t="s">
        <v>10</v>
      </c>
      <c r="J24" s="36"/>
      <c r="K24" s="37"/>
      <c r="L24" s="38"/>
    </row>
    <row r="25" spans="2:12" ht="54" customHeight="1" x14ac:dyDescent="0.2">
      <c r="B25" s="144"/>
      <c r="C25" s="144"/>
      <c r="D25" s="146"/>
      <c r="E25" s="182"/>
      <c r="F25" s="23" t="s">
        <v>2192</v>
      </c>
      <c r="G25" s="41" t="s">
        <v>36</v>
      </c>
      <c r="H25" s="35" t="s">
        <v>2193</v>
      </c>
      <c r="I25" s="28" t="s">
        <v>10</v>
      </c>
      <c r="J25" s="36"/>
      <c r="K25" s="37"/>
      <c r="L25" s="38"/>
    </row>
    <row r="26" spans="2:12" ht="54" customHeight="1" x14ac:dyDescent="0.2">
      <c r="B26" s="144"/>
      <c r="C26" s="144"/>
      <c r="D26" s="146"/>
      <c r="E26" s="182"/>
      <c r="F26" s="23" t="s">
        <v>2194</v>
      </c>
      <c r="G26" s="41" t="s">
        <v>36</v>
      </c>
      <c r="H26" s="35" t="s">
        <v>2195</v>
      </c>
      <c r="I26" s="28" t="s">
        <v>10</v>
      </c>
      <c r="J26" s="36"/>
      <c r="K26" s="37"/>
      <c r="L26" s="38"/>
    </row>
    <row r="27" spans="2:12" ht="54" customHeight="1" x14ac:dyDescent="0.2">
      <c r="B27" s="144"/>
      <c r="C27" s="144"/>
      <c r="D27" s="146"/>
      <c r="E27" s="182"/>
      <c r="F27" s="23" t="s">
        <v>1447</v>
      </c>
      <c r="G27" s="41" t="s">
        <v>39</v>
      </c>
      <c r="H27" s="35" t="s">
        <v>2196</v>
      </c>
      <c r="I27" s="28" t="s">
        <v>10</v>
      </c>
      <c r="J27" s="36"/>
      <c r="K27" s="37"/>
      <c r="L27" s="38"/>
    </row>
    <row r="28" spans="2:12" ht="54" customHeight="1" x14ac:dyDescent="0.2">
      <c r="B28" s="151" t="s">
        <v>99</v>
      </c>
      <c r="C28" s="151" t="s">
        <v>21</v>
      </c>
      <c r="D28" s="177" t="s">
        <v>1449</v>
      </c>
      <c r="E28" s="177" t="s">
        <v>2197</v>
      </c>
      <c r="F28" s="22" t="s">
        <v>2198</v>
      </c>
      <c r="G28" s="12" t="s">
        <v>39</v>
      </c>
      <c r="H28" s="34" t="s">
        <v>2353</v>
      </c>
      <c r="I28" s="28" t="s">
        <v>10</v>
      </c>
      <c r="J28" s="11"/>
      <c r="K28" s="33"/>
      <c r="L28" s="29"/>
    </row>
    <row r="29" spans="2:12" ht="54" customHeight="1" x14ac:dyDescent="0.2">
      <c r="B29" s="152"/>
      <c r="C29" s="152"/>
      <c r="D29" s="178"/>
      <c r="E29" s="178"/>
      <c r="F29" s="22" t="s">
        <v>2199</v>
      </c>
      <c r="G29" s="12" t="s">
        <v>36</v>
      </c>
      <c r="H29" s="34" t="s">
        <v>2200</v>
      </c>
      <c r="I29" s="28" t="s">
        <v>10</v>
      </c>
      <c r="J29" s="11"/>
      <c r="K29" s="33"/>
      <c r="L29" s="29"/>
    </row>
    <row r="30" spans="2:12" ht="54" customHeight="1" x14ac:dyDescent="0.2">
      <c r="B30" s="152"/>
      <c r="C30" s="152"/>
      <c r="D30" s="178"/>
      <c r="E30" s="178"/>
      <c r="F30" s="22" t="s">
        <v>2201</v>
      </c>
      <c r="G30" s="12" t="s">
        <v>38</v>
      </c>
      <c r="H30" s="34" t="s">
        <v>2202</v>
      </c>
      <c r="I30" s="28" t="s">
        <v>10</v>
      </c>
      <c r="J30" s="11"/>
      <c r="K30" s="33"/>
      <c r="L30" s="29"/>
    </row>
    <row r="31" spans="2:12" ht="54" customHeight="1" x14ac:dyDescent="0.2">
      <c r="B31" s="152"/>
      <c r="C31" s="152"/>
      <c r="D31" s="178"/>
      <c r="E31" s="178"/>
      <c r="F31" s="22" t="s">
        <v>2203</v>
      </c>
      <c r="G31" s="12" t="s">
        <v>38</v>
      </c>
      <c r="H31" s="34" t="s">
        <v>2354</v>
      </c>
      <c r="I31" s="28" t="s">
        <v>10</v>
      </c>
      <c r="J31" s="11"/>
      <c r="K31" s="33"/>
      <c r="L31" s="29"/>
    </row>
    <row r="32" spans="2:12" ht="54" customHeight="1" x14ac:dyDescent="0.2">
      <c r="B32" s="152"/>
      <c r="C32" s="152"/>
      <c r="D32" s="178"/>
      <c r="E32" s="178"/>
      <c r="F32" s="22" t="s">
        <v>2204</v>
      </c>
      <c r="G32" s="12" t="s">
        <v>2122</v>
      </c>
      <c r="H32" s="34" t="s">
        <v>2205</v>
      </c>
      <c r="I32" s="28" t="s">
        <v>10</v>
      </c>
      <c r="J32" s="11"/>
      <c r="K32" s="33"/>
      <c r="L32" s="29"/>
    </row>
    <row r="33" spans="2:12" ht="54" customHeight="1" x14ac:dyDescent="0.2">
      <c r="B33" s="152"/>
      <c r="C33" s="152"/>
      <c r="D33" s="178"/>
      <c r="E33" s="178"/>
      <c r="F33" s="22" t="s">
        <v>2206</v>
      </c>
      <c r="G33" s="12" t="s">
        <v>39</v>
      </c>
      <c r="H33" s="34" t="s">
        <v>2207</v>
      </c>
      <c r="I33" s="28" t="s">
        <v>10</v>
      </c>
      <c r="J33" s="11"/>
      <c r="K33" s="33"/>
      <c r="L33" s="29"/>
    </row>
    <row r="34" spans="2:12" ht="54" customHeight="1" x14ac:dyDescent="0.2">
      <c r="B34" s="152"/>
      <c r="C34" s="152"/>
      <c r="D34" s="178"/>
      <c r="E34" s="178"/>
      <c r="F34" s="22" t="s">
        <v>2208</v>
      </c>
      <c r="G34" s="12" t="s">
        <v>36</v>
      </c>
      <c r="H34" s="34" t="s">
        <v>2355</v>
      </c>
      <c r="I34" s="28" t="s">
        <v>10</v>
      </c>
      <c r="J34" s="11"/>
      <c r="K34" s="33"/>
      <c r="L34" s="29"/>
    </row>
    <row r="35" spans="2:12" ht="54" customHeight="1" x14ac:dyDescent="0.2">
      <c r="B35" s="152"/>
      <c r="C35" s="152"/>
      <c r="D35" s="178"/>
      <c r="E35" s="178"/>
      <c r="F35" s="22" t="s">
        <v>2209</v>
      </c>
      <c r="G35" s="12" t="s">
        <v>2122</v>
      </c>
      <c r="H35" s="34" t="s">
        <v>2356</v>
      </c>
      <c r="I35" s="28" t="s">
        <v>10</v>
      </c>
      <c r="J35" s="11"/>
      <c r="K35" s="33"/>
      <c r="L35" s="29"/>
    </row>
    <row r="36" spans="2:12" ht="54" customHeight="1" x14ac:dyDescent="0.2">
      <c r="B36" s="143" t="s">
        <v>99</v>
      </c>
      <c r="C36" s="143" t="s">
        <v>23</v>
      </c>
      <c r="D36" s="181" t="s">
        <v>2210</v>
      </c>
      <c r="E36" s="181" t="s">
        <v>2211</v>
      </c>
      <c r="F36" s="23" t="s">
        <v>2212</v>
      </c>
      <c r="G36" s="41" t="s">
        <v>602</v>
      </c>
      <c r="H36" s="35" t="s">
        <v>2357</v>
      </c>
      <c r="I36" s="28" t="s">
        <v>10</v>
      </c>
      <c r="J36" s="36"/>
      <c r="K36" s="37"/>
      <c r="L36" s="38"/>
    </row>
    <row r="37" spans="2:12" ht="54" customHeight="1" x14ac:dyDescent="0.2">
      <c r="B37" s="144"/>
      <c r="C37" s="144"/>
      <c r="D37" s="182"/>
      <c r="E37" s="182"/>
      <c r="F37" s="23" t="s">
        <v>1740</v>
      </c>
      <c r="G37" s="41" t="s">
        <v>602</v>
      </c>
      <c r="H37" s="35" t="s">
        <v>2358</v>
      </c>
      <c r="I37" s="28" t="s">
        <v>10</v>
      </c>
      <c r="J37" s="36"/>
      <c r="K37" s="37"/>
      <c r="L37" s="38"/>
    </row>
    <row r="38" spans="2:12" ht="54" customHeight="1" x14ac:dyDescent="0.2">
      <c r="B38" s="144"/>
      <c r="C38" s="144"/>
      <c r="D38" s="182"/>
      <c r="E38" s="182"/>
      <c r="F38" s="23" t="s">
        <v>2213</v>
      </c>
      <c r="G38" s="41" t="s">
        <v>36</v>
      </c>
      <c r="H38" s="35" t="s">
        <v>2359</v>
      </c>
      <c r="I38" s="28" t="s">
        <v>10</v>
      </c>
      <c r="J38" s="36"/>
      <c r="K38" s="37"/>
      <c r="L38" s="38"/>
    </row>
    <row r="39" spans="2:12" ht="54" customHeight="1" x14ac:dyDescent="0.2">
      <c r="B39" s="144"/>
      <c r="C39" s="144"/>
      <c r="D39" s="182"/>
      <c r="E39" s="182"/>
      <c r="F39" s="23" t="s">
        <v>2214</v>
      </c>
      <c r="G39" s="41" t="s">
        <v>39</v>
      </c>
      <c r="H39" s="35" t="s">
        <v>2360</v>
      </c>
      <c r="I39" s="28" t="s">
        <v>10</v>
      </c>
      <c r="J39" s="36"/>
      <c r="K39" s="37"/>
      <c r="L39" s="38"/>
    </row>
    <row r="40" spans="2:12" ht="54" customHeight="1" x14ac:dyDescent="0.2">
      <c r="B40" s="144"/>
      <c r="C40" s="144"/>
      <c r="D40" s="182"/>
      <c r="E40" s="182"/>
      <c r="F40" s="23" t="s">
        <v>2215</v>
      </c>
      <c r="G40" s="41" t="s">
        <v>38</v>
      </c>
      <c r="H40" s="35" t="s">
        <v>2216</v>
      </c>
      <c r="I40" s="28" t="s">
        <v>10</v>
      </c>
      <c r="J40" s="36"/>
      <c r="K40" s="37"/>
      <c r="L40" s="38"/>
    </row>
    <row r="41" spans="2:12" ht="54" customHeight="1" x14ac:dyDescent="0.2">
      <c r="B41" s="144"/>
      <c r="C41" s="144"/>
      <c r="D41" s="182"/>
      <c r="E41" s="182"/>
      <c r="F41" s="23" t="s">
        <v>1758</v>
      </c>
      <c r="G41" s="41" t="s">
        <v>35</v>
      </c>
      <c r="H41" s="35" t="s">
        <v>2217</v>
      </c>
      <c r="I41" s="28" t="s">
        <v>10</v>
      </c>
      <c r="J41" s="36"/>
      <c r="K41" s="37"/>
      <c r="L41" s="38"/>
    </row>
    <row r="42" spans="2:12" ht="54" customHeight="1" x14ac:dyDescent="0.2">
      <c r="B42" s="151" t="s">
        <v>99</v>
      </c>
      <c r="C42" s="151" t="s">
        <v>24</v>
      </c>
      <c r="D42" s="185" t="s">
        <v>2218</v>
      </c>
      <c r="E42" s="185" t="s">
        <v>2219</v>
      </c>
      <c r="F42" s="34" t="s">
        <v>1480</v>
      </c>
      <c r="G42" s="12" t="s">
        <v>39</v>
      </c>
      <c r="H42" s="34" t="s">
        <v>2361</v>
      </c>
      <c r="I42" s="28" t="s">
        <v>10</v>
      </c>
      <c r="J42" s="11"/>
      <c r="K42" s="33"/>
      <c r="L42" s="29"/>
    </row>
    <row r="43" spans="2:12" ht="54" customHeight="1" x14ac:dyDescent="0.2">
      <c r="B43" s="152"/>
      <c r="C43" s="152"/>
      <c r="D43" s="186"/>
      <c r="E43" s="186"/>
      <c r="F43" s="34" t="s">
        <v>1482</v>
      </c>
      <c r="G43" s="12" t="s">
        <v>38</v>
      </c>
      <c r="H43" s="34" t="s">
        <v>2362</v>
      </c>
      <c r="I43" s="28" t="s">
        <v>10</v>
      </c>
      <c r="J43" s="11"/>
      <c r="K43" s="33"/>
      <c r="L43" s="29"/>
    </row>
    <row r="44" spans="2:12" ht="54" customHeight="1" x14ac:dyDescent="0.2">
      <c r="B44" s="152"/>
      <c r="C44" s="152"/>
      <c r="D44" s="186"/>
      <c r="E44" s="186"/>
      <c r="F44" s="34" t="s">
        <v>2220</v>
      </c>
      <c r="G44" s="12" t="s">
        <v>38</v>
      </c>
      <c r="H44" s="34" t="s">
        <v>2363</v>
      </c>
      <c r="I44" s="28" t="s">
        <v>10</v>
      </c>
      <c r="J44" s="11"/>
      <c r="K44" s="33"/>
      <c r="L44" s="29"/>
    </row>
    <row r="45" spans="2:12" ht="54" customHeight="1" x14ac:dyDescent="0.2">
      <c r="B45" s="152"/>
      <c r="C45" s="152"/>
      <c r="D45" s="186"/>
      <c r="E45" s="186"/>
      <c r="F45" s="34" t="s">
        <v>1486</v>
      </c>
      <c r="G45" s="12" t="s">
        <v>36</v>
      </c>
      <c r="H45" s="34" t="s">
        <v>2364</v>
      </c>
      <c r="I45" s="28" t="s">
        <v>10</v>
      </c>
      <c r="J45" s="11"/>
      <c r="K45" s="33"/>
      <c r="L45" s="29"/>
    </row>
    <row r="46" spans="2:12" ht="54" customHeight="1" x14ac:dyDescent="0.2">
      <c r="B46" s="152"/>
      <c r="C46" s="152"/>
      <c r="D46" s="186"/>
      <c r="E46" s="186"/>
      <c r="F46" s="34" t="s">
        <v>2221</v>
      </c>
      <c r="G46" s="12" t="s">
        <v>36</v>
      </c>
      <c r="H46" s="34" t="s">
        <v>2365</v>
      </c>
      <c r="I46" s="28" t="s">
        <v>10</v>
      </c>
      <c r="J46" s="11"/>
      <c r="K46" s="33"/>
      <c r="L46" s="29"/>
    </row>
    <row r="47" spans="2:12" ht="54" customHeight="1" x14ac:dyDescent="0.2">
      <c r="B47" s="152"/>
      <c r="C47" s="152"/>
      <c r="D47" s="186"/>
      <c r="E47" s="186"/>
      <c r="F47" s="34" t="s">
        <v>2222</v>
      </c>
      <c r="G47" s="12" t="s">
        <v>35</v>
      </c>
      <c r="H47" s="34" t="s">
        <v>2366</v>
      </c>
      <c r="I47" s="28" t="s">
        <v>10</v>
      </c>
      <c r="J47" s="11"/>
      <c r="K47" s="33"/>
      <c r="L47" s="29"/>
    </row>
    <row r="48" spans="2:12" ht="54" customHeight="1" x14ac:dyDescent="0.2">
      <c r="B48" s="143" t="s">
        <v>99</v>
      </c>
      <c r="C48" s="143" t="s">
        <v>25</v>
      </c>
      <c r="D48" s="181" t="s">
        <v>1852</v>
      </c>
      <c r="E48" s="191" t="s">
        <v>2223</v>
      </c>
      <c r="F48" s="87" t="s">
        <v>1493</v>
      </c>
      <c r="G48" s="41" t="s">
        <v>36</v>
      </c>
      <c r="H48" s="87" t="s">
        <v>2367</v>
      </c>
      <c r="I48" s="28" t="s">
        <v>10</v>
      </c>
      <c r="J48" s="11"/>
      <c r="K48" s="33"/>
      <c r="L48" s="29"/>
    </row>
    <row r="49" spans="2:12" ht="54" customHeight="1" x14ac:dyDescent="0.2">
      <c r="B49" s="144"/>
      <c r="C49" s="144"/>
      <c r="D49" s="182"/>
      <c r="E49" s="192"/>
      <c r="F49" s="87" t="s">
        <v>1765</v>
      </c>
      <c r="G49" s="41" t="s">
        <v>43</v>
      </c>
      <c r="H49" s="87" t="s">
        <v>2368</v>
      </c>
      <c r="I49" s="28" t="s">
        <v>10</v>
      </c>
      <c r="J49" s="11"/>
      <c r="K49" s="33"/>
      <c r="L49" s="29"/>
    </row>
    <row r="50" spans="2:12" ht="54" customHeight="1" x14ac:dyDescent="0.2">
      <c r="B50" s="144"/>
      <c r="C50" s="144"/>
      <c r="D50" s="182"/>
      <c r="E50" s="192"/>
      <c r="F50" s="87" t="s">
        <v>1497</v>
      </c>
      <c r="G50" s="41" t="s">
        <v>39</v>
      </c>
      <c r="H50" s="87" t="s">
        <v>2369</v>
      </c>
      <c r="I50" s="28" t="s">
        <v>10</v>
      </c>
      <c r="J50" s="11"/>
      <c r="K50" s="33"/>
      <c r="L50" s="29"/>
    </row>
    <row r="51" spans="2:12" ht="54" customHeight="1" x14ac:dyDescent="0.2">
      <c r="B51" s="144"/>
      <c r="C51" s="144"/>
      <c r="D51" s="182"/>
      <c r="E51" s="192"/>
      <c r="F51" s="87" t="s">
        <v>2088</v>
      </c>
      <c r="G51" s="41" t="s">
        <v>35</v>
      </c>
      <c r="H51" s="87" t="s">
        <v>2370</v>
      </c>
      <c r="I51" s="28" t="s">
        <v>10</v>
      </c>
      <c r="J51" s="11"/>
      <c r="K51" s="33"/>
      <c r="L51" s="29"/>
    </row>
    <row r="52" spans="2:12" ht="54" customHeight="1" x14ac:dyDescent="0.2">
      <c r="B52" s="144"/>
      <c r="C52" s="144"/>
      <c r="D52" s="182"/>
      <c r="E52" s="192"/>
      <c r="F52" s="87" t="s">
        <v>2224</v>
      </c>
      <c r="G52" s="41" t="s">
        <v>43</v>
      </c>
      <c r="H52" s="87" t="s">
        <v>2371</v>
      </c>
      <c r="I52" s="28" t="s">
        <v>10</v>
      </c>
      <c r="J52" s="11"/>
      <c r="K52" s="33"/>
      <c r="L52" s="29"/>
    </row>
    <row r="53" spans="2:12" ht="54" customHeight="1" x14ac:dyDescent="0.2">
      <c r="B53" s="144"/>
      <c r="C53" s="144"/>
      <c r="D53" s="182"/>
      <c r="E53" s="192"/>
      <c r="F53" s="87" t="s">
        <v>2225</v>
      </c>
      <c r="G53" s="41" t="s">
        <v>35</v>
      </c>
      <c r="H53" s="87" t="s">
        <v>2372</v>
      </c>
      <c r="I53" s="28" t="s">
        <v>10</v>
      </c>
      <c r="J53" s="11"/>
      <c r="K53" s="33"/>
      <c r="L53" s="29"/>
    </row>
    <row r="54" spans="2:12" ht="5.25" customHeight="1" x14ac:dyDescent="0.2"/>
    <row r="55" spans="2:12" ht="31" customHeight="1" x14ac:dyDescent="0.2">
      <c r="B55" s="69" t="s">
        <v>34</v>
      </c>
      <c r="C55" s="69" t="s">
        <v>258</v>
      </c>
      <c r="D55" s="69" t="s">
        <v>259</v>
      </c>
      <c r="E55" s="169" t="s">
        <v>32</v>
      </c>
      <c r="F55" s="170"/>
      <c r="G55" s="169" t="s">
        <v>16</v>
      </c>
      <c r="H55" s="170"/>
      <c r="I55" s="71" t="s">
        <v>8</v>
      </c>
      <c r="J55" s="69" t="s">
        <v>17</v>
      </c>
      <c r="K55" s="72" t="s">
        <v>44</v>
      </c>
      <c r="L55" s="69" t="s">
        <v>45</v>
      </c>
    </row>
    <row r="56" spans="2:12" ht="79.75" customHeight="1" x14ac:dyDescent="0.2">
      <c r="B56" s="151" t="s">
        <v>99</v>
      </c>
      <c r="C56" s="151" t="s">
        <v>260</v>
      </c>
      <c r="D56" s="177" t="s">
        <v>2226</v>
      </c>
      <c r="E56" s="129" t="s">
        <v>2227</v>
      </c>
      <c r="F56" s="130"/>
      <c r="G56" s="127" t="s">
        <v>2228</v>
      </c>
      <c r="H56" s="128"/>
      <c r="I56" s="28" t="s">
        <v>10</v>
      </c>
      <c r="J56" s="11"/>
      <c r="K56" s="33"/>
      <c r="L56" s="29"/>
    </row>
    <row r="57" spans="2:12" ht="79.75" customHeight="1" x14ac:dyDescent="0.2">
      <c r="B57" s="152"/>
      <c r="C57" s="152"/>
      <c r="D57" s="178"/>
      <c r="E57" s="131"/>
      <c r="F57" s="132"/>
      <c r="G57" s="127" t="s">
        <v>2229</v>
      </c>
      <c r="H57" s="128"/>
      <c r="I57" s="28" t="s">
        <v>10</v>
      </c>
      <c r="J57" s="11"/>
      <c r="K57" s="33"/>
      <c r="L57" s="29"/>
    </row>
    <row r="58" spans="2:12" ht="79.75" customHeight="1" x14ac:dyDescent="0.2">
      <c r="B58" s="173"/>
      <c r="C58" s="173"/>
      <c r="D58" s="179"/>
      <c r="E58" s="133"/>
      <c r="F58" s="134"/>
      <c r="G58" s="127" t="s">
        <v>2230</v>
      </c>
      <c r="H58" s="128"/>
      <c r="I58" s="28" t="s">
        <v>10</v>
      </c>
      <c r="J58" s="11"/>
      <c r="K58" s="33"/>
      <c r="L58" s="29"/>
    </row>
    <row r="59" spans="2:12" ht="83.5" customHeight="1" x14ac:dyDescent="0.2">
      <c r="B59" s="143" t="s">
        <v>99</v>
      </c>
      <c r="C59" s="143" t="s">
        <v>261</v>
      </c>
      <c r="D59" s="181" t="s">
        <v>2231</v>
      </c>
      <c r="E59" s="135" t="s">
        <v>2232</v>
      </c>
      <c r="F59" s="136"/>
      <c r="G59" s="141" t="s">
        <v>2343</v>
      </c>
      <c r="H59" s="142"/>
      <c r="I59" s="28" t="s">
        <v>10</v>
      </c>
      <c r="J59" s="36"/>
      <c r="K59" s="37"/>
      <c r="L59" s="38"/>
    </row>
    <row r="60" spans="2:12" ht="83.5" customHeight="1" x14ac:dyDescent="0.2">
      <c r="B60" s="144"/>
      <c r="C60" s="144"/>
      <c r="D60" s="182"/>
      <c r="E60" s="137"/>
      <c r="F60" s="138"/>
      <c r="G60" s="141" t="s">
        <v>2233</v>
      </c>
      <c r="H60" s="142"/>
      <c r="I60" s="28" t="s">
        <v>10</v>
      </c>
      <c r="J60" s="36"/>
      <c r="K60" s="37"/>
      <c r="L60" s="38"/>
    </row>
    <row r="61" spans="2:12" ht="83.5" customHeight="1" x14ac:dyDescent="0.2">
      <c r="B61" s="144"/>
      <c r="C61" s="144"/>
      <c r="D61" s="182"/>
      <c r="E61" s="139"/>
      <c r="F61" s="140"/>
      <c r="G61" s="141" t="s">
        <v>2234</v>
      </c>
      <c r="H61" s="142"/>
      <c r="I61" s="28" t="s">
        <v>10</v>
      </c>
      <c r="J61" s="36"/>
      <c r="K61" s="37"/>
      <c r="L61" s="38"/>
    </row>
    <row r="62" spans="2:12" ht="79.75" customHeight="1" x14ac:dyDescent="0.2">
      <c r="B62" s="151" t="s">
        <v>99</v>
      </c>
      <c r="C62" s="151" t="s">
        <v>262</v>
      </c>
      <c r="D62" s="177" t="s">
        <v>2235</v>
      </c>
      <c r="E62" s="129" t="s">
        <v>2236</v>
      </c>
      <c r="F62" s="130"/>
      <c r="G62" s="127" t="s">
        <v>2342</v>
      </c>
      <c r="H62" s="128"/>
      <c r="I62" s="28" t="s">
        <v>10</v>
      </c>
      <c r="J62" s="11"/>
      <c r="K62" s="33"/>
      <c r="L62" s="29"/>
    </row>
    <row r="63" spans="2:12" ht="79.75" customHeight="1" x14ac:dyDescent="0.2">
      <c r="B63" s="152"/>
      <c r="C63" s="152"/>
      <c r="D63" s="178"/>
      <c r="E63" s="131"/>
      <c r="F63" s="132"/>
      <c r="G63" s="127" t="s">
        <v>2237</v>
      </c>
      <c r="H63" s="128"/>
      <c r="I63" s="28" t="s">
        <v>10</v>
      </c>
      <c r="J63" s="11"/>
      <c r="K63" s="33"/>
      <c r="L63" s="29"/>
    </row>
    <row r="64" spans="2:12" ht="79.75" customHeight="1" x14ac:dyDescent="0.2">
      <c r="B64" s="173"/>
      <c r="C64" s="173"/>
      <c r="D64" s="179"/>
      <c r="E64" s="133"/>
      <c r="F64" s="134"/>
      <c r="G64" s="127" t="s">
        <v>2238</v>
      </c>
      <c r="H64" s="128"/>
      <c r="I64" s="28" t="s">
        <v>10</v>
      </c>
      <c r="J64" s="11"/>
      <c r="K64" s="33"/>
      <c r="L64" s="29"/>
    </row>
    <row r="65" spans="2:12" ht="83.5" customHeight="1" x14ac:dyDescent="0.2">
      <c r="B65" s="143" t="s">
        <v>99</v>
      </c>
      <c r="C65" s="143" t="s">
        <v>263</v>
      </c>
      <c r="D65" s="181" t="s">
        <v>2239</v>
      </c>
      <c r="E65" s="135" t="s">
        <v>2240</v>
      </c>
      <c r="F65" s="136"/>
      <c r="G65" s="141" t="s">
        <v>2241</v>
      </c>
      <c r="H65" s="142"/>
      <c r="I65" s="28" t="s">
        <v>10</v>
      </c>
      <c r="J65" s="36"/>
      <c r="K65" s="37"/>
      <c r="L65" s="38"/>
    </row>
    <row r="66" spans="2:12" ht="83.5" customHeight="1" x14ac:dyDescent="0.2">
      <c r="B66" s="144"/>
      <c r="C66" s="144"/>
      <c r="D66" s="182"/>
      <c r="E66" s="137"/>
      <c r="F66" s="138"/>
      <c r="G66" s="141" t="s">
        <v>2341</v>
      </c>
      <c r="H66" s="142"/>
      <c r="I66" s="28" t="s">
        <v>10</v>
      </c>
      <c r="J66" s="36"/>
      <c r="K66" s="37"/>
      <c r="L66" s="38"/>
    </row>
    <row r="67" spans="2:12" ht="83.5" customHeight="1" x14ac:dyDescent="0.2">
      <c r="B67" s="144"/>
      <c r="C67" s="144"/>
      <c r="D67" s="182"/>
      <c r="E67" s="139"/>
      <c r="F67" s="140"/>
      <c r="G67" s="141" t="s">
        <v>2242</v>
      </c>
      <c r="H67" s="142"/>
      <c r="I67" s="28" t="s">
        <v>10</v>
      </c>
      <c r="J67" s="36"/>
      <c r="K67" s="37"/>
      <c r="L67" s="38"/>
    </row>
    <row r="213" spans="1:13" s="4" customFormat="1" x14ac:dyDescent="0.2">
      <c r="A213" s="1"/>
      <c r="B213" s="2"/>
      <c r="C213" s="3"/>
      <c r="D213" s="3"/>
      <c r="E213" s="3"/>
      <c r="G213" s="3"/>
      <c r="I213" s="6"/>
      <c r="J213" s="1"/>
      <c r="K213" s="30"/>
      <c r="L213" s="1"/>
      <c r="M213" s="1"/>
    </row>
    <row r="214" spans="1:13" s="4" customFormat="1" x14ac:dyDescent="0.2">
      <c r="A214" s="1"/>
      <c r="B214" s="2"/>
      <c r="C214" s="3"/>
      <c r="D214" s="3"/>
      <c r="E214" s="3"/>
      <c r="G214" s="79"/>
      <c r="I214" s="6"/>
      <c r="J214" s="1"/>
      <c r="K214" s="30"/>
      <c r="L214" s="1"/>
      <c r="M214" s="1"/>
    </row>
    <row r="215" spans="1:13" s="4" customFormat="1" x14ac:dyDescent="0.2">
      <c r="A215" s="1"/>
      <c r="B215" s="2"/>
      <c r="C215" s="3"/>
      <c r="D215" s="3"/>
      <c r="E215" s="3"/>
      <c r="G215" s="80"/>
      <c r="I215" s="6"/>
      <c r="J215" s="1"/>
      <c r="K215" s="30"/>
      <c r="L215" s="1"/>
      <c r="M215" s="1"/>
    </row>
    <row r="216" spans="1:13" s="4" customFormat="1" x14ac:dyDescent="0.2">
      <c r="A216" s="1"/>
      <c r="B216" s="2"/>
      <c r="C216" s="3"/>
      <c r="D216" s="3"/>
      <c r="E216" s="3"/>
      <c r="G216" s="81"/>
      <c r="I216" s="6"/>
      <c r="J216" s="1"/>
      <c r="K216" s="30"/>
      <c r="L216" s="1"/>
      <c r="M216" s="1"/>
    </row>
    <row r="217" spans="1:13" s="4" customFormat="1" x14ac:dyDescent="0.2">
      <c r="A217" s="1"/>
      <c r="B217" s="2"/>
      <c r="C217" s="3"/>
      <c r="D217" s="3"/>
      <c r="E217" s="3"/>
      <c r="G217" s="82"/>
      <c r="I217" s="6"/>
      <c r="J217" s="1"/>
      <c r="K217" s="30"/>
      <c r="L217" s="1"/>
      <c r="M217" s="1"/>
    </row>
    <row r="218" spans="1:13" s="4" customFormat="1" x14ac:dyDescent="0.2">
      <c r="A218" s="1"/>
      <c r="B218" s="2"/>
      <c r="C218" s="3"/>
      <c r="D218" s="3"/>
      <c r="E218" s="3"/>
      <c r="G218" s="79"/>
      <c r="I218" s="6"/>
      <c r="J218" s="1"/>
      <c r="K218" s="30"/>
      <c r="L218" s="1"/>
      <c r="M218" s="1"/>
    </row>
    <row r="222" spans="1:13" s="4" customFormat="1" x14ac:dyDescent="0.2">
      <c r="A222" s="1"/>
      <c r="B222" s="2"/>
      <c r="C222" s="3"/>
      <c r="D222" s="3"/>
      <c r="E222" s="3"/>
      <c r="G222" s="83"/>
      <c r="I222" s="6"/>
      <c r="J222" s="1"/>
      <c r="K222" s="30"/>
      <c r="L222" s="1"/>
      <c r="M222" s="1"/>
    </row>
    <row r="223" spans="1:13" s="4" customFormat="1" x14ac:dyDescent="0.2">
      <c r="A223" s="1"/>
      <c r="B223" s="2"/>
      <c r="C223" s="3"/>
      <c r="D223" s="3"/>
      <c r="E223" s="3"/>
      <c r="G223" s="84"/>
      <c r="I223" s="6"/>
      <c r="J223" s="1"/>
      <c r="K223" s="30"/>
      <c r="L223" s="1"/>
      <c r="M223" s="1"/>
    </row>
    <row r="224" spans="1:13" s="4" customFormat="1" x14ac:dyDescent="0.2">
      <c r="A224" s="1"/>
      <c r="B224" s="2"/>
      <c r="C224" s="3"/>
      <c r="D224" s="3"/>
      <c r="E224" s="3"/>
      <c r="G224" s="81"/>
      <c r="I224" s="6"/>
      <c r="J224" s="1"/>
      <c r="K224" s="30"/>
      <c r="L224" s="1"/>
      <c r="M224" s="1"/>
    </row>
    <row r="225" spans="1:13" s="4" customFormat="1" x14ac:dyDescent="0.2">
      <c r="A225" s="1"/>
      <c r="B225" s="2"/>
      <c r="C225" s="3"/>
      <c r="D225" s="3"/>
      <c r="E225" s="3"/>
      <c r="G225" s="81"/>
      <c r="I225" s="6"/>
      <c r="J225" s="1"/>
      <c r="K225" s="30"/>
      <c r="L225" s="1"/>
      <c r="M225" s="1"/>
    </row>
    <row r="226" spans="1:13" s="4" customFormat="1" x14ac:dyDescent="0.2">
      <c r="A226" s="1"/>
      <c r="B226" s="2"/>
      <c r="C226" s="3"/>
      <c r="D226" s="3"/>
      <c r="E226" s="3"/>
      <c r="G226" s="79"/>
      <c r="I226" s="6"/>
      <c r="J226" s="1"/>
      <c r="K226" s="30"/>
      <c r="L226" s="1"/>
      <c r="M226" s="1"/>
    </row>
    <row r="230" spans="1:13" s="4" customFormat="1" x14ac:dyDescent="0.2">
      <c r="A230" s="1"/>
      <c r="B230" s="2"/>
      <c r="C230" s="3"/>
      <c r="D230" s="3"/>
      <c r="E230" s="3"/>
      <c r="G230" s="83"/>
      <c r="I230" s="6"/>
      <c r="J230" s="1"/>
      <c r="K230" s="30"/>
      <c r="L230" s="1"/>
      <c r="M230" s="1"/>
    </row>
    <row r="231" spans="1:13" s="4" customFormat="1" x14ac:dyDescent="0.2">
      <c r="A231" s="1"/>
      <c r="B231" s="2"/>
      <c r="C231" s="3"/>
      <c r="D231" s="3"/>
      <c r="E231" s="3"/>
      <c r="G231" s="84"/>
      <c r="I231" s="6"/>
      <c r="J231" s="1"/>
      <c r="K231" s="30"/>
      <c r="L231" s="1"/>
      <c r="M231" s="1"/>
    </row>
    <row r="232" spans="1:13" s="4" customFormat="1" x14ac:dyDescent="0.2">
      <c r="A232" s="1"/>
      <c r="B232" s="2"/>
      <c r="C232" s="3"/>
      <c r="D232" s="3"/>
      <c r="E232" s="3"/>
      <c r="G232" s="81"/>
      <c r="I232" s="6"/>
      <c r="J232" s="1"/>
      <c r="K232" s="30"/>
      <c r="L232" s="1"/>
      <c r="M232" s="1"/>
    </row>
    <row r="233" spans="1:13" s="4" customFormat="1" x14ac:dyDescent="0.2">
      <c r="A233" s="1"/>
      <c r="B233" s="2"/>
      <c r="C233" s="3"/>
      <c r="D233" s="3"/>
      <c r="E233" s="3"/>
      <c r="G233" s="81"/>
      <c r="I233" s="6"/>
      <c r="J233" s="1"/>
      <c r="K233" s="30"/>
      <c r="L233" s="1"/>
      <c r="M233" s="1"/>
    </row>
    <row r="234" spans="1:13" s="4" customFormat="1" x14ac:dyDescent="0.2">
      <c r="A234" s="1"/>
      <c r="B234" s="2"/>
      <c r="C234" s="3"/>
      <c r="D234" s="3"/>
      <c r="E234" s="3"/>
      <c r="G234" s="83"/>
      <c r="I234" s="6"/>
      <c r="J234" s="1"/>
      <c r="K234" s="30"/>
      <c r="L234" s="1"/>
      <c r="M234" s="1"/>
    </row>
    <row r="235" spans="1:13" s="4" customFormat="1" x14ac:dyDescent="0.2">
      <c r="A235" s="1"/>
      <c r="B235" s="2"/>
      <c r="C235" s="3"/>
      <c r="D235" s="3"/>
      <c r="E235" s="3"/>
      <c r="G235" s="85"/>
      <c r="I235" s="6"/>
      <c r="J235" s="1"/>
      <c r="K235" s="30"/>
      <c r="L235" s="1"/>
      <c r="M235" s="1"/>
    </row>
    <row r="236" spans="1:13" s="4" customFormat="1" x14ac:dyDescent="0.2">
      <c r="A236" s="1"/>
      <c r="B236" s="2"/>
      <c r="C236" s="3"/>
      <c r="D236" s="3"/>
      <c r="E236" s="3"/>
      <c r="G236" s="86"/>
      <c r="I236" s="6"/>
      <c r="J236" s="1"/>
      <c r="K236" s="30"/>
      <c r="L236" s="1"/>
      <c r="M236" s="1"/>
    </row>
  </sheetData>
  <mergeCells count="61">
    <mergeCell ref="E62:F64"/>
    <mergeCell ref="G62:H62"/>
    <mergeCell ref="G63:H63"/>
    <mergeCell ref="G64:H64"/>
    <mergeCell ref="E65:F67"/>
    <mergeCell ref="G65:H65"/>
    <mergeCell ref="G66:H66"/>
    <mergeCell ref="G67:H67"/>
    <mergeCell ref="G56:H56"/>
    <mergeCell ref="G57:H57"/>
    <mergeCell ref="G58:H58"/>
    <mergeCell ref="E59:F61"/>
    <mergeCell ref="G59:H59"/>
    <mergeCell ref="G60:H60"/>
    <mergeCell ref="G61:H61"/>
    <mergeCell ref="B21:B27"/>
    <mergeCell ref="C21:C27"/>
    <mergeCell ref="D21:D27"/>
    <mergeCell ref="E21:E27"/>
    <mergeCell ref="B2:J2"/>
    <mergeCell ref="B4:J4"/>
    <mergeCell ref="B6:H8"/>
    <mergeCell ref="I6:J6"/>
    <mergeCell ref="I7:J8"/>
    <mergeCell ref="C10:J10"/>
    <mergeCell ref="C11:J11"/>
    <mergeCell ref="B14:B20"/>
    <mergeCell ref="C14:C20"/>
    <mergeCell ref="D14:D20"/>
    <mergeCell ref="E14:E20"/>
    <mergeCell ref="B28:B35"/>
    <mergeCell ref="C28:C35"/>
    <mergeCell ref="D28:D35"/>
    <mergeCell ref="E28:E35"/>
    <mergeCell ref="B36:B41"/>
    <mergeCell ref="C36:C41"/>
    <mergeCell ref="D36:D41"/>
    <mergeCell ref="E36:E41"/>
    <mergeCell ref="B42:B47"/>
    <mergeCell ref="C42:C47"/>
    <mergeCell ref="D42:D47"/>
    <mergeCell ref="E42:E47"/>
    <mergeCell ref="B48:B53"/>
    <mergeCell ref="C48:C53"/>
    <mergeCell ref="D48:D53"/>
    <mergeCell ref="E48:E53"/>
    <mergeCell ref="E56:F58"/>
    <mergeCell ref="B65:B67"/>
    <mergeCell ref="C65:C67"/>
    <mergeCell ref="D65:D67"/>
    <mergeCell ref="E55:F55"/>
    <mergeCell ref="G55:H55"/>
    <mergeCell ref="B62:B64"/>
    <mergeCell ref="C62:C64"/>
    <mergeCell ref="D62:D64"/>
    <mergeCell ref="B56:B58"/>
    <mergeCell ref="C56:C58"/>
    <mergeCell ref="D56:D58"/>
    <mergeCell ref="B59:B61"/>
    <mergeCell ref="C59:C61"/>
    <mergeCell ref="D59:D61"/>
  </mergeCells>
  <conditionalFormatting sqref="I1 I68:I1048576">
    <cfRule type="cellIs" dxfId="235" priority="18" operator="equal">
      <formula>1</formula>
    </cfRule>
  </conditionalFormatting>
  <conditionalFormatting sqref="I7">
    <cfRule type="cellIs" dxfId="234" priority="17" operator="equal">
      <formula>1</formula>
    </cfRule>
  </conditionalFormatting>
  <conditionalFormatting sqref="I14:I53">
    <cfRule type="expression" dxfId="71" priority="9" stopIfTrue="1">
      <formula>TRIM(UPPER(I14))="N/A"</formula>
    </cfRule>
    <cfRule type="expression" dxfId="70" priority="10">
      <formula>I14&gt;=0.9</formula>
    </cfRule>
    <cfRule type="expression" dxfId="69" priority="11">
      <formula>AND(I14&gt;=0.8, I14&lt;0.9)</formula>
    </cfRule>
    <cfRule type="expression" dxfId="68" priority="12">
      <formula>I14&lt;0.8</formula>
    </cfRule>
  </conditionalFormatting>
  <conditionalFormatting sqref="I56:I67">
    <cfRule type="expression" dxfId="63" priority="1" stopIfTrue="1">
      <formula>TRIM(UPPER(I56))="N/A"</formula>
    </cfRule>
    <cfRule type="expression" dxfId="62" priority="2">
      <formula>I56&gt;=0.9</formula>
    </cfRule>
    <cfRule type="expression" dxfId="61" priority="3">
      <formula>AND(I56&gt;=0.8, I56&lt;0.9)</formula>
    </cfRule>
    <cfRule type="expression" dxfId="60" priority="4">
      <formula>I56&lt;0.8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E0AE00B-93FA-7C4C-BFF6-2D0166AB2007}">
          <x14:formula1>
            <xm:f>'Listas desplegables'!$C$4:$C$15</xm:f>
          </x14:formula1>
          <xm:sqref>I14:I53 I56:I67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0359B-13BE-5D48-BCD9-27AEF00303E0}">
  <sheetPr>
    <tabColor rgb="FF0993A5"/>
  </sheetPr>
  <dimension ref="A1:M249"/>
  <sheetViews>
    <sheetView zoomScale="72" zoomScaleNormal="72" workbookViewId="0">
      <selection activeCell="K49" sqref="K49"/>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57" t="s">
        <v>1706</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AVERAGEIF(I14:I43,"&lt;&gt;N/A")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178.5" customHeight="1" x14ac:dyDescent="0.2">
      <c r="B10" s="40" t="s">
        <v>13</v>
      </c>
      <c r="C10" s="147" t="s">
        <v>2373</v>
      </c>
      <c r="D10" s="148"/>
      <c r="E10" s="148"/>
      <c r="F10" s="148"/>
      <c r="G10" s="148"/>
      <c r="H10" s="148"/>
      <c r="I10" s="148"/>
      <c r="J10" s="149"/>
    </row>
    <row r="11" spans="2:12" ht="126" customHeight="1" x14ac:dyDescent="0.2">
      <c r="B11" s="39" t="s">
        <v>14</v>
      </c>
      <c r="C11" s="150" t="s">
        <v>1707</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54" customHeight="1" x14ac:dyDescent="0.2">
      <c r="B14" s="151" t="s">
        <v>31</v>
      </c>
      <c r="C14" s="151" t="s">
        <v>19</v>
      </c>
      <c r="D14" s="153" t="s">
        <v>1708</v>
      </c>
      <c r="E14" s="177" t="s">
        <v>1709</v>
      </c>
      <c r="F14" s="78" t="s">
        <v>1710</v>
      </c>
      <c r="G14" s="12" t="s">
        <v>35</v>
      </c>
      <c r="H14" s="34" t="s">
        <v>1711</v>
      </c>
      <c r="I14" s="28" t="s">
        <v>10</v>
      </c>
      <c r="J14" s="11"/>
      <c r="K14" s="33"/>
      <c r="L14" s="29"/>
    </row>
    <row r="15" spans="2:12" ht="54" customHeight="1" x14ac:dyDescent="0.2">
      <c r="B15" s="152"/>
      <c r="C15" s="152"/>
      <c r="D15" s="154"/>
      <c r="E15" s="178"/>
      <c r="F15" s="78" t="s">
        <v>580</v>
      </c>
      <c r="G15" s="12" t="s">
        <v>36</v>
      </c>
      <c r="H15" s="34" t="s">
        <v>1712</v>
      </c>
      <c r="I15" s="28" t="s">
        <v>10</v>
      </c>
      <c r="J15" s="11"/>
      <c r="K15" s="33"/>
      <c r="L15" s="29"/>
    </row>
    <row r="16" spans="2:12" ht="54" customHeight="1" x14ac:dyDescent="0.2">
      <c r="B16" s="152"/>
      <c r="C16" s="152"/>
      <c r="D16" s="154"/>
      <c r="E16" s="178"/>
      <c r="F16" s="78" t="s">
        <v>1713</v>
      </c>
      <c r="G16" s="12" t="s">
        <v>43</v>
      </c>
      <c r="H16" s="34" t="s">
        <v>1714</v>
      </c>
      <c r="I16" s="28" t="s">
        <v>10</v>
      </c>
      <c r="J16" s="11"/>
      <c r="K16" s="33"/>
      <c r="L16" s="29"/>
    </row>
    <row r="17" spans="2:12" ht="54" customHeight="1" x14ac:dyDescent="0.2">
      <c r="B17" s="152"/>
      <c r="C17" s="152"/>
      <c r="D17" s="154"/>
      <c r="E17" s="178"/>
      <c r="F17" s="78" t="s">
        <v>1715</v>
      </c>
      <c r="G17" s="12" t="s">
        <v>38</v>
      </c>
      <c r="H17" s="34" t="s">
        <v>1716</v>
      </c>
      <c r="I17" s="28" t="s">
        <v>10</v>
      </c>
      <c r="J17" s="11"/>
      <c r="K17" s="33"/>
      <c r="L17" s="29"/>
    </row>
    <row r="18" spans="2:12" ht="54" customHeight="1" x14ac:dyDescent="0.2">
      <c r="B18" s="152"/>
      <c r="C18" s="152"/>
      <c r="D18" s="154"/>
      <c r="E18" s="178"/>
      <c r="F18" s="78" t="s">
        <v>1717</v>
      </c>
      <c r="G18" s="12" t="s">
        <v>37</v>
      </c>
      <c r="H18" s="34" t="s">
        <v>1718</v>
      </c>
      <c r="I18" s="28" t="s">
        <v>10</v>
      </c>
      <c r="J18" s="11"/>
      <c r="K18" s="33"/>
      <c r="L18" s="29"/>
    </row>
    <row r="19" spans="2:12" ht="54" customHeight="1" x14ac:dyDescent="0.2">
      <c r="B19" s="152"/>
      <c r="C19" s="152"/>
      <c r="D19" s="154"/>
      <c r="E19" s="178"/>
      <c r="F19" s="78" t="s">
        <v>587</v>
      </c>
      <c r="G19" s="12" t="s">
        <v>39</v>
      </c>
      <c r="H19" s="34" t="s">
        <v>1719</v>
      </c>
      <c r="I19" s="28" t="s">
        <v>10</v>
      </c>
      <c r="J19" s="11"/>
      <c r="K19" s="33"/>
      <c r="L19" s="29"/>
    </row>
    <row r="20" spans="2:12" ht="54" customHeight="1" x14ac:dyDescent="0.2">
      <c r="B20" s="152"/>
      <c r="C20" s="152"/>
      <c r="D20" s="154"/>
      <c r="E20" s="178"/>
      <c r="F20" s="78" t="s">
        <v>1720</v>
      </c>
      <c r="G20" s="12" t="s">
        <v>36</v>
      </c>
      <c r="H20" s="34" t="s">
        <v>1721</v>
      </c>
      <c r="I20" s="28" t="s">
        <v>10</v>
      </c>
      <c r="J20" s="11"/>
      <c r="K20" s="33"/>
      <c r="L20" s="29"/>
    </row>
    <row r="21" spans="2:12" ht="54" customHeight="1" x14ac:dyDescent="0.2">
      <c r="B21" s="143" t="s">
        <v>31</v>
      </c>
      <c r="C21" s="143" t="s">
        <v>20</v>
      </c>
      <c r="D21" s="145" t="s">
        <v>1722</v>
      </c>
      <c r="E21" s="181" t="s">
        <v>1723</v>
      </c>
      <c r="F21" s="23" t="s">
        <v>1724</v>
      </c>
      <c r="G21" s="41" t="s">
        <v>602</v>
      </c>
      <c r="H21" s="35" t="s">
        <v>1725</v>
      </c>
      <c r="I21" s="28" t="s">
        <v>10</v>
      </c>
      <c r="J21" s="36"/>
      <c r="K21" s="37"/>
      <c r="L21" s="38"/>
    </row>
    <row r="22" spans="2:12" ht="54" customHeight="1" x14ac:dyDescent="0.2">
      <c r="B22" s="144"/>
      <c r="C22" s="144"/>
      <c r="D22" s="146"/>
      <c r="E22" s="182"/>
      <c r="F22" s="23" t="s">
        <v>1726</v>
      </c>
      <c r="G22" s="41" t="s">
        <v>602</v>
      </c>
      <c r="H22" s="35" t="s">
        <v>1727</v>
      </c>
      <c r="I22" s="28" t="s">
        <v>10</v>
      </c>
      <c r="J22" s="36"/>
      <c r="K22" s="37"/>
      <c r="L22" s="38"/>
    </row>
    <row r="23" spans="2:12" ht="54" customHeight="1" x14ac:dyDescent="0.2">
      <c r="B23" s="144"/>
      <c r="C23" s="144"/>
      <c r="D23" s="146"/>
      <c r="E23" s="182"/>
      <c r="F23" s="23" t="s">
        <v>1453</v>
      </c>
      <c r="G23" s="41" t="s">
        <v>38</v>
      </c>
      <c r="H23" s="35" t="s">
        <v>1728</v>
      </c>
      <c r="I23" s="28" t="s">
        <v>10</v>
      </c>
      <c r="J23" s="36"/>
      <c r="K23" s="37"/>
      <c r="L23" s="38"/>
    </row>
    <row r="24" spans="2:12" ht="54" customHeight="1" x14ac:dyDescent="0.2">
      <c r="B24" s="144"/>
      <c r="C24" s="144"/>
      <c r="D24" s="146"/>
      <c r="E24" s="182"/>
      <c r="F24" s="23" t="s">
        <v>1729</v>
      </c>
      <c r="G24" s="41" t="s">
        <v>602</v>
      </c>
      <c r="H24" s="35" t="s">
        <v>1730</v>
      </c>
      <c r="I24" s="28" t="s">
        <v>10</v>
      </c>
      <c r="J24" s="36"/>
      <c r="K24" s="37"/>
      <c r="L24" s="38"/>
    </row>
    <row r="25" spans="2:12" ht="54" customHeight="1" x14ac:dyDescent="0.2">
      <c r="B25" s="144"/>
      <c r="C25" s="144"/>
      <c r="D25" s="146"/>
      <c r="E25" s="182"/>
      <c r="F25" s="23" t="s">
        <v>1731</v>
      </c>
      <c r="G25" s="41" t="s">
        <v>602</v>
      </c>
      <c r="H25" s="35" t="s">
        <v>1732</v>
      </c>
      <c r="I25" s="28" t="s">
        <v>10</v>
      </c>
      <c r="J25" s="36"/>
      <c r="K25" s="37"/>
      <c r="L25" s="38"/>
    </row>
    <row r="26" spans="2:12" ht="54" customHeight="1" x14ac:dyDescent="0.2">
      <c r="B26" s="144"/>
      <c r="C26" s="144"/>
      <c r="D26" s="146"/>
      <c r="E26" s="182"/>
      <c r="F26" s="23" t="s">
        <v>1733</v>
      </c>
      <c r="G26" s="41" t="s">
        <v>36</v>
      </c>
      <c r="H26" s="35" t="s">
        <v>1734</v>
      </c>
      <c r="I26" s="28" t="s">
        <v>10</v>
      </c>
      <c r="J26" s="36"/>
      <c r="K26" s="37"/>
      <c r="L26" s="38"/>
    </row>
    <row r="27" spans="2:12" ht="54" customHeight="1" x14ac:dyDescent="0.2">
      <c r="B27" s="151" t="s">
        <v>31</v>
      </c>
      <c r="C27" s="151" t="s">
        <v>21</v>
      </c>
      <c r="D27" s="177" t="s">
        <v>1735</v>
      </c>
      <c r="E27" s="177" t="s">
        <v>1736</v>
      </c>
      <c r="F27" s="22" t="s">
        <v>593</v>
      </c>
      <c r="G27" s="12" t="s">
        <v>39</v>
      </c>
      <c r="H27" s="34" t="s">
        <v>1737</v>
      </c>
      <c r="I27" s="28" t="s">
        <v>10</v>
      </c>
      <c r="J27" s="11"/>
      <c r="K27" s="33"/>
      <c r="L27" s="29"/>
    </row>
    <row r="28" spans="2:12" ht="54" customHeight="1" x14ac:dyDescent="0.2">
      <c r="B28" s="152"/>
      <c r="C28" s="152"/>
      <c r="D28" s="178"/>
      <c r="E28" s="178"/>
      <c r="F28" s="22" t="s">
        <v>1738</v>
      </c>
      <c r="G28" s="12" t="s">
        <v>602</v>
      </c>
      <c r="H28" s="34" t="s">
        <v>1739</v>
      </c>
      <c r="I28" s="28" t="s">
        <v>10</v>
      </c>
      <c r="J28" s="11"/>
      <c r="K28" s="33"/>
      <c r="L28" s="29"/>
    </row>
    <row r="29" spans="2:12" ht="54" customHeight="1" x14ac:dyDescent="0.2">
      <c r="B29" s="152"/>
      <c r="C29" s="152"/>
      <c r="D29" s="178"/>
      <c r="E29" s="178"/>
      <c r="F29" s="22" t="s">
        <v>1740</v>
      </c>
      <c r="G29" s="12" t="s">
        <v>602</v>
      </c>
      <c r="H29" s="34" t="s">
        <v>1741</v>
      </c>
      <c r="I29" s="28" t="s">
        <v>10</v>
      </c>
      <c r="J29" s="11"/>
      <c r="K29" s="33"/>
      <c r="L29" s="29"/>
    </row>
    <row r="30" spans="2:12" ht="54" customHeight="1" x14ac:dyDescent="0.2">
      <c r="B30" s="152"/>
      <c r="C30" s="152"/>
      <c r="D30" s="178"/>
      <c r="E30" s="178"/>
      <c r="F30" s="22" t="s">
        <v>1742</v>
      </c>
      <c r="G30" s="12" t="s">
        <v>36</v>
      </c>
      <c r="H30" s="34" t="s">
        <v>1743</v>
      </c>
      <c r="I30" s="28" t="s">
        <v>10</v>
      </c>
      <c r="J30" s="11"/>
      <c r="K30" s="33"/>
      <c r="L30" s="29"/>
    </row>
    <row r="31" spans="2:12" ht="54" customHeight="1" x14ac:dyDescent="0.2">
      <c r="B31" s="152"/>
      <c r="C31" s="152"/>
      <c r="D31" s="178"/>
      <c r="E31" s="178"/>
      <c r="F31" s="22" t="s">
        <v>1744</v>
      </c>
      <c r="G31" s="12" t="s">
        <v>36</v>
      </c>
      <c r="H31" s="34" t="s">
        <v>1745</v>
      </c>
      <c r="I31" s="28" t="s">
        <v>10</v>
      </c>
      <c r="J31" s="11"/>
      <c r="K31" s="33"/>
      <c r="L31" s="29"/>
    </row>
    <row r="32" spans="2:12" ht="54" customHeight="1" x14ac:dyDescent="0.2">
      <c r="B32" s="152"/>
      <c r="C32" s="152"/>
      <c r="D32" s="178"/>
      <c r="E32" s="178"/>
      <c r="F32" s="22" t="s">
        <v>1746</v>
      </c>
      <c r="G32" s="12" t="s">
        <v>602</v>
      </c>
      <c r="H32" s="34" t="s">
        <v>1747</v>
      </c>
      <c r="I32" s="28" t="s">
        <v>10</v>
      </c>
      <c r="J32" s="11"/>
      <c r="K32" s="33"/>
      <c r="L32" s="29"/>
    </row>
    <row r="33" spans="2:12" ht="54" customHeight="1" x14ac:dyDescent="0.2">
      <c r="B33" s="143" t="s">
        <v>31</v>
      </c>
      <c r="C33" s="143" t="s">
        <v>946</v>
      </c>
      <c r="D33" s="181" t="s">
        <v>1748</v>
      </c>
      <c r="E33" s="181" t="s">
        <v>1749</v>
      </c>
      <c r="F33" s="23" t="s">
        <v>1750</v>
      </c>
      <c r="G33" s="41" t="s">
        <v>36</v>
      </c>
      <c r="H33" s="35" t="s">
        <v>1751</v>
      </c>
      <c r="I33" s="28" t="s">
        <v>10</v>
      </c>
      <c r="J33" s="36"/>
      <c r="K33" s="37"/>
      <c r="L33" s="38"/>
    </row>
    <row r="34" spans="2:12" ht="54" customHeight="1" x14ac:dyDescent="0.2">
      <c r="B34" s="144"/>
      <c r="C34" s="144"/>
      <c r="D34" s="182"/>
      <c r="E34" s="182"/>
      <c r="F34" s="23" t="s">
        <v>1752</v>
      </c>
      <c r="G34" s="41" t="s">
        <v>37</v>
      </c>
      <c r="H34" s="35" t="s">
        <v>1753</v>
      </c>
      <c r="I34" s="28" t="s">
        <v>10</v>
      </c>
      <c r="J34" s="36"/>
      <c r="K34" s="37"/>
      <c r="L34" s="38"/>
    </row>
    <row r="35" spans="2:12" ht="54" customHeight="1" x14ac:dyDescent="0.2">
      <c r="B35" s="144"/>
      <c r="C35" s="144"/>
      <c r="D35" s="182"/>
      <c r="E35" s="182"/>
      <c r="F35" s="23" t="s">
        <v>1754</v>
      </c>
      <c r="G35" s="41" t="s">
        <v>38</v>
      </c>
      <c r="H35" s="35" t="s">
        <v>1755</v>
      </c>
      <c r="I35" s="28" t="s">
        <v>10</v>
      </c>
      <c r="J35" s="36"/>
      <c r="K35" s="37"/>
      <c r="L35" s="38"/>
    </row>
    <row r="36" spans="2:12" ht="54" customHeight="1" x14ac:dyDescent="0.2">
      <c r="B36" s="144"/>
      <c r="C36" s="144"/>
      <c r="D36" s="182"/>
      <c r="E36" s="182"/>
      <c r="F36" s="23" t="s">
        <v>1756</v>
      </c>
      <c r="G36" s="41" t="s">
        <v>39</v>
      </c>
      <c r="H36" s="35" t="s">
        <v>1757</v>
      </c>
      <c r="I36" s="28" t="s">
        <v>10</v>
      </c>
      <c r="J36" s="36"/>
      <c r="K36" s="37"/>
      <c r="L36" s="38"/>
    </row>
    <row r="37" spans="2:12" ht="54" customHeight="1" x14ac:dyDescent="0.2">
      <c r="B37" s="144"/>
      <c r="C37" s="144"/>
      <c r="D37" s="182"/>
      <c r="E37" s="182"/>
      <c r="F37" s="23" t="s">
        <v>1758</v>
      </c>
      <c r="G37" s="41" t="s">
        <v>35</v>
      </c>
      <c r="H37" s="35" t="s">
        <v>1759</v>
      </c>
      <c r="I37" s="28" t="s">
        <v>10</v>
      </c>
      <c r="J37" s="36"/>
      <c r="K37" s="37"/>
      <c r="L37" s="38"/>
    </row>
    <row r="38" spans="2:12" ht="54" customHeight="1" x14ac:dyDescent="0.2">
      <c r="B38" s="144"/>
      <c r="C38" s="144"/>
      <c r="D38" s="182"/>
      <c r="E38" s="182"/>
      <c r="F38" s="23" t="s">
        <v>1760</v>
      </c>
      <c r="G38" s="41" t="s">
        <v>35</v>
      </c>
      <c r="H38" s="35" t="s">
        <v>1761</v>
      </c>
      <c r="I38" s="28" t="s">
        <v>10</v>
      </c>
      <c r="J38" s="36"/>
      <c r="K38" s="37"/>
      <c r="L38" s="38"/>
    </row>
    <row r="39" spans="2:12" ht="54" customHeight="1" x14ac:dyDescent="0.2">
      <c r="B39" s="151" t="s">
        <v>31</v>
      </c>
      <c r="C39" s="151" t="s">
        <v>24</v>
      </c>
      <c r="D39" s="185" t="s">
        <v>635</v>
      </c>
      <c r="E39" s="185" t="s">
        <v>1762</v>
      </c>
      <c r="F39" s="34" t="s">
        <v>1763</v>
      </c>
      <c r="G39" s="12" t="s">
        <v>36</v>
      </c>
      <c r="H39" s="34" t="s">
        <v>1764</v>
      </c>
      <c r="I39" s="28" t="s">
        <v>10</v>
      </c>
      <c r="J39" s="11"/>
      <c r="K39" s="33"/>
      <c r="L39" s="29"/>
    </row>
    <row r="40" spans="2:12" ht="54" customHeight="1" x14ac:dyDescent="0.2">
      <c r="B40" s="152"/>
      <c r="C40" s="152"/>
      <c r="D40" s="186"/>
      <c r="E40" s="186"/>
      <c r="F40" s="34" t="s">
        <v>1765</v>
      </c>
      <c r="G40" s="12" t="s">
        <v>43</v>
      </c>
      <c r="H40" s="34" t="s">
        <v>1766</v>
      </c>
      <c r="I40" s="28" t="s">
        <v>10</v>
      </c>
      <c r="J40" s="11"/>
      <c r="K40" s="33"/>
      <c r="L40" s="29"/>
    </row>
    <row r="41" spans="2:12" ht="54" customHeight="1" x14ac:dyDescent="0.2">
      <c r="B41" s="152"/>
      <c r="C41" s="152"/>
      <c r="D41" s="186"/>
      <c r="E41" s="186"/>
      <c r="F41" s="34" t="s">
        <v>1767</v>
      </c>
      <c r="G41" s="12" t="s">
        <v>39</v>
      </c>
      <c r="H41" s="34" t="s">
        <v>1768</v>
      </c>
      <c r="I41" s="28" t="s">
        <v>10</v>
      </c>
      <c r="J41" s="11"/>
      <c r="K41" s="33"/>
      <c r="L41" s="29"/>
    </row>
    <row r="42" spans="2:12" ht="54" customHeight="1" x14ac:dyDescent="0.2">
      <c r="B42" s="152"/>
      <c r="C42" s="152"/>
      <c r="D42" s="186"/>
      <c r="E42" s="186"/>
      <c r="F42" s="34" t="s">
        <v>1769</v>
      </c>
      <c r="G42" s="12" t="s">
        <v>35</v>
      </c>
      <c r="H42" s="34" t="s">
        <v>1770</v>
      </c>
      <c r="I42" s="28" t="s">
        <v>10</v>
      </c>
      <c r="J42" s="11"/>
      <c r="K42" s="33"/>
      <c r="L42" s="29"/>
    </row>
    <row r="43" spans="2:12" ht="54" customHeight="1" x14ac:dyDescent="0.2">
      <c r="B43" s="152"/>
      <c r="C43" s="152"/>
      <c r="D43" s="186"/>
      <c r="E43" s="186"/>
      <c r="F43" s="34" t="s">
        <v>1771</v>
      </c>
      <c r="G43" s="12" t="s">
        <v>43</v>
      </c>
      <c r="H43" s="34" t="s">
        <v>1772</v>
      </c>
      <c r="I43" s="28" t="s">
        <v>10</v>
      </c>
      <c r="J43" s="11"/>
      <c r="K43" s="33"/>
      <c r="L43" s="29"/>
    </row>
    <row r="44" spans="2:12" ht="5.25" customHeight="1" x14ac:dyDescent="0.2"/>
    <row r="45" spans="2:12" ht="31" customHeight="1" x14ac:dyDescent="0.2">
      <c r="B45" s="69" t="s">
        <v>34</v>
      </c>
      <c r="C45" s="69" t="s">
        <v>258</v>
      </c>
      <c r="D45" s="69" t="s">
        <v>259</v>
      </c>
      <c r="E45" s="169" t="s">
        <v>32</v>
      </c>
      <c r="F45" s="170"/>
      <c r="G45" s="169" t="s">
        <v>16</v>
      </c>
      <c r="H45" s="170"/>
      <c r="I45" s="71" t="s">
        <v>8</v>
      </c>
      <c r="J45" s="69" t="s">
        <v>17</v>
      </c>
      <c r="K45" s="72" t="s">
        <v>44</v>
      </c>
      <c r="L45" s="69" t="s">
        <v>45</v>
      </c>
    </row>
    <row r="46" spans="2:12" ht="79.75" customHeight="1" x14ac:dyDescent="0.2">
      <c r="B46" s="151" t="s">
        <v>31</v>
      </c>
      <c r="C46" s="151" t="s">
        <v>260</v>
      </c>
      <c r="D46" s="177" t="s">
        <v>1773</v>
      </c>
      <c r="E46" s="129" t="s">
        <v>2374</v>
      </c>
      <c r="F46" s="130"/>
      <c r="G46" s="127" t="s">
        <v>2375</v>
      </c>
      <c r="H46" s="128"/>
      <c r="I46" s="28" t="s">
        <v>10</v>
      </c>
      <c r="J46" s="11"/>
      <c r="K46" s="33"/>
      <c r="L46" s="29"/>
    </row>
    <row r="47" spans="2:12" ht="79.75" customHeight="1" x14ac:dyDescent="0.2">
      <c r="B47" s="152"/>
      <c r="C47" s="152"/>
      <c r="D47" s="178"/>
      <c r="E47" s="131"/>
      <c r="F47" s="132"/>
      <c r="G47" s="127" t="s">
        <v>1774</v>
      </c>
      <c r="H47" s="128"/>
      <c r="I47" s="28" t="s">
        <v>10</v>
      </c>
      <c r="J47" s="11"/>
      <c r="K47" s="33"/>
      <c r="L47" s="29"/>
    </row>
    <row r="48" spans="2:12" ht="79.75" customHeight="1" x14ac:dyDescent="0.2">
      <c r="B48" s="173"/>
      <c r="C48" s="173"/>
      <c r="D48" s="179"/>
      <c r="E48" s="133"/>
      <c r="F48" s="134"/>
      <c r="G48" s="127" t="s">
        <v>1775</v>
      </c>
      <c r="H48" s="128"/>
      <c r="I48" s="28" t="s">
        <v>10</v>
      </c>
      <c r="J48" s="11"/>
      <c r="K48" s="33"/>
      <c r="L48" s="29"/>
    </row>
    <row r="49" spans="2:12" ht="83.5" customHeight="1" x14ac:dyDescent="0.2">
      <c r="B49" s="143" t="s">
        <v>31</v>
      </c>
      <c r="C49" s="143" t="s">
        <v>261</v>
      </c>
      <c r="D49" s="181" t="s">
        <v>1776</v>
      </c>
      <c r="E49" s="135" t="s">
        <v>1777</v>
      </c>
      <c r="F49" s="136"/>
      <c r="G49" s="141" t="s">
        <v>2376</v>
      </c>
      <c r="H49" s="142"/>
      <c r="I49" s="28" t="s">
        <v>10</v>
      </c>
      <c r="J49" s="36"/>
      <c r="K49" s="37"/>
      <c r="L49" s="38"/>
    </row>
    <row r="50" spans="2:12" ht="83.5" customHeight="1" x14ac:dyDescent="0.2">
      <c r="B50" s="144"/>
      <c r="C50" s="144"/>
      <c r="D50" s="182"/>
      <c r="E50" s="137"/>
      <c r="F50" s="138"/>
      <c r="G50" s="141" t="s">
        <v>2377</v>
      </c>
      <c r="H50" s="142"/>
      <c r="I50" s="28" t="s">
        <v>10</v>
      </c>
      <c r="J50" s="36"/>
      <c r="K50" s="37"/>
      <c r="L50" s="38"/>
    </row>
    <row r="51" spans="2:12" ht="83.5" customHeight="1" x14ac:dyDescent="0.2">
      <c r="B51" s="144"/>
      <c r="C51" s="144"/>
      <c r="D51" s="182"/>
      <c r="E51" s="139"/>
      <c r="F51" s="140"/>
      <c r="G51" s="141" t="s">
        <v>1778</v>
      </c>
      <c r="H51" s="142"/>
      <c r="I51" s="28" t="s">
        <v>10</v>
      </c>
      <c r="J51" s="36"/>
      <c r="K51" s="37"/>
      <c r="L51" s="38"/>
    </row>
    <row r="52" spans="2:12" ht="79.75" customHeight="1" x14ac:dyDescent="0.2">
      <c r="B52" s="151" t="s">
        <v>31</v>
      </c>
      <c r="C52" s="151" t="s">
        <v>262</v>
      </c>
      <c r="D52" s="177" t="s">
        <v>1779</v>
      </c>
      <c r="E52" s="129" t="s">
        <v>1780</v>
      </c>
      <c r="F52" s="130"/>
      <c r="G52" s="127" t="s">
        <v>1781</v>
      </c>
      <c r="H52" s="128"/>
      <c r="I52" s="28" t="s">
        <v>10</v>
      </c>
      <c r="J52" s="11"/>
      <c r="K52" s="33"/>
      <c r="L52" s="29"/>
    </row>
    <row r="53" spans="2:12" ht="79.75" customHeight="1" x14ac:dyDescent="0.2">
      <c r="B53" s="152"/>
      <c r="C53" s="152"/>
      <c r="D53" s="178"/>
      <c r="E53" s="131"/>
      <c r="F53" s="132"/>
      <c r="G53" s="127" t="s">
        <v>1782</v>
      </c>
      <c r="H53" s="128"/>
      <c r="I53" s="28" t="s">
        <v>10</v>
      </c>
      <c r="J53" s="11"/>
      <c r="K53" s="33"/>
      <c r="L53" s="29"/>
    </row>
    <row r="54" spans="2:12" ht="79.75" customHeight="1" x14ac:dyDescent="0.2">
      <c r="B54" s="173"/>
      <c r="C54" s="173"/>
      <c r="D54" s="179"/>
      <c r="E54" s="133"/>
      <c r="F54" s="134"/>
      <c r="G54" s="127" t="s">
        <v>1783</v>
      </c>
      <c r="H54" s="128"/>
      <c r="I54" s="28" t="s">
        <v>10</v>
      </c>
      <c r="J54" s="11"/>
      <c r="K54" s="33"/>
      <c r="L54" s="29"/>
    </row>
    <row r="226" spans="1:13" s="4" customFormat="1" x14ac:dyDescent="0.2">
      <c r="A226" s="1"/>
      <c r="B226" s="2"/>
      <c r="C226" s="3"/>
      <c r="D226" s="3"/>
      <c r="E226" s="3"/>
      <c r="G226" s="3"/>
      <c r="I226" s="6"/>
      <c r="J226" s="1"/>
      <c r="K226" s="30"/>
      <c r="L226" s="1"/>
      <c r="M226" s="1"/>
    </row>
    <row r="227" spans="1:13" s="4" customFormat="1" x14ac:dyDescent="0.2">
      <c r="A227" s="1"/>
      <c r="B227" s="2"/>
      <c r="C227" s="3"/>
      <c r="D227" s="3"/>
      <c r="E227" s="3"/>
      <c r="G227" s="79"/>
      <c r="I227" s="6"/>
      <c r="J227" s="1"/>
      <c r="K227" s="30"/>
      <c r="L227" s="1"/>
      <c r="M227" s="1"/>
    </row>
    <row r="228" spans="1:13" s="4" customFormat="1" x14ac:dyDescent="0.2">
      <c r="A228" s="1"/>
      <c r="B228" s="2"/>
      <c r="C228" s="3"/>
      <c r="D228" s="3"/>
      <c r="E228" s="3"/>
      <c r="G228" s="80"/>
      <c r="I228" s="6"/>
      <c r="J228" s="1"/>
      <c r="K228" s="30"/>
      <c r="L228" s="1"/>
      <c r="M228" s="1"/>
    </row>
    <row r="229" spans="1:13" s="4" customFormat="1" x14ac:dyDescent="0.2">
      <c r="A229" s="1"/>
      <c r="B229" s="2"/>
      <c r="C229" s="3"/>
      <c r="D229" s="3"/>
      <c r="E229" s="3"/>
      <c r="G229" s="81"/>
      <c r="I229" s="6"/>
      <c r="J229" s="1"/>
      <c r="K229" s="30"/>
      <c r="L229" s="1"/>
      <c r="M229" s="1"/>
    </row>
    <row r="230" spans="1:13" s="4" customFormat="1" x14ac:dyDescent="0.2">
      <c r="A230" s="1"/>
      <c r="B230" s="2"/>
      <c r="C230" s="3"/>
      <c r="D230" s="3"/>
      <c r="E230" s="3"/>
      <c r="G230" s="82"/>
      <c r="I230" s="6"/>
      <c r="J230" s="1"/>
      <c r="K230" s="30"/>
      <c r="L230" s="1"/>
      <c r="M230" s="1"/>
    </row>
    <row r="231" spans="1:13" s="4" customFormat="1" x14ac:dyDescent="0.2">
      <c r="A231" s="1"/>
      <c r="B231" s="2"/>
      <c r="C231" s="3"/>
      <c r="D231" s="3"/>
      <c r="E231" s="3"/>
      <c r="G231" s="79"/>
      <c r="I231" s="6"/>
      <c r="J231" s="1"/>
      <c r="K231" s="30"/>
      <c r="L231" s="1"/>
      <c r="M231" s="1"/>
    </row>
    <row r="235" spans="1:13" s="4" customFormat="1" x14ac:dyDescent="0.2">
      <c r="A235" s="1"/>
      <c r="B235" s="2"/>
      <c r="C235" s="3"/>
      <c r="D235" s="3"/>
      <c r="E235" s="3"/>
      <c r="G235" s="83"/>
      <c r="I235" s="6"/>
      <c r="J235" s="1"/>
      <c r="K235" s="30"/>
      <c r="L235" s="1"/>
      <c r="M235" s="1"/>
    </row>
    <row r="236" spans="1:13" s="4" customFormat="1" x14ac:dyDescent="0.2">
      <c r="A236" s="1"/>
      <c r="B236" s="2"/>
      <c r="C236" s="3"/>
      <c r="D236" s="3"/>
      <c r="E236" s="3"/>
      <c r="G236" s="84"/>
      <c r="I236" s="6"/>
      <c r="J236" s="1"/>
      <c r="K236" s="30"/>
      <c r="L236" s="1"/>
      <c r="M236" s="1"/>
    </row>
    <row r="237" spans="1:13" s="4" customFormat="1" x14ac:dyDescent="0.2">
      <c r="A237" s="1"/>
      <c r="B237" s="2"/>
      <c r="C237" s="3"/>
      <c r="D237" s="3"/>
      <c r="E237" s="3"/>
      <c r="G237" s="81"/>
      <c r="I237" s="6"/>
      <c r="J237" s="1"/>
      <c r="K237" s="30"/>
      <c r="L237" s="1"/>
      <c r="M237" s="1"/>
    </row>
    <row r="238" spans="1:13" s="4" customFormat="1" x14ac:dyDescent="0.2">
      <c r="A238" s="1"/>
      <c r="B238" s="2"/>
      <c r="C238" s="3"/>
      <c r="D238" s="3"/>
      <c r="E238" s="3"/>
      <c r="G238" s="81"/>
      <c r="I238" s="6"/>
      <c r="J238" s="1"/>
      <c r="K238" s="30"/>
      <c r="L238" s="1"/>
      <c r="M238" s="1"/>
    </row>
    <row r="239" spans="1:13" s="4" customFormat="1" x14ac:dyDescent="0.2">
      <c r="A239" s="1"/>
      <c r="B239" s="2"/>
      <c r="C239" s="3"/>
      <c r="D239" s="3"/>
      <c r="E239" s="3"/>
      <c r="G239" s="79"/>
      <c r="I239" s="6"/>
      <c r="J239" s="1"/>
      <c r="K239" s="30"/>
      <c r="L239" s="1"/>
      <c r="M239" s="1"/>
    </row>
    <row r="243" spans="1:13" s="4" customFormat="1" x14ac:dyDescent="0.2">
      <c r="A243" s="1"/>
      <c r="B243" s="2"/>
      <c r="C243" s="3"/>
      <c r="D243" s="3"/>
      <c r="E243" s="3"/>
      <c r="G243" s="83"/>
      <c r="I243" s="6"/>
      <c r="J243" s="1"/>
      <c r="K243" s="30"/>
      <c r="L243" s="1"/>
      <c r="M243" s="1"/>
    </row>
    <row r="244" spans="1:13" s="4" customFormat="1" x14ac:dyDescent="0.2">
      <c r="A244" s="1"/>
      <c r="B244" s="2"/>
      <c r="C244" s="3"/>
      <c r="D244" s="3"/>
      <c r="E244" s="3"/>
      <c r="G244" s="84"/>
      <c r="I244" s="6"/>
      <c r="J244" s="1"/>
      <c r="K244" s="30"/>
      <c r="L244" s="1"/>
      <c r="M244" s="1"/>
    </row>
    <row r="245" spans="1:13" s="4" customFormat="1" x14ac:dyDescent="0.2">
      <c r="A245" s="1"/>
      <c r="B245" s="2"/>
      <c r="C245" s="3"/>
      <c r="D245" s="3"/>
      <c r="E245" s="3"/>
      <c r="G245" s="81"/>
      <c r="I245" s="6"/>
      <c r="J245" s="1"/>
      <c r="K245" s="30"/>
      <c r="L245" s="1"/>
      <c r="M245" s="1"/>
    </row>
    <row r="246" spans="1:13" s="4" customFormat="1" x14ac:dyDescent="0.2">
      <c r="A246" s="1"/>
      <c r="B246" s="2"/>
      <c r="C246" s="3"/>
      <c r="D246" s="3"/>
      <c r="E246" s="3"/>
      <c r="G246" s="81"/>
      <c r="I246" s="6"/>
      <c r="J246" s="1"/>
      <c r="K246" s="30"/>
      <c r="L246" s="1"/>
      <c r="M246" s="1"/>
    </row>
    <row r="247" spans="1:13" s="4" customFormat="1" x14ac:dyDescent="0.2">
      <c r="A247" s="1"/>
      <c r="B247" s="2"/>
      <c r="C247" s="3"/>
      <c r="D247" s="3"/>
      <c r="E247" s="3"/>
      <c r="G247" s="83"/>
      <c r="I247" s="6"/>
      <c r="J247" s="1"/>
      <c r="K247" s="30"/>
      <c r="L247" s="1"/>
      <c r="M247" s="1"/>
    </row>
    <row r="248" spans="1:13" s="4" customFormat="1" x14ac:dyDescent="0.2">
      <c r="A248" s="1"/>
      <c r="B248" s="2"/>
      <c r="C248" s="3"/>
      <c r="D248" s="3"/>
      <c r="E248" s="3"/>
      <c r="G248" s="85"/>
      <c r="I248" s="6"/>
      <c r="J248" s="1"/>
      <c r="K248" s="30"/>
      <c r="L248" s="1"/>
      <c r="M248" s="1"/>
    </row>
    <row r="249" spans="1:13" s="4" customFormat="1" x14ac:dyDescent="0.2">
      <c r="A249" s="1"/>
      <c r="B249" s="2"/>
      <c r="C249" s="3"/>
      <c r="D249" s="3"/>
      <c r="E249" s="3"/>
      <c r="G249" s="86"/>
      <c r="I249" s="6"/>
      <c r="J249" s="1"/>
      <c r="K249" s="30"/>
      <c r="L249" s="1"/>
      <c r="M249" s="1"/>
    </row>
  </sheetData>
  <mergeCells count="50">
    <mergeCell ref="G52:H52"/>
    <mergeCell ref="G53:H53"/>
    <mergeCell ref="G54:H54"/>
    <mergeCell ref="G46:H46"/>
    <mergeCell ref="G47:H47"/>
    <mergeCell ref="G48:H48"/>
    <mergeCell ref="E49:F51"/>
    <mergeCell ref="G49:H49"/>
    <mergeCell ref="G50:H50"/>
    <mergeCell ref="G51:H51"/>
    <mergeCell ref="B52:B54"/>
    <mergeCell ref="C52:C54"/>
    <mergeCell ref="D52:D54"/>
    <mergeCell ref="E52:F54"/>
    <mergeCell ref="B46:B48"/>
    <mergeCell ref="C46:C48"/>
    <mergeCell ref="D46:D48"/>
    <mergeCell ref="E46:F48"/>
    <mergeCell ref="B49:B51"/>
    <mergeCell ref="C49:C51"/>
    <mergeCell ref="D49:D51"/>
    <mergeCell ref="G45:H45"/>
    <mergeCell ref="B27:B32"/>
    <mergeCell ref="C27:C32"/>
    <mergeCell ref="D27:D32"/>
    <mergeCell ref="E27:E32"/>
    <mergeCell ref="B33:B38"/>
    <mergeCell ref="C33:C38"/>
    <mergeCell ref="D33:D38"/>
    <mergeCell ref="E33:E38"/>
    <mergeCell ref="B39:B43"/>
    <mergeCell ref="C39:C43"/>
    <mergeCell ref="D39:D43"/>
    <mergeCell ref="E39:E43"/>
    <mergeCell ref="E45:F45"/>
    <mergeCell ref="B21:B26"/>
    <mergeCell ref="C21:C26"/>
    <mergeCell ref="D21:D26"/>
    <mergeCell ref="E21:E26"/>
    <mergeCell ref="B2:J2"/>
    <mergeCell ref="B4:J4"/>
    <mergeCell ref="B6:H8"/>
    <mergeCell ref="I6:J6"/>
    <mergeCell ref="I7:J8"/>
    <mergeCell ref="C10:J10"/>
    <mergeCell ref="C11:J11"/>
    <mergeCell ref="B14:B20"/>
    <mergeCell ref="C14:C20"/>
    <mergeCell ref="D14:D20"/>
    <mergeCell ref="E14:E20"/>
  </mergeCells>
  <conditionalFormatting sqref="I1 I55:I1048576">
    <cfRule type="cellIs" dxfId="229" priority="18" operator="equal">
      <formula>1</formula>
    </cfRule>
  </conditionalFormatting>
  <conditionalFormatting sqref="I7">
    <cfRule type="cellIs" dxfId="228" priority="17" operator="equal">
      <formula>1</formula>
    </cfRule>
  </conditionalFormatting>
  <conditionalFormatting sqref="I46:I54">
    <cfRule type="expression" dxfId="55" priority="5" stopIfTrue="1">
      <formula>TRIM(UPPER(I46))="N/A"</formula>
    </cfRule>
    <cfRule type="expression" dxfId="54" priority="6">
      <formula>I46&gt;=0.9</formula>
    </cfRule>
    <cfRule type="expression" dxfId="53" priority="7">
      <formula>AND(I46&gt;=0.8, I46&lt;0.9)</formula>
    </cfRule>
    <cfRule type="expression" dxfId="52" priority="8">
      <formula>I46&lt;0.8</formula>
    </cfRule>
  </conditionalFormatting>
  <conditionalFormatting sqref="I14:I43">
    <cfRule type="expression" dxfId="51" priority="1" stopIfTrue="1">
      <formula>TRIM(UPPER(I14))="N/A"</formula>
    </cfRule>
    <cfRule type="expression" dxfId="50" priority="2">
      <formula>I14&gt;=0.9</formula>
    </cfRule>
    <cfRule type="expression" dxfId="49" priority="3">
      <formula>AND(I14&gt;=0.8, I14&lt;0.9)</formula>
    </cfRule>
    <cfRule type="expression" dxfId="48" priority="4">
      <formula>I14&lt;0.8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DF89ADE-A2A9-8845-B21A-432409D898C8}">
          <x14:formula1>
            <xm:f>'Listas desplegables'!$C$4:$C$15</xm:f>
          </x14:formula1>
          <xm:sqref>I46:I54 I14:I43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5527-124C-414D-A575-C3E530BFA6F7}">
  <sheetPr>
    <tabColor rgb="FF0993A5"/>
  </sheetPr>
  <dimension ref="A1:M262"/>
  <sheetViews>
    <sheetView zoomScale="75" zoomScaleNormal="75" workbookViewId="0">
      <selection activeCell="L54" sqref="L54"/>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94" t="s">
        <v>1784</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AVERAGEIF(I14:I41,"&lt;&gt;N/A")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95" customHeight="1" x14ac:dyDescent="0.2">
      <c r="B10" s="40" t="s">
        <v>13</v>
      </c>
      <c r="C10" s="147" t="s">
        <v>2378</v>
      </c>
      <c r="D10" s="148"/>
      <c r="E10" s="148"/>
      <c r="F10" s="148"/>
      <c r="G10" s="148"/>
      <c r="H10" s="148"/>
      <c r="I10" s="148"/>
      <c r="J10" s="149"/>
    </row>
    <row r="11" spans="2:12" ht="79" customHeight="1" x14ac:dyDescent="0.2">
      <c r="B11" s="39" t="s">
        <v>14</v>
      </c>
      <c r="C11" s="150" t="s">
        <v>1785</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54" customHeight="1" x14ac:dyDescent="0.2">
      <c r="B14" s="151" t="s">
        <v>100</v>
      </c>
      <c r="C14" s="151" t="s">
        <v>19</v>
      </c>
      <c r="D14" s="153" t="s">
        <v>1786</v>
      </c>
      <c r="E14" s="177" t="s">
        <v>1787</v>
      </c>
      <c r="F14" s="78" t="s">
        <v>1788</v>
      </c>
      <c r="G14" s="12" t="s">
        <v>36</v>
      </c>
      <c r="H14" s="34" t="s">
        <v>1789</v>
      </c>
      <c r="I14" s="28" t="s">
        <v>10</v>
      </c>
      <c r="J14" s="11"/>
      <c r="K14" s="33"/>
      <c r="L14" s="29"/>
    </row>
    <row r="15" spans="2:12" ht="54" customHeight="1" x14ac:dyDescent="0.2">
      <c r="B15" s="152"/>
      <c r="C15" s="152"/>
      <c r="D15" s="154"/>
      <c r="E15" s="178"/>
      <c r="F15" s="78" t="s">
        <v>1790</v>
      </c>
      <c r="G15" s="12" t="s">
        <v>844</v>
      </c>
      <c r="H15" s="34" t="s">
        <v>1791</v>
      </c>
      <c r="I15" s="28" t="s">
        <v>10</v>
      </c>
      <c r="J15" s="11"/>
      <c r="K15" s="33"/>
      <c r="L15" s="29"/>
    </row>
    <row r="16" spans="2:12" ht="54" customHeight="1" x14ac:dyDescent="0.2">
      <c r="B16" s="152"/>
      <c r="C16" s="152"/>
      <c r="D16" s="154"/>
      <c r="E16" s="178"/>
      <c r="F16" s="78" t="s">
        <v>1792</v>
      </c>
      <c r="G16" s="12" t="s">
        <v>38</v>
      </c>
      <c r="H16" s="34" t="s">
        <v>1793</v>
      </c>
      <c r="I16" s="28" t="s">
        <v>10</v>
      </c>
      <c r="J16" s="11"/>
      <c r="K16" s="33"/>
      <c r="L16" s="29"/>
    </row>
    <row r="17" spans="2:12" ht="54" customHeight="1" x14ac:dyDescent="0.2">
      <c r="B17" s="152"/>
      <c r="C17" s="152"/>
      <c r="D17" s="154"/>
      <c r="E17" s="178"/>
      <c r="F17" s="78" t="s">
        <v>1794</v>
      </c>
      <c r="G17" s="12" t="s">
        <v>844</v>
      </c>
      <c r="H17" s="34" t="s">
        <v>1795</v>
      </c>
      <c r="I17" s="28" t="s">
        <v>10</v>
      </c>
      <c r="J17" s="11"/>
      <c r="K17" s="33"/>
      <c r="L17" s="29"/>
    </row>
    <row r="18" spans="2:12" ht="54" customHeight="1" x14ac:dyDescent="0.2">
      <c r="B18" s="152"/>
      <c r="C18" s="152"/>
      <c r="D18" s="154"/>
      <c r="E18" s="178"/>
      <c r="F18" s="78" t="s">
        <v>1796</v>
      </c>
      <c r="G18" s="12" t="s">
        <v>844</v>
      </c>
      <c r="H18" s="34" t="s">
        <v>1797</v>
      </c>
      <c r="I18" s="28" t="s">
        <v>10</v>
      </c>
      <c r="J18" s="11"/>
      <c r="K18" s="33"/>
      <c r="L18" s="29"/>
    </row>
    <row r="19" spans="2:12" ht="54" customHeight="1" x14ac:dyDescent="0.2">
      <c r="B19" s="152"/>
      <c r="C19" s="152"/>
      <c r="D19" s="154"/>
      <c r="E19" s="178"/>
      <c r="F19" s="78" t="s">
        <v>1798</v>
      </c>
      <c r="G19" s="12" t="s">
        <v>844</v>
      </c>
      <c r="H19" s="34" t="s">
        <v>1799</v>
      </c>
      <c r="I19" s="28" t="s">
        <v>10</v>
      </c>
      <c r="J19" s="11"/>
      <c r="K19" s="33"/>
      <c r="L19" s="29"/>
    </row>
    <row r="20" spans="2:12" ht="54" customHeight="1" x14ac:dyDescent="0.2">
      <c r="B20" s="143" t="s">
        <v>100</v>
      </c>
      <c r="C20" s="143" t="s">
        <v>20</v>
      </c>
      <c r="D20" s="145" t="s">
        <v>1800</v>
      </c>
      <c r="E20" s="181" t="s">
        <v>1801</v>
      </c>
      <c r="F20" s="23" t="s">
        <v>1802</v>
      </c>
      <c r="G20" s="41" t="s">
        <v>844</v>
      </c>
      <c r="H20" s="35" t="s">
        <v>1803</v>
      </c>
      <c r="I20" s="28" t="s">
        <v>10</v>
      </c>
      <c r="J20" s="36"/>
      <c r="K20" s="37"/>
      <c r="L20" s="38"/>
    </row>
    <row r="21" spans="2:12" ht="54" customHeight="1" x14ac:dyDescent="0.2">
      <c r="B21" s="144"/>
      <c r="C21" s="144"/>
      <c r="D21" s="146"/>
      <c r="E21" s="182"/>
      <c r="F21" s="23" t="s">
        <v>1804</v>
      </c>
      <c r="G21" s="41" t="s">
        <v>38</v>
      </c>
      <c r="H21" s="35" t="s">
        <v>1805</v>
      </c>
      <c r="I21" s="28" t="s">
        <v>10</v>
      </c>
      <c r="J21" s="36"/>
      <c r="K21" s="37"/>
      <c r="L21" s="38"/>
    </row>
    <row r="22" spans="2:12" ht="54" customHeight="1" x14ac:dyDescent="0.2">
      <c r="B22" s="144"/>
      <c r="C22" s="144"/>
      <c r="D22" s="146"/>
      <c r="E22" s="182"/>
      <c r="F22" s="23" t="s">
        <v>1806</v>
      </c>
      <c r="G22" s="41" t="s">
        <v>38</v>
      </c>
      <c r="H22" s="35" t="s">
        <v>1807</v>
      </c>
      <c r="I22" s="28" t="s">
        <v>10</v>
      </c>
      <c r="J22" s="36"/>
      <c r="K22" s="37"/>
      <c r="L22" s="38"/>
    </row>
    <row r="23" spans="2:12" ht="54" customHeight="1" x14ac:dyDescent="0.2">
      <c r="B23" s="144"/>
      <c r="C23" s="144"/>
      <c r="D23" s="146"/>
      <c r="E23" s="182"/>
      <c r="F23" s="23" t="s">
        <v>1808</v>
      </c>
      <c r="G23" s="41" t="s">
        <v>38</v>
      </c>
      <c r="H23" s="35" t="s">
        <v>1809</v>
      </c>
      <c r="I23" s="28" t="s">
        <v>10</v>
      </c>
      <c r="J23" s="36"/>
      <c r="K23" s="37"/>
      <c r="L23" s="38"/>
    </row>
    <row r="24" spans="2:12" ht="54" customHeight="1" x14ac:dyDescent="0.2">
      <c r="B24" s="144"/>
      <c r="C24" s="144"/>
      <c r="D24" s="146"/>
      <c r="E24" s="182"/>
      <c r="F24" s="23" t="s">
        <v>1810</v>
      </c>
      <c r="G24" s="41" t="s">
        <v>844</v>
      </c>
      <c r="H24" s="35" t="s">
        <v>1811</v>
      </c>
      <c r="I24" s="28" t="s">
        <v>10</v>
      </c>
      <c r="J24" s="36"/>
      <c r="K24" s="37"/>
      <c r="L24" s="38"/>
    </row>
    <row r="25" spans="2:12" ht="54" customHeight="1" x14ac:dyDescent="0.2">
      <c r="B25" s="144"/>
      <c r="C25" s="144"/>
      <c r="D25" s="146"/>
      <c r="E25" s="182"/>
      <c r="F25" s="23" t="s">
        <v>1812</v>
      </c>
      <c r="G25" s="41" t="s">
        <v>844</v>
      </c>
      <c r="H25" s="35" t="s">
        <v>1813</v>
      </c>
      <c r="I25" s="28" t="s">
        <v>10</v>
      </c>
      <c r="J25" s="36"/>
      <c r="K25" s="37"/>
      <c r="L25" s="38"/>
    </row>
    <row r="26" spans="2:12" ht="54" customHeight="1" x14ac:dyDescent="0.2">
      <c r="B26" s="151" t="s">
        <v>100</v>
      </c>
      <c r="C26" s="151" t="s">
        <v>21</v>
      </c>
      <c r="D26" s="177" t="s">
        <v>1814</v>
      </c>
      <c r="E26" s="177" t="s">
        <v>1815</v>
      </c>
      <c r="F26" s="22" t="s">
        <v>1816</v>
      </c>
      <c r="G26" s="12" t="s">
        <v>844</v>
      </c>
      <c r="H26" s="34" t="s">
        <v>1817</v>
      </c>
      <c r="I26" s="28" t="s">
        <v>10</v>
      </c>
      <c r="J26" s="11"/>
      <c r="K26" s="33"/>
      <c r="L26" s="29"/>
    </row>
    <row r="27" spans="2:12" ht="54" customHeight="1" x14ac:dyDescent="0.2">
      <c r="B27" s="152"/>
      <c r="C27" s="152"/>
      <c r="D27" s="178"/>
      <c r="E27" s="178"/>
      <c r="F27" s="22" t="s">
        <v>1818</v>
      </c>
      <c r="G27" s="12" t="s">
        <v>844</v>
      </c>
      <c r="H27" s="34" t="s">
        <v>1819</v>
      </c>
      <c r="I27" s="28" t="s">
        <v>10</v>
      </c>
      <c r="J27" s="11"/>
      <c r="K27" s="33"/>
      <c r="L27" s="29"/>
    </row>
    <row r="28" spans="2:12" ht="54" customHeight="1" x14ac:dyDescent="0.2">
      <c r="B28" s="152"/>
      <c r="C28" s="152"/>
      <c r="D28" s="178"/>
      <c r="E28" s="178"/>
      <c r="F28" s="22" t="s">
        <v>1820</v>
      </c>
      <c r="G28" s="12" t="s">
        <v>35</v>
      </c>
      <c r="H28" s="34" t="s">
        <v>1821</v>
      </c>
      <c r="I28" s="28" t="s">
        <v>10</v>
      </c>
      <c r="J28" s="11"/>
      <c r="K28" s="33"/>
      <c r="L28" s="29"/>
    </row>
    <row r="29" spans="2:12" ht="54" customHeight="1" x14ac:dyDescent="0.2">
      <c r="B29" s="152"/>
      <c r="C29" s="152"/>
      <c r="D29" s="178"/>
      <c r="E29" s="178"/>
      <c r="F29" s="22" t="s">
        <v>1822</v>
      </c>
      <c r="G29" s="12" t="s">
        <v>844</v>
      </c>
      <c r="H29" s="34" t="s">
        <v>1823</v>
      </c>
      <c r="I29" s="28" t="s">
        <v>10</v>
      </c>
      <c r="J29" s="11"/>
      <c r="K29" s="33"/>
      <c r="L29" s="29"/>
    </row>
    <row r="30" spans="2:12" ht="54" customHeight="1" x14ac:dyDescent="0.2">
      <c r="B30" s="152"/>
      <c r="C30" s="152"/>
      <c r="D30" s="178"/>
      <c r="E30" s="178"/>
      <c r="F30" s="22" t="s">
        <v>1824</v>
      </c>
      <c r="G30" s="12" t="s">
        <v>844</v>
      </c>
      <c r="H30" s="34" t="s">
        <v>1825</v>
      </c>
      <c r="I30" s="28" t="s">
        <v>10</v>
      </c>
      <c r="J30" s="11"/>
      <c r="K30" s="33"/>
      <c r="L30" s="29"/>
    </row>
    <row r="31" spans="2:12" ht="54" customHeight="1" x14ac:dyDescent="0.2">
      <c r="B31" s="152"/>
      <c r="C31" s="152"/>
      <c r="D31" s="178"/>
      <c r="E31" s="178"/>
      <c r="F31" s="22" t="s">
        <v>1826</v>
      </c>
      <c r="G31" s="12" t="s">
        <v>844</v>
      </c>
      <c r="H31" s="34" t="s">
        <v>1827</v>
      </c>
      <c r="I31" s="28" t="s">
        <v>10</v>
      </c>
      <c r="J31" s="11"/>
      <c r="K31" s="33"/>
      <c r="L31" s="29"/>
    </row>
    <row r="32" spans="2:12" ht="54" customHeight="1" x14ac:dyDescent="0.2">
      <c r="B32" s="152"/>
      <c r="C32" s="152"/>
      <c r="D32" s="178"/>
      <c r="E32" s="178"/>
      <c r="F32" s="22" t="s">
        <v>1828</v>
      </c>
      <c r="G32" s="12" t="s">
        <v>39</v>
      </c>
      <c r="H32" s="34" t="s">
        <v>1829</v>
      </c>
      <c r="I32" s="28" t="s">
        <v>10</v>
      </c>
      <c r="J32" s="11"/>
      <c r="K32" s="33"/>
      <c r="L32" s="29"/>
    </row>
    <row r="33" spans="2:12" ht="54" customHeight="1" x14ac:dyDescent="0.2">
      <c r="B33" s="143" t="s">
        <v>100</v>
      </c>
      <c r="C33" s="143" t="s">
        <v>22</v>
      </c>
      <c r="D33" s="181" t="s">
        <v>1830</v>
      </c>
      <c r="E33" s="181" t="s">
        <v>1831</v>
      </c>
      <c r="F33" s="23" t="s">
        <v>1832</v>
      </c>
      <c r="G33" s="41" t="s">
        <v>844</v>
      </c>
      <c r="H33" s="35" t="s">
        <v>1833</v>
      </c>
      <c r="I33" s="28" t="s">
        <v>10</v>
      </c>
      <c r="J33" s="36"/>
      <c r="K33" s="37"/>
      <c r="L33" s="38"/>
    </row>
    <row r="34" spans="2:12" ht="54" customHeight="1" x14ac:dyDescent="0.2">
      <c r="B34" s="144"/>
      <c r="C34" s="144"/>
      <c r="D34" s="182"/>
      <c r="E34" s="182"/>
      <c r="F34" s="23" t="s">
        <v>1834</v>
      </c>
      <c r="G34" s="41" t="s">
        <v>844</v>
      </c>
      <c r="H34" s="35" t="s">
        <v>1835</v>
      </c>
      <c r="I34" s="28" t="s">
        <v>10</v>
      </c>
      <c r="J34" s="36"/>
      <c r="K34" s="37"/>
      <c r="L34" s="38"/>
    </row>
    <row r="35" spans="2:12" ht="54" customHeight="1" x14ac:dyDescent="0.2">
      <c r="B35" s="144"/>
      <c r="C35" s="144"/>
      <c r="D35" s="182"/>
      <c r="E35" s="182"/>
      <c r="F35" s="23" t="s">
        <v>1836</v>
      </c>
      <c r="G35" s="41" t="s">
        <v>844</v>
      </c>
      <c r="H35" s="35" t="s">
        <v>1837</v>
      </c>
      <c r="I35" s="28" t="s">
        <v>10</v>
      </c>
      <c r="J35" s="36"/>
      <c r="K35" s="37"/>
      <c r="L35" s="38"/>
    </row>
    <row r="36" spans="2:12" ht="54" customHeight="1" x14ac:dyDescent="0.2">
      <c r="B36" s="144"/>
      <c r="C36" s="144"/>
      <c r="D36" s="182"/>
      <c r="E36" s="182"/>
      <c r="F36" s="23" t="s">
        <v>1838</v>
      </c>
      <c r="G36" s="41" t="s">
        <v>35</v>
      </c>
      <c r="H36" s="35" t="s">
        <v>1839</v>
      </c>
      <c r="I36" s="28" t="s">
        <v>10</v>
      </c>
      <c r="J36" s="36"/>
      <c r="K36" s="37"/>
      <c r="L36" s="38"/>
    </row>
    <row r="37" spans="2:12" ht="54" customHeight="1" x14ac:dyDescent="0.2">
      <c r="B37" s="144"/>
      <c r="C37" s="144"/>
      <c r="D37" s="182"/>
      <c r="E37" s="182"/>
      <c r="F37" s="23" t="s">
        <v>1840</v>
      </c>
      <c r="G37" s="41" t="s">
        <v>39</v>
      </c>
      <c r="H37" s="35" t="s">
        <v>1841</v>
      </c>
      <c r="I37" s="28" t="s">
        <v>10</v>
      </c>
      <c r="J37" s="36"/>
      <c r="K37" s="37"/>
      <c r="L37" s="38"/>
    </row>
    <row r="38" spans="2:12" ht="54" customHeight="1" x14ac:dyDescent="0.2">
      <c r="B38" s="151" t="s">
        <v>100</v>
      </c>
      <c r="C38" s="151" t="s">
        <v>23</v>
      </c>
      <c r="D38" s="185" t="s">
        <v>1842</v>
      </c>
      <c r="E38" s="185" t="s">
        <v>1843</v>
      </c>
      <c r="F38" s="34" t="s">
        <v>1844</v>
      </c>
      <c r="G38" s="12" t="s">
        <v>36</v>
      </c>
      <c r="H38" s="34" t="s">
        <v>1845</v>
      </c>
      <c r="I38" s="28" t="s">
        <v>10</v>
      </c>
      <c r="J38" s="11"/>
      <c r="K38" s="33"/>
      <c r="L38" s="29"/>
    </row>
    <row r="39" spans="2:12" ht="54" customHeight="1" x14ac:dyDescent="0.2">
      <c r="B39" s="152"/>
      <c r="C39" s="152"/>
      <c r="D39" s="186"/>
      <c r="E39" s="186"/>
      <c r="F39" s="34" t="s">
        <v>1846</v>
      </c>
      <c r="G39" s="12" t="s">
        <v>844</v>
      </c>
      <c r="H39" s="34" t="s">
        <v>1847</v>
      </c>
      <c r="I39" s="28" t="s">
        <v>10</v>
      </c>
      <c r="J39" s="11"/>
      <c r="K39" s="33"/>
      <c r="L39" s="29"/>
    </row>
    <row r="40" spans="2:12" ht="54" customHeight="1" x14ac:dyDescent="0.2">
      <c r="B40" s="152"/>
      <c r="C40" s="152"/>
      <c r="D40" s="186"/>
      <c r="E40" s="186"/>
      <c r="F40" s="34" t="s">
        <v>1848</v>
      </c>
      <c r="G40" s="12" t="s">
        <v>844</v>
      </c>
      <c r="H40" s="34" t="s">
        <v>1849</v>
      </c>
      <c r="I40" s="28" t="s">
        <v>10</v>
      </c>
      <c r="J40" s="11"/>
      <c r="K40" s="33"/>
      <c r="L40" s="29"/>
    </row>
    <row r="41" spans="2:12" ht="54" customHeight="1" x14ac:dyDescent="0.2">
      <c r="B41" s="152"/>
      <c r="C41" s="152"/>
      <c r="D41" s="186"/>
      <c r="E41" s="186"/>
      <c r="F41" s="34" t="s">
        <v>1850</v>
      </c>
      <c r="G41" s="12" t="s">
        <v>35</v>
      </c>
      <c r="H41" s="34" t="s">
        <v>1851</v>
      </c>
      <c r="I41" s="28" t="s">
        <v>10</v>
      </c>
      <c r="J41" s="11"/>
      <c r="K41" s="33"/>
      <c r="L41" s="29"/>
    </row>
    <row r="42" spans="2:12" ht="50.5" customHeight="1" x14ac:dyDescent="0.2">
      <c r="B42" s="143" t="s">
        <v>100</v>
      </c>
      <c r="C42" s="143" t="s">
        <v>877</v>
      </c>
      <c r="D42" s="181" t="s">
        <v>1852</v>
      </c>
      <c r="E42" s="191" t="s">
        <v>1853</v>
      </c>
      <c r="F42" s="87" t="s">
        <v>1854</v>
      </c>
      <c r="G42" s="41" t="s">
        <v>844</v>
      </c>
      <c r="H42" s="87" t="s">
        <v>1855</v>
      </c>
      <c r="I42" s="28" t="s">
        <v>10</v>
      </c>
      <c r="J42" s="36"/>
      <c r="K42" s="37"/>
      <c r="L42" s="38"/>
    </row>
    <row r="43" spans="2:12" ht="83.5" customHeight="1" x14ac:dyDescent="0.2">
      <c r="B43" s="144"/>
      <c r="C43" s="144"/>
      <c r="D43" s="182"/>
      <c r="E43" s="192"/>
      <c r="F43" s="87" t="s">
        <v>1856</v>
      </c>
      <c r="G43" s="41" t="s">
        <v>844</v>
      </c>
      <c r="H43" s="87" t="s">
        <v>1857</v>
      </c>
      <c r="I43" s="28" t="s">
        <v>10</v>
      </c>
      <c r="J43" s="36"/>
      <c r="K43" s="37"/>
      <c r="L43" s="38"/>
    </row>
    <row r="44" spans="2:12" ht="67.5" customHeight="1" x14ac:dyDescent="0.2">
      <c r="B44" s="144"/>
      <c r="C44" s="144"/>
      <c r="D44" s="182"/>
      <c r="E44" s="192"/>
      <c r="F44" s="87" t="s">
        <v>1858</v>
      </c>
      <c r="G44" s="41" t="s">
        <v>844</v>
      </c>
      <c r="H44" s="87" t="s">
        <v>1859</v>
      </c>
      <c r="I44" s="28" t="s">
        <v>10</v>
      </c>
      <c r="J44" s="36"/>
      <c r="K44" s="37"/>
      <c r="L44" s="38"/>
    </row>
    <row r="45" spans="2:12" ht="57.5" customHeight="1" x14ac:dyDescent="0.2">
      <c r="B45" s="144"/>
      <c r="C45" s="144"/>
      <c r="D45" s="182"/>
      <c r="E45" s="192"/>
      <c r="F45" s="87" t="s">
        <v>1860</v>
      </c>
      <c r="G45" s="41" t="s">
        <v>35</v>
      </c>
      <c r="H45" s="87" t="s">
        <v>1861</v>
      </c>
      <c r="I45" s="28" t="s">
        <v>10</v>
      </c>
      <c r="J45" s="36"/>
      <c r="K45" s="37"/>
      <c r="L45" s="38"/>
    </row>
    <row r="46" spans="2:12" ht="57.5" customHeight="1" x14ac:dyDescent="0.2">
      <c r="B46" s="144"/>
      <c r="C46" s="144"/>
      <c r="D46" s="182"/>
      <c r="E46" s="192"/>
      <c r="F46" s="87" t="s">
        <v>1862</v>
      </c>
      <c r="G46" s="41" t="s">
        <v>35</v>
      </c>
      <c r="H46" s="87" t="s">
        <v>1863</v>
      </c>
      <c r="I46" s="28" t="s">
        <v>10</v>
      </c>
      <c r="J46" s="36"/>
      <c r="K46" s="37"/>
      <c r="L46" s="38"/>
    </row>
    <row r="47" spans="2:12" ht="63" customHeight="1" x14ac:dyDescent="0.2">
      <c r="B47" s="144"/>
      <c r="C47" s="144"/>
      <c r="D47" s="182"/>
      <c r="E47" s="192"/>
      <c r="F47" s="87" t="s">
        <v>1864</v>
      </c>
      <c r="G47" s="41" t="s">
        <v>844</v>
      </c>
      <c r="H47" s="87" t="s">
        <v>1865</v>
      </c>
      <c r="I47" s="28" t="s">
        <v>10</v>
      </c>
      <c r="J47" s="36"/>
      <c r="K47" s="37"/>
      <c r="L47" s="38"/>
    </row>
    <row r="48" spans="2:12" ht="5.25" customHeight="1" x14ac:dyDescent="0.2"/>
    <row r="49" spans="2:12" ht="31" customHeight="1" x14ac:dyDescent="0.2">
      <c r="B49" s="69" t="s">
        <v>34</v>
      </c>
      <c r="C49" s="69" t="s">
        <v>258</v>
      </c>
      <c r="D49" s="69" t="s">
        <v>259</v>
      </c>
      <c r="E49" s="169" t="s">
        <v>32</v>
      </c>
      <c r="F49" s="170"/>
      <c r="G49" s="169" t="s">
        <v>16</v>
      </c>
      <c r="H49" s="170"/>
      <c r="I49" s="71" t="s">
        <v>8</v>
      </c>
      <c r="J49" s="69" t="s">
        <v>17</v>
      </c>
      <c r="K49" s="72" t="s">
        <v>44</v>
      </c>
      <c r="L49" s="69" t="s">
        <v>45</v>
      </c>
    </row>
    <row r="50" spans="2:12" ht="79.75" customHeight="1" x14ac:dyDescent="0.2">
      <c r="B50" s="151" t="s">
        <v>100</v>
      </c>
      <c r="C50" s="151" t="s">
        <v>260</v>
      </c>
      <c r="D50" s="177" t="s">
        <v>1866</v>
      </c>
      <c r="E50" s="129" t="s">
        <v>1867</v>
      </c>
      <c r="F50" s="130"/>
      <c r="G50" s="127" t="s">
        <v>1868</v>
      </c>
      <c r="H50" s="128"/>
      <c r="I50" s="28" t="s">
        <v>10</v>
      </c>
      <c r="J50" s="11"/>
      <c r="K50" s="33"/>
      <c r="L50" s="29"/>
    </row>
    <row r="51" spans="2:12" ht="79.75" customHeight="1" x14ac:dyDescent="0.2">
      <c r="B51" s="152"/>
      <c r="C51" s="152"/>
      <c r="D51" s="178"/>
      <c r="E51" s="131"/>
      <c r="F51" s="132"/>
      <c r="G51" s="127" t="s">
        <v>1869</v>
      </c>
      <c r="H51" s="128"/>
      <c r="I51" s="28" t="s">
        <v>10</v>
      </c>
      <c r="J51" s="11"/>
      <c r="K51" s="33"/>
      <c r="L51" s="29"/>
    </row>
    <row r="52" spans="2:12" ht="79.75" customHeight="1" x14ac:dyDescent="0.2">
      <c r="B52" s="173"/>
      <c r="C52" s="173"/>
      <c r="D52" s="179"/>
      <c r="E52" s="133"/>
      <c r="F52" s="134"/>
      <c r="G52" s="127" t="s">
        <v>2379</v>
      </c>
      <c r="H52" s="128"/>
      <c r="I52" s="28" t="s">
        <v>10</v>
      </c>
      <c r="J52" s="11"/>
      <c r="K52" s="33"/>
      <c r="L52" s="29"/>
    </row>
    <row r="53" spans="2:12" ht="83.5" customHeight="1" x14ac:dyDescent="0.2">
      <c r="B53" s="143" t="s">
        <v>100</v>
      </c>
      <c r="C53" s="143" t="s">
        <v>261</v>
      </c>
      <c r="D53" s="181" t="s">
        <v>1870</v>
      </c>
      <c r="E53" s="135" t="s">
        <v>1871</v>
      </c>
      <c r="F53" s="136"/>
      <c r="G53" s="141" t="s">
        <v>1872</v>
      </c>
      <c r="H53" s="142"/>
      <c r="I53" s="28" t="s">
        <v>10</v>
      </c>
      <c r="J53" s="36"/>
      <c r="K53" s="37"/>
      <c r="L53" s="38"/>
    </row>
    <row r="54" spans="2:12" ht="83.5" customHeight="1" x14ac:dyDescent="0.2">
      <c r="B54" s="144"/>
      <c r="C54" s="144"/>
      <c r="D54" s="182"/>
      <c r="E54" s="137"/>
      <c r="F54" s="138"/>
      <c r="G54" s="141" t="s">
        <v>1873</v>
      </c>
      <c r="H54" s="142"/>
      <c r="I54" s="28" t="s">
        <v>10</v>
      </c>
      <c r="J54" s="36"/>
      <c r="K54" s="37"/>
      <c r="L54" s="38"/>
    </row>
    <row r="55" spans="2:12" ht="83.5" customHeight="1" x14ac:dyDescent="0.2">
      <c r="B55" s="144"/>
      <c r="C55" s="144"/>
      <c r="D55" s="182"/>
      <c r="E55" s="139"/>
      <c r="F55" s="140"/>
      <c r="G55" s="141" t="s">
        <v>1874</v>
      </c>
      <c r="H55" s="142"/>
      <c r="I55" s="28" t="s">
        <v>10</v>
      </c>
      <c r="J55" s="36"/>
      <c r="K55" s="37"/>
      <c r="L55" s="38"/>
    </row>
    <row r="56" spans="2:12" ht="79.75" customHeight="1" x14ac:dyDescent="0.2">
      <c r="B56" s="151" t="s">
        <v>100</v>
      </c>
      <c r="C56" s="151" t="s">
        <v>262</v>
      </c>
      <c r="D56" s="177" t="s">
        <v>1875</v>
      </c>
      <c r="E56" s="129" t="s">
        <v>1876</v>
      </c>
      <c r="F56" s="130"/>
      <c r="G56" s="127" t="s">
        <v>1877</v>
      </c>
      <c r="H56" s="128"/>
      <c r="I56" s="28" t="s">
        <v>10</v>
      </c>
      <c r="J56" s="11"/>
      <c r="K56" s="33"/>
      <c r="L56" s="29"/>
    </row>
    <row r="57" spans="2:12" ht="79.75" customHeight="1" x14ac:dyDescent="0.2">
      <c r="B57" s="152"/>
      <c r="C57" s="152"/>
      <c r="D57" s="178"/>
      <c r="E57" s="131"/>
      <c r="F57" s="132"/>
      <c r="G57" s="127" t="s">
        <v>1878</v>
      </c>
      <c r="H57" s="128"/>
      <c r="I57" s="28" t="s">
        <v>10</v>
      </c>
      <c r="J57" s="11"/>
      <c r="K57" s="33"/>
      <c r="L57" s="29"/>
    </row>
    <row r="58" spans="2:12" ht="79.75" customHeight="1" x14ac:dyDescent="0.2">
      <c r="B58" s="173"/>
      <c r="C58" s="173"/>
      <c r="D58" s="179"/>
      <c r="E58" s="133"/>
      <c r="F58" s="134"/>
      <c r="G58" s="127" t="s">
        <v>1879</v>
      </c>
      <c r="H58" s="128"/>
      <c r="I58" s="28" t="s">
        <v>10</v>
      </c>
      <c r="J58" s="11"/>
      <c r="K58" s="33"/>
      <c r="L58" s="29"/>
    </row>
    <row r="59" spans="2:12" ht="83.5" customHeight="1" x14ac:dyDescent="0.2">
      <c r="B59" s="143" t="s">
        <v>100</v>
      </c>
      <c r="C59" s="143" t="s">
        <v>263</v>
      </c>
      <c r="D59" s="181" t="s">
        <v>1880</v>
      </c>
      <c r="E59" s="135" t="s">
        <v>1881</v>
      </c>
      <c r="F59" s="136"/>
      <c r="G59" s="141" t="s">
        <v>1882</v>
      </c>
      <c r="H59" s="142"/>
      <c r="I59" s="28" t="s">
        <v>10</v>
      </c>
      <c r="J59" s="36"/>
      <c r="K59" s="37"/>
      <c r="L59" s="38"/>
    </row>
    <row r="60" spans="2:12" ht="83.5" customHeight="1" x14ac:dyDescent="0.2">
      <c r="B60" s="144"/>
      <c r="C60" s="144"/>
      <c r="D60" s="182"/>
      <c r="E60" s="137"/>
      <c r="F60" s="138"/>
      <c r="G60" s="141" t="s">
        <v>1883</v>
      </c>
      <c r="H60" s="142"/>
      <c r="I60" s="28" t="s">
        <v>10</v>
      </c>
      <c r="J60" s="36"/>
      <c r="K60" s="37"/>
      <c r="L60" s="38"/>
    </row>
    <row r="61" spans="2:12" ht="83.5" customHeight="1" x14ac:dyDescent="0.2">
      <c r="B61" s="144"/>
      <c r="C61" s="144"/>
      <c r="D61" s="182"/>
      <c r="E61" s="139"/>
      <c r="F61" s="140"/>
      <c r="G61" s="141" t="s">
        <v>1884</v>
      </c>
      <c r="H61" s="142"/>
      <c r="I61" s="28" t="s">
        <v>10</v>
      </c>
      <c r="J61" s="36"/>
      <c r="K61" s="37"/>
      <c r="L61" s="38"/>
    </row>
    <row r="62" spans="2:12" ht="79.75" customHeight="1" x14ac:dyDescent="0.2">
      <c r="B62" s="151" t="s">
        <v>100</v>
      </c>
      <c r="C62" s="151" t="s">
        <v>264</v>
      </c>
      <c r="D62" s="177" t="s">
        <v>1885</v>
      </c>
      <c r="E62" s="129" t="s">
        <v>1886</v>
      </c>
      <c r="F62" s="130"/>
      <c r="G62" s="127" t="s">
        <v>1887</v>
      </c>
      <c r="H62" s="128"/>
      <c r="I62" s="28" t="s">
        <v>10</v>
      </c>
      <c r="J62" s="11"/>
      <c r="K62" s="33"/>
      <c r="L62" s="29"/>
    </row>
    <row r="63" spans="2:12" ht="79.75" customHeight="1" x14ac:dyDescent="0.2">
      <c r="B63" s="152"/>
      <c r="C63" s="152"/>
      <c r="D63" s="178"/>
      <c r="E63" s="131"/>
      <c r="F63" s="132"/>
      <c r="G63" s="127" t="s">
        <v>1888</v>
      </c>
      <c r="H63" s="128"/>
      <c r="I63" s="28" t="s">
        <v>10</v>
      </c>
      <c r="J63" s="11"/>
      <c r="K63" s="33"/>
      <c r="L63" s="29"/>
    </row>
    <row r="64" spans="2:12" ht="79.75" customHeight="1" x14ac:dyDescent="0.2">
      <c r="B64" s="173"/>
      <c r="C64" s="173"/>
      <c r="D64" s="179"/>
      <c r="E64" s="133"/>
      <c r="F64" s="134"/>
      <c r="G64" s="127" t="s">
        <v>1889</v>
      </c>
      <c r="H64" s="128"/>
      <c r="I64" s="28" t="s">
        <v>10</v>
      </c>
      <c r="J64" s="11"/>
      <c r="K64" s="33"/>
      <c r="L64" s="29"/>
    </row>
    <row r="65" spans="2:12" ht="83.5" customHeight="1" x14ac:dyDescent="0.2">
      <c r="B65" s="143" t="s">
        <v>100</v>
      </c>
      <c r="C65" s="143" t="s">
        <v>267</v>
      </c>
      <c r="D65" s="181" t="s">
        <v>1890</v>
      </c>
      <c r="E65" s="135" t="s">
        <v>1891</v>
      </c>
      <c r="F65" s="136"/>
      <c r="G65" s="141" t="s">
        <v>1892</v>
      </c>
      <c r="H65" s="142"/>
      <c r="I65" s="28" t="s">
        <v>10</v>
      </c>
      <c r="J65" s="36"/>
      <c r="K65" s="37"/>
      <c r="L65" s="38"/>
    </row>
    <row r="66" spans="2:12" ht="83.5" customHeight="1" x14ac:dyDescent="0.2">
      <c r="B66" s="144"/>
      <c r="C66" s="144"/>
      <c r="D66" s="182"/>
      <c r="E66" s="137"/>
      <c r="F66" s="138"/>
      <c r="G66" s="141" t="s">
        <v>1893</v>
      </c>
      <c r="H66" s="142"/>
      <c r="I66" s="28" t="s">
        <v>10</v>
      </c>
      <c r="J66" s="36"/>
      <c r="K66" s="37"/>
      <c r="L66" s="38"/>
    </row>
    <row r="67" spans="2:12" ht="83.5" customHeight="1" x14ac:dyDescent="0.2">
      <c r="B67" s="144"/>
      <c r="C67" s="144"/>
      <c r="D67" s="182"/>
      <c r="E67" s="139"/>
      <c r="F67" s="140"/>
      <c r="G67" s="141" t="s">
        <v>1894</v>
      </c>
      <c r="H67" s="142"/>
      <c r="I67" s="28" t="s">
        <v>10</v>
      </c>
      <c r="J67" s="36"/>
      <c r="K67" s="37"/>
      <c r="L67" s="38"/>
    </row>
    <row r="68" spans="2:12" ht="79.75" customHeight="1" x14ac:dyDescent="0.2">
      <c r="B68" s="151" t="s">
        <v>100</v>
      </c>
      <c r="C68" s="151" t="s">
        <v>268</v>
      </c>
      <c r="D68" s="177" t="s">
        <v>1895</v>
      </c>
      <c r="E68" s="129" t="s">
        <v>1896</v>
      </c>
      <c r="F68" s="130"/>
      <c r="G68" s="127" t="s">
        <v>1897</v>
      </c>
      <c r="H68" s="128"/>
      <c r="I68" s="28" t="s">
        <v>10</v>
      </c>
      <c r="J68" s="11"/>
      <c r="K68" s="33"/>
      <c r="L68" s="29"/>
    </row>
    <row r="69" spans="2:12" ht="79.75" customHeight="1" x14ac:dyDescent="0.2">
      <c r="B69" s="152"/>
      <c r="C69" s="152"/>
      <c r="D69" s="178"/>
      <c r="E69" s="131"/>
      <c r="F69" s="132"/>
      <c r="G69" s="127" t="s">
        <v>1898</v>
      </c>
      <c r="H69" s="128"/>
      <c r="I69" s="28" t="s">
        <v>10</v>
      </c>
      <c r="J69" s="11"/>
      <c r="K69" s="33"/>
      <c r="L69" s="29"/>
    </row>
    <row r="70" spans="2:12" ht="79.75" customHeight="1" x14ac:dyDescent="0.2">
      <c r="B70" s="173"/>
      <c r="C70" s="173"/>
      <c r="D70" s="179"/>
      <c r="E70" s="133"/>
      <c r="F70" s="134"/>
      <c r="G70" s="127" t="s">
        <v>1899</v>
      </c>
      <c r="H70" s="128"/>
      <c r="I70" s="28" t="s">
        <v>10</v>
      </c>
      <c r="J70" s="11"/>
      <c r="K70" s="33"/>
      <c r="L70" s="29"/>
    </row>
    <row r="239" spans="1:13" s="4" customFormat="1" x14ac:dyDescent="0.2">
      <c r="A239" s="1"/>
      <c r="B239" s="2"/>
      <c r="C239" s="3"/>
      <c r="D239" s="3"/>
      <c r="E239" s="3"/>
      <c r="G239" s="3"/>
      <c r="I239" s="6"/>
      <c r="J239" s="1"/>
      <c r="K239" s="30"/>
      <c r="L239" s="1"/>
      <c r="M239" s="1"/>
    </row>
    <row r="240" spans="1:13" s="4" customFormat="1" x14ac:dyDescent="0.2">
      <c r="A240" s="1"/>
      <c r="B240" s="2"/>
      <c r="C240" s="3"/>
      <c r="D240" s="3"/>
      <c r="E240" s="3"/>
      <c r="G240" s="79"/>
      <c r="I240" s="6"/>
      <c r="J240" s="1"/>
      <c r="K240" s="30"/>
      <c r="L240" s="1"/>
      <c r="M240" s="1"/>
    </row>
    <row r="241" spans="1:13" s="4" customFormat="1" x14ac:dyDescent="0.2">
      <c r="A241" s="1"/>
      <c r="B241" s="2"/>
      <c r="C241" s="3"/>
      <c r="D241" s="3"/>
      <c r="E241" s="3"/>
      <c r="G241" s="80"/>
      <c r="I241" s="6"/>
      <c r="J241" s="1"/>
      <c r="K241" s="30"/>
      <c r="L241" s="1"/>
      <c r="M241" s="1"/>
    </row>
    <row r="242" spans="1:13" s="4" customFormat="1" x14ac:dyDescent="0.2">
      <c r="A242" s="1"/>
      <c r="B242" s="2"/>
      <c r="C242" s="3"/>
      <c r="D242" s="3"/>
      <c r="E242" s="3"/>
      <c r="G242" s="81"/>
      <c r="I242" s="6"/>
      <c r="J242" s="1"/>
      <c r="K242" s="30"/>
      <c r="L242" s="1"/>
      <c r="M242" s="1"/>
    </row>
    <row r="243" spans="1:13" s="4" customFormat="1" x14ac:dyDescent="0.2">
      <c r="A243" s="1"/>
      <c r="B243" s="2"/>
      <c r="C243" s="3"/>
      <c r="D243" s="3"/>
      <c r="E243" s="3"/>
      <c r="G243" s="82"/>
      <c r="I243" s="6"/>
      <c r="J243" s="1"/>
      <c r="K243" s="30"/>
      <c r="L243" s="1"/>
      <c r="M243" s="1"/>
    </row>
    <row r="244" spans="1:13" s="4" customFormat="1" x14ac:dyDescent="0.2">
      <c r="A244" s="1"/>
      <c r="B244" s="2"/>
      <c r="C244" s="3"/>
      <c r="D244" s="3"/>
      <c r="E244" s="3"/>
      <c r="G244" s="79"/>
      <c r="I244" s="6"/>
      <c r="J244" s="1"/>
      <c r="K244" s="30"/>
      <c r="L244" s="1"/>
      <c r="M244" s="1"/>
    </row>
    <row r="248" spans="1:13" s="4" customFormat="1" x14ac:dyDescent="0.2">
      <c r="A248" s="1"/>
      <c r="B248" s="2"/>
      <c r="C248" s="3"/>
      <c r="D248" s="3"/>
      <c r="E248" s="3"/>
      <c r="G248" s="83"/>
      <c r="I248" s="6"/>
      <c r="J248" s="1"/>
      <c r="K248" s="30"/>
      <c r="L248" s="1"/>
      <c r="M248" s="1"/>
    </row>
    <row r="249" spans="1:13" s="4" customFormat="1" x14ac:dyDescent="0.2">
      <c r="A249" s="1"/>
      <c r="B249" s="2"/>
      <c r="C249" s="3"/>
      <c r="D249" s="3"/>
      <c r="E249" s="3"/>
      <c r="G249" s="84"/>
      <c r="I249" s="6"/>
      <c r="J249" s="1"/>
      <c r="K249" s="30"/>
      <c r="L249" s="1"/>
      <c r="M249" s="1"/>
    </row>
    <row r="250" spans="1:13" s="4" customFormat="1" x14ac:dyDescent="0.2">
      <c r="A250" s="1"/>
      <c r="B250" s="2"/>
      <c r="C250" s="3"/>
      <c r="D250" s="3"/>
      <c r="E250" s="3"/>
      <c r="G250" s="81"/>
      <c r="I250" s="6"/>
      <c r="J250" s="1"/>
      <c r="K250" s="30"/>
      <c r="L250" s="1"/>
      <c r="M250" s="1"/>
    </row>
    <row r="251" spans="1:13" s="4" customFormat="1" x14ac:dyDescent="0.2">
      <c r="A251" s="1"/>
      <c r="B251" s="2"/>
      <c r="C251" s="3"/>
      <c r="D251" s="3"/>
      <c r="E251" s="3"/>
      <c r="G251" s="81"/>
      <c r="I251" s="6"/>
      <c r="J251" s="1"/>
      <c r="K251" s="30"/>
      <c r="L251" s="1"/>
      <c r="M251" s="1"/>
    </row>
    <row r="252" spans="1:13" s="4" customFormat="1" x14ac:dyDescent="0.2">
      <c r="A252" s="1"/>
      <c r="B252" s="2"/>
      <c r="C252" s="3"/>
      <c r="D252" s="3"/>
      <c r="E252" s="3"/>
      <c r="G252" s="79"/>
      <c r="I252" s="6"/>
      <c r="J252" s="1"/>
      <c r="K252" s="30"/>
      <c r="L252" s="1"/>
      <c r="M252" s="1"/>
    </row>
    <row r="256" spans="1:13" s="4" customFormat="1" x14ac:dyDescent="0.2">
      <c r="A256" s="1"/>
      <c r="B256" s="2"/>
      <c r="C256" s="3"/>
      <c r="D256" s="3"/>
      <c r="E256" s="3"/>
      <c r="G256" s="83"/>
      <c r="I256" s="6"/>
      <c r="J256" s="1"/>
      <c r="K256" s="30"/>
      <c r="L256" s="1"/>
      <c r="M256" s="1"/>
    </row>
    <row r="257" spans="1:13" s="4" customFormat="1" x14ac:dyDescent="0.2">
      <c r="A257" s="1"/>
      <c r="B257" s="2"/>
      <c r="C257" s="3"/>
      <c r="D257" s="3"/>
      <c r="E257" s="3"/>
      <c r="G257" s="84"/>
      <c r="I257" s="6"/>
      <c r="J257" s="1"/>
      <c r="K257" s="30"/>
      <c r="L257" s="1"/>
      <c r="M257" s="1"/>
    </row>
    <row r="258" spans="1:13" s="4" customFormat="1" x14ac:dyDescent="0.2">
      <c r="A258" s="1"/>
      <c r="B258" s="2"/>
      <c r="C258" s="3"/>
      <c r="D258" s="3"/>
      <c r="E258" s="3"/>
      <c r="G258" s="81"/>
      <c r="I258" s="6"/>
      <c r="J258" s="1"/>
      <c r="K258" s="30"/>
      <c r="L258" s="1"/>
      <c r="M258" s="1"/>
    </row>
    <row r="259" spans="1:13" s="4" customFormat="1" x14ac:dyDescent="0.2">
      <c r="A259" s="1"/>
      <c r="B259" s="2"/>
      <c r="C259" s="3"/>
      <c r="D259" s="3"/>
      <c r="E259" s="3"/>
      <c r="G259" s="81"/>
      <c r="I259" s="6"/>
      <c r="J259" s="1"/>
      <c r="K259" s="30"/>
      <c r="L259" s="1"/>
      <c r="M259" s="1"/>
    </row>
    <row r="260" spans="1:13" s="4" customFormat="1" x14ac:dyDescent="0.2">
      <c r="A260" s="1"/>
      <c r="B260" s="2"/>
      <c r="C260" s="3"/>
      <c r="D260" s="3"/>
      <c r="E260" s="3"/>
      <c r="G260" s="83"/>
      <c r="I260" s="6"/>
      <c r="J260" s="1"/>
      <c r="K260" s="30"/>
      <c r="L260" s="1"/>
      <c r="M260" s="1"/>
    </row>
    <row r="261" spans="1:13" s="4" customFormat="1" x14ac:dyDescent="0.2">
      <c r="A261" s="1"/>
      <c r="B261" s="2"/>
      <c r="C261" s="3"/>
      <c r="D261" s="3"/>
      <c r="E261" s="3"/>
      <c r="G261" s="85"/>
      <c r="I261" s="6"/>
      <c r="J261" s="1"/>
      <c r="K261" s="30"/>
      <c r="L261" s="1"/>
      <c r="M261" s="1"/>
    </row>
    <row r="262" spans="1:13" s="4" customFormat="1" x14ac:dyDescent="0.2">
      <c r="A262" s="1"/>
      <c r="B262" s="2"/>
      <c r="C262" s="3"/>
      <c r="D262" s="3"/>
      <c r="E262" s="3"/>
      <c r="G262" s="86"/>
      <c r="I262" s="6"/>
      <c r="J262" s="1"/>
      <c r="K262" s="30"/>
      <c r="L262" s="1"/>
      <c r="M262" s="1"/>
    </row>
  </sheetData>
  <mergeCells count="82">
    <mergeCell ref="G65:H65"/>
    <mergeCell ref="G66:H66"/>
    <mergeCell ref="G67:H67"/>
    <mergeCell ref="E68:F70"/>
    <mergeCell ref="G68:H68"/>
    <mergeCell ref="G69:H69"/>
    <mergeCell ref="G70:H70"/>
    <mergeCell ref="G59:H59"/>
    <mergeCell ref="G60:H60"/>
    <mergeCell ref="G61:H61"/>
    <mergeCell ref="E62:F64"/>
    <mergeCell ref="G62:H62"/>
    <mergeCell ref="G63:H63"/>
    <mergeCell ref="G64:H64"/>
    <mergeCell ref="G53:H53"/>
    <mergeCell ref="G54:H54"/>
    <mergeCell ref="G55:H55"/>
    <mergeCell ref="E56:F58"/>
    <mergeCell ref="G56:H56"/>
    <mergeCell ref="G57:H57"/>
    <mergeCell ref="G58:H58"/>
    <mergeCell ref="B65:B67"/>
    <mergeCell ref="C65:C67"/>
    <mergeCell ref="D65:D67"/>
    <mergeCell ref="E65:F67"/>
    <mergeCell ref="B68:B70"/>
    <mergeCell ref="C68:C70"/>
    <mergeCell ref="D68:D70"/>
    <mergeCell ref="B59:B61"/>
    <mergeCell ref="C59:C61"/>
    <mergeCell ref="D59:D61"/>
    <mergeCell ref="E59:F61"/>
    <mergeCell ref="B62:B64"/>
    <mergeCell ref="C62:C64"/>
    <mergeCell ref="D62:D64"/>
    <mergeCell ref="B53:B55"/>
    <mergeCell ref="C53:C55"/>
    <mergeCell ref="D53:D55"/>
    <mergeCell ref="E53:F55"/>
    <mergeCell ref="B56:B58"/>
    <mergeCell ref="C56:C58"/>
    <mergeCell ref="D56:D58"/>
    <mergeCell ref="E49:F49"/>
    <mergeCell ref="G49:H49"/>
    <mergeCell ref="B50:B52"/>
    <mergeCell ref="C50:C52"/>
    <mergeCell ref="D50:D52"/>
    <mergeCell ref="E50:F52"/>
    <mergeCell ref="G50:H50"/>
    <mergeCell ref="G51:H51"/>
    <mergeCell ref="G52:H52"/>
    <mergeCell ref="B38:B41"/>
    <mergeCell ref="C38:C41"/>
    <mergeCell ref="D38:D41"/>
    <mergeCell ref="E38:E41"/>
    <mergeCell ref="B42:B47"/>
    <mergeCell ref="C42:C47"/>
    <mergeCell ref="D42:D47"/>
    <mergeCell ref="E42:E47"/>
    <mergeCell ref="B26:B32"/>
    <mergeCell ref="C26:C32"/>
    <mergeCell ref="D26:D32"/>
    <mergeCell ref="E26:E32"/>
    <mergeCell ref="B33:B37"/>
    <mergeCell ref="C33:C37"/>
    <mergeCell ref="D33:D37"/>
    <mergeCell ref="E33:E37"/>
    <mergeCell ref="B20:B25"/>
    <mergeCell ref="C20:C25"/>
    <mergeCell ref="D20:D25"/>
    <mergeCell ref="E20:E25"/>
    <mergeCell ref="B2:J2"/>
    <mergeCell ref="B4:J4"/>
    <mergeCell ref="B6:H8"/>
    <mergeCell ref="I6:J6"/>
    <mergeCell ref="I7:J8"/>
    <mergeCell ref="C10:J10"/>
    <mergeCell ref="C11:J11"/>
    <mergeCell ref="B14:B19"/>
    <mergeCell ref="C14:C19"/>
    <mergeCell ref="D14:D19"/>
    <mergeCell ref="E14:E19"/>
  </mergeCells>
  <conditionalFormatting sqref="I1 I71:I1048576">
    <cfRule type="cellIs" dxfId="223" priority="18" operator="equal">
      <formula>1</formula>
    </cfRule>
  </conditionalFormatting>
  <conditionalFormatting sqref="I7">
    <cfRule type="cellIs" dxfId="222" priority="17" operator="equal">
      <formula>1</formula>
    </cfRule>
  </conditionalFormatting>
  <conditionalFormatting sqref="I14:I47">
    <cfRule type="expression" dxfId="47" priority="9" stopIfTrue="1">
      <formula>TRIM(UPPER(I14))="N/A"</formula>
    </cfRule>
    <cfRule type="expression" dxfId="46" priority="10">
      <formula>I14&gt;=0.9</formula>
    </cfRule>
    <cfRule type="expression" dxfId="45" priority="11">
      <formula>AND(I14&gt;=0.8, I14&lt;0.9)</formula>
    </cfRule>
    <cfRule type="expression" dxfId="44" priority="12">
      <formula>I14&lt;0.8</formula>
    </cfRule>
  </conditionalFormatting>
  <conditionalFormatting sqref="I50:I70">
    <cfRule type="expression" dxfId="39" priority="1" stopIfTrue="1">
      <formula>TRIM(UPPER(I50))="N/A"</formula>
    </cfRule>
    <cfRule type="expression" dxfId="38" priority="2">
      <formula>I50&gt;=0.9</formula>
    </cfRule>
    <cfRule type="expression" dxfId="37" priority="3">
      <formula>AND(I50&gt;=0.8, I50&lt;0.9)</formula>
    </cfRule>
    <cfRule type="expression" dxfId="36" priority="4">
      <formula>I50&lt;0.8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77D433D-7FAE-3D49-A82D-F63FCFF53753}">
          <x14:formula1>
            <xm:f>'Listas desplegables'!$C$4:$C$15</xm:f>
          </x14:formula1>
          <xm:sqref>I14:I47 I50:I70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D4A8-891B-C24C-A8F1-6483A666A001}">
  <sheetPr>
    <tabColor rgb="FF0993A5"/>
  </sheetPr>
  <dimension ref="A1:M261"/>
  <sheetViews>
    <sheetView zoomScale="78" zoomScaleNormal="78" workbookViewId="0">
      <selection activeCell="M18" sqref="M18"/>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94" t="s">
        <v>1900</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1901</v>
      </c>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AVERAGEIF(I14:I52,"&lt;&gt;N/A")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103" customHeight="1" x14ac:dyDescent="0.2">
      <c r="B10" s="40" t="s">
        <v>13</v>
      </c>
      <c r="C10" s="147" t="s">
        <v>2384</v>
      </c>
      <c r="D10" s="148"/>
      <c r="E10" s="148"/>
      <c r="F10" s="148"/>
      <c r="G10" s="148"/>
      <c r="H10" s="148"/>
      <c r="I10" s="148"/>
      <c r="J10" s="149"/>
    </row>
    <row r="11" spans="2:12" ht="94" customHeight="1" x14ac:dyDescent="0.2">
      <c r="B11" s="39" t="s">
        <v>14</v>
      </c>
      <c r="C11" s="150" t="s">
        <v>1902</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54" customHeight="1" x14ac:dyDescent="0.2">
      <c r="B14" s="151" t="s">
        <v>102</v>
      </c>
      <c r="C14" s="151" t="s">
        <v>19</v>
      </c>
      <c r="D14" s="153" t="s">
        <v>1903</v>
      </c>
      <c r="E14" s="177" t="s">
        <v>1904</v>
      </c>
      <c r="F14" s="78" t="s">
        <v>1905</v>
      </c>
      <c r="G14" s="12" t="s">
        <v>36</v>
      </c>
      <c r="H14" s="34" t="s">
        <v>1906</v>
      </c>
      <c r="I14" s="28" t="s">
        <v>10</v>
      </c>
      <c r="J14" s="11"/>
      <c r="K14" s="33"/>
      <c r="L14" s="29"/>
    </row>
    <row r="15" spans="2:12" ht="54" customHeight="1" x14ac:dyDescent="0.2">
      <c r="B15" s="152"/>
      <c r="C15" s="152"/>
      <c r="D15" s="154"/>
      <c r="E15" s="178"/>
      <c r="F15" s="78" t="s">
        <v>1907</v>
      </c>
      <c r="G15" s="12" t="s">
        <v>36</v>
      </c>
      <c r="H15" s="34" t="s">
        <v>1908</v>
      </c>
      <c r="I15" s="28" t="s">
        <v>10</v>
      </c>
      <c r="J15" s="11"/>
      <c r="K15" s="33"/>
      <c r="L15" s="29"/>
    </row>
    <row r="16" spans="2:12" ht="54" customHeight="1" x14ac:dyDescent="0.2">
      <c r="B16" s="152"/>
      <c r="C16" s="152"/>
      <c r="D16" s="154"/>
      <c r="E16" s="178"/>
      <c r="F16" s="78" t="s">
        <v>1909</v>
      </c>
      <c r="G16" s="12" t="s">
        <v>36</v>
      </c>
      <c r="H16" s="34" t="s">
        <v>1910</v>
      </c>
      <c r="I16" s="28" t="s">
        <v>10</v>
      </c>
      <c r="J16" s="11"/>
      <c r="K16" s="33"/>
      <c r="L16" s="29"/>
    </row>
    <row r="17" spans="2:12" ht="54" customHeight="1" x14ac:dyDescent="0.2">
      <c r="B17" s="152"/>
      <c r="C17" s="152"/>
      <c r="D17" s="154"/>
      <c r="E17" s="178"/>
      <c r="F17" s="78" t="s">
        <v>1911</v>
      </c>
      <c r="G17" s="12" t="s">
        <v>631</v>
      </c>
      <c r="H17" s="34" t="s">
        <v>1912</v>
      </c>
      <c r="I17" s="28" t="s">
        <v>10</v>
      </c>
      <c r="J17" s="11"/>
      <c r="K17" s="33"/>
      <c r="L17" s="29"/>
    </row>
    <row r="18" spans="2:12" ht="54" customHeight="1" x14ac:dyDescent="0.2">
      <c r="B18" s="152"/>
      <c r="C18" s="152"/>
      <c r="D18" s="154"/>
      <c r="E18" s="178"/>
      <c r="F18" s="78" t="s">
        <v>1913</v>
      </c>
      <c r="G18" s="12" t="s">
        <v>631</v>
      </c>
      <c r="H18" s="34" t="s">
        <v>1914</v>
      </c>
      <c r="I18" s="28" t="s">
        <v>10</v>
      </c>
      <c r="J18" s="11"/>
      <c r="K18" s="33"/>
      <c r="L18" s="29"/>
    </row>
    <row r="19" spans="2:12" ht="54" customHeight="1" x14ac:dyDescent="0.2">
      <c r="B19" s="152"/>
      <c r="C19" s="152"/>
      <c r="D19" s="154"/>
      <c r="E19" s="178"/>
      <c r="F19" s="78" t="s">
        <v>1915</v>
      </c>
      <c r="G19" s="12" t="s">
        <v>39</v>
      </c>
      <c r="H19" s="34" t="s">
        <v>1916</v>
      </c>
      <c r="I19" s="28" t="s">
        <v>10</v>
      </c>
      <c r="J19" s="11"/>
      <c r="K19" s="33"/>
      <c r="L19" s="29"/>
    </row>
    <row r="20" spans="2:12" ht="54" customHeight="1" x14ac:dyDescent="0.2">
      <c r="B20" s="152"/>
      <c r="C20" s="152"/>
      <c r="D20" s="154"/>
      <c r="E20" s="178"/>
      <c r="F20" s="78" t="s">
        <v>1917</v>
      </c>
      <c r="G20" s="12" t="s">
        <v>1918</v>
      </c>
      <c r="H20" s="34" t="s">
        <v>1919</v>
      </c>
      <c r="I20" s="28" t="s">
        <v>10</v>
      </c>
      <c r="J20" s="11"/>
      <c r="K20" s="33"/>
      <c r="L20" s="29"/>
    </row>
    <row r="21" spans="2:12" ht="54" customHeight="1" x14ac:dyDescent="0.2">
      <c r="B21" s="152"/>
      <c r="C21" s="152"/>
      <c r="D21" s="154"/>
      <c r="E21" s="178"/>
      <c r="F21" s="78" t="s">
        <v>1920</v>
      </c>
      <c r="G21" s="12" t="s">
        <v>36</v>
      </c>
      <c r="H21" s="34" t="s">
        <v>1921</v>
      </c>
      <c r="I21" s="28" t="s">
        <v>10</v>
      </c>
      <c r="J21" s="11"/>
      <c r="K21" s="33"/>
      <c r="L21" s="29"/>
    </row>
    <row r="22" spans="2:12" ht="54" customHeight="1" x14ac:dyDescent="0.2">
      <c r="B22" s="152"/>
      <c r="C22" s="152"/>
      <c r="D22" s="154"/>
      <c r="E22" s="178"/>
      <c r="F22" s="78" t="s">
        <v>1922</v>
      </c>
      <c r="G22" s="12" t="s">
        <v>39</v>
      </c>
      <c r="H22" s="34" t="s">
        <v>1923</v>
      </c>
      <c r="I22" s="28" t="s">
        <v>10</v>
      </c>
      <c r="J22" s="11"/>
      <c r="K22" s="33"/>
      <c r="L22" s="29"/>
    </row>
    <row r="23" spans="2:12" ht="54" customHeight="1" x14ac:dyDescent="0.2">
      <c r="B23" s="143" t="s">
        <v>102</v>
      </c>
      <c r="C23" s="143" t="s">
        <v>20</v>
      </c>
      <c r="D23" s="145" t="s">
        <v>1924</v>
      </c>
      <c r="E23" s="181" t="s">
        <v>1925</v>
      </c>
      <c r="F23" s="23" t="s">
        <v>1926</v>
      </c>
      <c r="G23" s="41" t="s">
        <v>39</v>
      </c>
      <c r="H23" s="35" t="s">
        <v>1927</v>
      </c>
      <c r="I23" s="28" t="s">
        <v>10</v>
      </c>
      <c r="J23" s="36"/>
      <c r="K23" s="37"/>
      <c r="L23" s="38"/>
    </row>
    <row r="24" spans="2:12" ht="54" customHeight="1" x14ac:dyDescent="0.2">
      <c r="B24" s="144"/>
      <c r="C24" s="144"/>
      <c r="D24" s="146"/>
      <c r="E24" s="182"/>
      <c r="F24" s="35" t="s">
        <v>1928</v>
      </c>
      <c r="G24" s="41" t="s">
        <v>36</v>
      </c>
      <c r="H24" s="35" t="s">
        <v>1929</v>
      </c>
      <c r="I24" s="28" t="s">
        <v>10</v>
      </c>
      <c r="J24" s="36"/>
      <c r="K24" s="37"/>
      <c r="L24" s="38"/>
    </row>
    <row r="25" spans="2:12" ht="54" customHeight="1" x14ac:dyDescent="0.2">
      <c r="B25" s="144"/>
      <c r="C25" s="144"/>
      <c r="D25" s="146"/>
      <c r="E25" s="182"/>
      <c r="F25" s="23" t="s">
        <v>1930</v>
      </c>
      <c r="G25" s="41" t="s">
        <v>35</v>
      </c>
      <c r="H25" s="35" t="s">
        <v>1931</v>
      </c>
      <c r="I25" s="28" t="s">
        <v>10</v>
      </c>
      <c r="J25" s="36"/>
      <c r="K25" s="37"/>
      <c r="L25" s="38"/>
    </row>
    <row r="26" spans="2:12" ht="54" customHeight="1" x14ac:dyDescent="0.2">
      <c r="B26" s="144"/>
      <c r="C26" s="144"/>
      <c r="D26" s="146"/>
      <c r="E26" s="182"/>
      <c r="F26" s="23" t="s">
        <v>1932</v>
      </c>
      <c r="G26" s="41" t="s">
        <v>39</v>
      </c>
      <c r="H26" s="35" t="s">
        <v>1933</v>
      </c>
      <c r="I26" s="28" t="s">
        <v>10</v>
      </c>
      <c r="J26" s="36"/>
      <c r="K26" s="37"/>
      <c r="L26" s="38"/>
    </row>
    <row r="27" spans="2:12" ht="54" customHeight="1" x14ac:dyDescent="0.2">
      <c r="B27" s="144"/>
      <c r="C27" s="144"/>
      <c r="D27" s="146"/>
      <c r="E27" s="182"/>
      <c r="F27" s="23" t="s">
        <v>1934</v>
      </c>
      <c r="G27" s="41" t="s">
        <v>631</v>
      </c>
      <c r="H27" s="35" t="s">
        <v>1935</v>
      </c>
      <c r="I27" s="28" t="s">
        <v>10</v>
      </c>
      <c r="J27" s="36"/>
      <c r="K27" s="37"/>
      <c r="L27" s="38"/>
    </row>
    <row r="28" spans="2:12" ht="54" customHeight="1" x14ac:dyDescent="0.2">
      <c r="B28" s="144"/>
      <c r="C28" s="144"/>
      <c r="D28" s="146"/>
      <c r="E28" s="182"/>
      <c r="F28" s="23" t="s">
        <v>1936</v>
      </c>
      <c r="G28" s="41" t="s">
        <v>36</v>
      </c>
      <c r="H28" s="35" t="s">
        <v>1937</v>
      </c>
      <c r="I28" s="28" t="s">
        <v>10</v>
      </c>
      <c r="J28" s="36"/>
      <c r="K28" s="37"/>
      <c r="L28" s="38"/>
    </row>
    <row r="29" spans="2:12" ht="54" customHeight="1" x14ac:dyDescent="0.2">
      <c r="B29" s="144"/>
      <c r="C29" s="144"/>
      <c r="D29" s="146"/>
      <c r="E29" s="182"/>
      <c r="F29" s="23" t="s">
        <v>1938</v>
      </c>
      <c r="G29" s="41" t="s">
        <v>35</v>
      </c>
      <c r="H29" s="35" t="s">
        <v>1939</v>
      </c>
      <c r="I29" s="28" t="s">
        <v>10</v>
      </c>
      <c r="J29" s="36"/>
      <c r="K29" s="37"/>
      <c r="L29" s="38"/>
    </row>
    <row r="30" spans="2:12" ht="54" customHeight="1" x14ac:dyDescent="0.2">
      <c r="B30" s="144"/>
      <c r="C30" s="144"/>
      <c r="D30" s="146"/>
      <c r="E30" s="182"/>
      <c r="F30" s="23" t="s">
        <v>1940</v>
      </c>
      <c r="G30" s="41" t="s">
        <v>39</v>
      </c>
      <c r="H30" s="35" t="s">
        <v>1941</v>
      </c>
      <c r="I30" s="28" t="s">
        <v>10</v>
      </c>
      <c r="J30" s="36"/>
      <c r="K30" s="37"/>
      <c r="L30" s="38"/>
    </row>
    <row r="31" spans="2:12" ht="54" customHeight="1" x14ac:dyDescent="0.2">
      <c r="B31" s="151" t="s">
        <v>102</v>
      </c>
      <c r="C31" s="151" t="s">
        <v>21</v>
      </c>
      <c r="D31" s="177" t="s">
        <v>1942</v>
      </c>
      <c r="E31" s="177" t="s">
        <v>1943</v>
      </c>
      <c r="F31" s="22" t="s">
        <v>1944</v>
      </c>
      <c r="G31" s="12" t="s">
        <v>36</v>
      </c>
      <c r="H31" s="34" t="s">
        <v>1945</v>
      </c>
      <c r="I31" s="28" t="s">
        <v>10</v>
      </c>
      <c r="J31" s="11"/>
      <c r="K31" s="33"/>
      <c r="L31" s="29"/>
    </row>
    <row r="32" spans="2:12" ht="54" customHeight="1" x14ac:dyDescent="0.2">
      <c r="B32" s="152"/>
      <c r="C32" s="152"/>
      <c r="D32" s="178"/>
      <c r="E32" s="178"/>
      <c r="F32" s="22" t="s">
        <v>1946</v>
      </c>
      <c r="G32" s="12" t="s">
        <v>35</v>
      </c>
      <c r="H32" s="34" t="s">
        <v>1947</v>
      </c>
      <c r="I32" s="28" t="s">
        <v>10</v>
      </c>
      <c r="J32" s="11"/>
      <c r="K32" s="33"/>
      <c r="L32" s="29"/>
    </row>
    <row r="33" spans="2:12" ht="54" customHeight="1" x14ac:dyDescent="0.2">
      <c r="B33" s="152"/>
      <c r="C33" s="152"/>
      <c r="D33" s="178"/>
      <c r="E33" s="178"/>
      <c r="F33" s="22" t="s">
        <v>1948</v>
      </c>
      <c r="G33" s="12" t="s">
        <v>35</v>
      </c>
      <c r="H33" s="34" t="s">
        <v>1949</v>
      </c>
      <c r="I33" s="28" t="s">
        <v>10</v>
      </c>
      <c r="J33" s="11"/>
      <c r="K33" s="33"/>
      <c r="L33" s="29"/>
    </row>
    <row r="34" spans="2:12" ht="54" customHeight="1" x14ac:dyDescent="0.2">
      <c r="B34" s="152"/>
      <c r="C34" s="152"/>
      <c r="D34" s="178"/>
      <c r="E34" s="178"/>
      <c r="F34" s="22" t="s">
        <v>1950</v>
      </c>
      <c r="G34" s="12" t="s">
        <v>35</v>
      </c>
      <c r="H34" s="34" t="s">
        <v>1951</v>
      </c>
      <c r="I34" s="28" t="s">
        <v>10</v>
      </c>
      <c r="J34" s="11"/>
      <c r="K34" s="33"/>
      <c r="L34" s="29"/>
    </row>
    <row r="35" spans="2:12" ht="54" customHeight="1" x14ac:dyDescent="0.2">
      <c r="B35" s="152"/>
      <c r="C35" s="152"/>
      <c r="D35" s="178"/>
      <c r="E35" s="178"/>
      <c r="F35" s="22" t="s">
        <v>1952</v>
      </c>
      <c r="G35" s="12" t="s">
        <v>35</v>
      </c>
      <c r="H35" s="34" t="s">
        <v>1953</v>
      </c>
      <c r="I35" s="28" t="s">
        <v>10</v>
      </c>
      <c r="J35" s="11"/>
      <c r="K35" s="33"/>
      <c r="L35" s="29"/>
    </row>
    <row r="36" spans="2:12" ht="54" customHeight="1" x14ac:dyDescent="0.2">
      <c r="B36" s="152"/>
      <c r="C36" s="152"/>
      <c r="D36" s="178"/>
      <c r="E36" s="178"/>
      <c r="F36" s="22" t="s">
        <v>1954</v>
      </c>
      <c r="G36" s="12" t="s">
        <v>39</v>
      </c>
      <c r="H36" s="34" t="s">
        <v>1955</v>
      </c>
      <c r="I36" s="28" t="s">
        <v>10</v>
      </c>
      <c r="J36" s="11"/>
      <c r="K36" s="33"/>
      <c r="L36" s="29"/>
    </row>
    <row r="37" spans="2:12" ht="54" customHeight="1" x14ac:dyDescent="0.2">
      <c r="B37" s="152"/>
      <c r="C37" s="152"/>
      <c r="D37" s="178"/>
      <c r="E37" s="178"/>
      <c r="F37" s="22" t="s">
        <v>1956</v>
      </c>
      <c r="G37" s="12" t="s">
        <v>631</v>
      </c>
      <c r="H37" s="34" t="s">
        <v>1957</v>
      </c>
      <c r="I37" s="28" t="s">
        <v>10</v>
      </c>
      <c r="J37" s="11"/>
      <c r="K37" s="33"/>
      <c r="L37" s="29"/>
    </row>
    <row r="38" spans="2:12" ht="54" customHeight="1" x14ac:dyDescent="0.2">
      <c r="B38" s="152"/>
      <c r="C38" s="152"/>
      <c r="D38" s="178"/>
      <c r="E38" s="178"/>
      <c r="F38" s="22" t="s">
        <v>1958</v>
      </c>
      <c r="G38" s="12" t="s">
        <v>631</v>
      </c>
      <c r="H38" s="34" t="s">
        <v>1959</v>
      </c>
      <c r="I38" s="28" t="s">
        <v>10</v>
      </c>
      <c r="J38" s="11"/>
      <c r="K38" s="33"/>
      <c r="L38" s="29"/>
    </row>
    <row r="39" spans="2:12" ht="54" customHeight="1" x14ac:dyDescent="0.2">
      <c r="B39" s="143" t="s">
        <v>102</v>
      </c>
      <c r="C39" s="143" t="s">
        <v>22</v>
      </c>
      <c r="D39" s="181" t="s">
        <v>1960</v>
      </c>
      <c r="E39" s="181" t="s">
        <v>1961</v>
      </c>
      <c r="F39" s="23" t="s">
        <v>1962</v>
      </c>
      <c r="G39" s="41" t="s">
        <v>36</v>
      </c>
      <c r="H39" s="35" t="s">
        <v>1963</v>
      </c>
      <c r="I39" s="28" t="s">
        <v>10</v>
      </c>
      <c r="J39" s="36"/>
      <c r="K39" s="37"/>
      <c r="L39" s="38"/>
    </row>
    <row r="40" spans="2:12" ht="54" customHeight="1" x14ac:dyDescent="0.2">
      <c r="B40" s="144"/>
      <c r="C40" s="144"/>
      <c r="D40" s="182"/>
      <c r="E40" s="182"/>
      <c r="F40" s="23" t="s">
        <v>1964</v>
      </c>
      <c r="G40" s="41" t="s">
        <v>39</v>
      </c>
      <c r="H40" s="35" t="s">
        <v>1965</v>
      </c>
      <c r="I40" s="28" t="s">
        <v>10</v>
      </c>
      <c r="J40" s="36"/>
      <c r="K40" s="37"/>
      <c r="L40" s="38"/>
    </row>
    <row r="41" spans="2:12" ht="54" customHeight="1" x14ac:dyDescent="0.2">
      <c r="B41" s="144"/>
      <c r="C41" s="144"/>
      <c r="D41" s="182"/>
      <c r="E41" s="182"/>
      <c r="F41" s="23" t="s">
        <v>1966</v>
      </c>
      <c r="G41" s="41" t="s">
        <v>39</v>
      </c>
      <c r="H41" s="35" t="s">
        <v>1967</v>
      </c>
      <c r="I41" s="28" t="s">
        <v>10</v>
      </c>
      <c r="J41" s="36"/>
      <c r="K41" s="37"/>
      <c r="L41" s="38"/>
    </row>
    <row r="42" spans="2:12" ht="54" customHeight="1" x14ac:dyDescent="0.2">
      <c r="B42" s="144"/>
      <c r="C42" s="144"/>
      <c r="D42" s="182"/>
      <c r="E42" s="182"/>
      <c r="F42" s="23" t="s">
        <v>1968</v>
      </c>
      <c r="G42" s="41" t="s">
        <v>39</v>
      </c>
      <c r="H42" s="35" t="s">
        <v>1969</v>
      </c>
      <c r="I42" s="28" t="s">
        <v>10</v>
      </c>
      <c r="J42" s="36"/>
      <c r="K42" s="37"/>
      <c r="L42" s="38"/>
    </row>
    <row r="43" spans="2:12" ht="54" customHeight="1" x14ac:dyDescent="0.2">
      <c r="B43" s="144"/>
      <c r="C43" s="144"/>
      <c r="D43" s="182"/>
      <c r="E43" s="182"/>
      <c r="F43" s="23" t="s">
        <v>1970</v>
      </c>
      <c r="G43" s="41" t="s">
        <v>844</v>
      </c>
      <c r="H43" s="35" t="s">
        <v>1971</v>
      </c>
      <c r="I43" s="28" t="s">
        <v>10</v>
      </c>
      <c r="J43" s="36"/>
      <c r="K43" s="37"/>
      <c r="L43" s="38"/>
    </row>
    <row r="44" spans="2:12" ht="54" customHeight="1" x14ac:dyDescent="0.2">
      <c r="B44" s="144"/>
      <c r="C44" s="144"/>
      <c r="D44" s="182"/>
      <c r="E44" s="182"/>
      <c r="F44" s="23" t="s">
        <v>1972</v>
      </c>
      <c r="G44" s="41" t="s">
        <v>39</v>
      </c>
      <c r="H44" s="35" t="s">
        <v>1973</v>
      </c>
      <c r="I44" s="28" t="s">
        <v>10</v>
      </c>
      <c r="J44" s="36"/>
      <c r="K44" s="37"/>
      <c r="L44" s="38"/>
    </row>
    <row r="45" spans="2:12" ht="54" customHeight="1" x14ac:dyDescent="0.2">
      <c r="B45" s="144"/>
      <c r="C45" s="144"/>
      <c r="D45" s="182"/>
      <c r="E45" s="182"/>
      <c r="F45" s="23" t="s">
        <v>1974</v>
      </c>
      <c r="G45" s="41" t="s">
        <v>39</v>
      </c>
      <c r="H45" s="35" t="s">
        <v>1975</v>
      </c>
      <c r="I45" s="28" t="s">
        <v>10</v>
      </c>
      <c r="J45" s="36"/>
      <c r="K45" s="37"/>
      <c r="L45" s="38"/>
    </row>
    <row r="46" spans="2:12" ht="54" customHeight="1" x14ac:dyDescent="0.2">
      <c r="B46" s="151" t="s">
        <v>102</v>
      </c>
      <c r="C46" s="151" t="s">
        <v>23</v>
      </c>
      <c r="D46" s="185" t="s">
        <v>1852</v>
      </c>
      <c r="E46" s="185" t="s">
        <v>1976</v>
      </c>
      <c r="F46" s="34" t="s">
        <v>1056</v>
      </c>
      <c r="G46" s="12" t="s">
        <v>36</v>
      </c>
      <c r="H46" s="34" t="s">
        <v>1977</v>
      </c>
      <c r="I46" s="28" t="s">
        <v>10</v>
      </c>
      <c r="J46" s="11"/>
      <c r="K46" s="33"/>
      <c r="L46" s="29"/>
    </row>
    <row r="47" spans="2:12" ht="54" customHeight="1" x14ac:dyDescent="0.2">
      <c r="B47" s="152"/>
      <c r="C47" s="152"/>
      <c r="D47" s="186"/>
      <c r="E47" s="186"/>
      <c r="F47" s="34" t="s">
        <v>1978</v>
      </c>
      <c r="G47" s="12" t="s">
        <v>36</v>
      </c>
      <c r="H47" s="34" t="s">
        <v>1979</v>
      </c>
      <c r="I47" s="28" t="s">
        <v>10</v>
      </c>
      <c r="J47" s="11"/>
      <c r="K47" s="33"/>
      <c r="L47" s="29"/>
    </row>
    <row r="48" spans="2:12" ht="54" customHeight="1" x14ac:dyDescent="0.2">
      <c r="B48" s="152"/>
      <c r="C48" s="152"/>
      <c r="D48" s="186"/>
      <c r="E48" s="186"/>
      <c r="F48" s="34" t="s">
        <v>1980</v>
      </c>
      <c r="G48" s="12" t="s">
        <v>844</v>
      </c>
      <c r="H48" s="34" t="s">
        <v>1981</v>
      </c>
      <c r="I48" s="28" t="s">
        <v>10</v>
      </c>
      <c r="J48" s="11"/>
      <c r="K48" s="33"/>
      <c r="L48" s="29"/>
    </row>
    <row r="49" spans="2:12" ht="54" customHeight="1" x14ac:dyDescent="0.2">
      <c r="B49" s="152"/>
      <c r="C49" s="152"/>
      <c r="D49" s="186"/>
      <c r="E49" s="186"/>
      <c r="F49" s="34" t="s">
        <v>1982</v>
      </c>
      <c r="G49" s="12" t="s">
        <v>39</v>
      </c>
      <c r="H49" s="34" t="s">
        <v>1983</v>
      </c>
      <c r="I49" s="28" t="s">
        <v>10</v>
      </c>
      <c r="J49" s="11"/>
      <c r="K49" s="33"/>
      <c r="L49" s="29"/>
    </row>
    <row r="50" spans="2:12" ht="54" customHeight="1" x14ac:dyDescent="0.2">
      <c r="B50" s="152"/>
      <c r="C50" s="152"/>
      <c r="D50" s="186"/>
      <c r="E50" s="186"/>
      <c r="F50" s="34" t="s">
        <v>1984</v>
      </c>
      <c r="G50" s="12" t="s">
        <v>631</v>
      </c>
      <c r="H50" s="34" t="s">
        <v>1985</v>
      </c>
      <c r="I50" s="28" t="s">
        <v>10</v>
      </c>
      <c r="J50" s="11"/>
      <c r="K50" s="33"/>
      <c r="L50" s="29"/>
    </row>
    <row r="51" spans="2:12" ht="54" customHeight="1" x14ac:dyDescent="0.2">
      <c r="B51" s="152"/>
      <c r="C51" s="152"/>
      <c r="D51" s="186"/>
      <c r="E51" s="186"/>
      <c r="F51" s="34" t="s">
        <v>1986</v>
      </c>
      <c r="G51" s="12" t="s">
        <v>844</v>
      </c>
      <c r="H51" s="34" t="s">
        <v>1987</v>
      </c>
      <c r="I51" s="28" t="s">
        <v>10</v>
      </c>
      <c r="J51" s="11"/>
      <c r="K51" s="33"/>
      <c r="L51" s="29"/>
    </row>
    <row r="52" spans="2:12" ht="54" customHeight="1" x14ac:dyDescent="0.2">
      <c r="B52" s="152"/>
      <c r="C52" s="152"/>
      <c r="D52" s="186"/>
      <c r="E52" s="186"/>
      <c r="F52" s="34" t="s">
        <v>1988</v>
      </c>
      <c r="G52" s="12" t="s">
        <v>36</v>
      </c>
      <c r="H52" s="34" t="s">
        <v>1989</v>
      </c>
      <c r="I52" s="28" t="s">
        <v>10</v>
      </c>
      <c r="J52" s="11"/>
      <c r="K52" s="33"/>
      <c r="L52" s="29"/>
    </row>
    <row r="53" spans="2:12" ht="5.25" customHeight="1" x14ac:dyDescent="0.2"/>
    <row r="54" spans="2:12" ht="31" customHeight="1" x14ac:dyDescent="0.2">
      <c r="B54" s="69" t="s">
        <v>34</v>
      </c>
      <c r="C54" s="69" t="s">
        <v>258</v>
      </c>
      <c r="D54" s="69" t="s">
        <v>259</v>
      </c>
      <c r="E54" s="169" t="s">
        <v>32</v>
      </c>
      <c r="F54" s="170"/>
      <c r="G54" s="169" t="s">
        <v>16</v>
      </c>
      <c r="H54" s="170"/>
      <c r="I54" s="71" t="s">
        <v>8</v>
      </c>
      <c r="J54" s="69" t="s">
        <v>17</v>
      </c>
      <c r="K54" s="72" t="s">
        <v>44</v>
      </c>
      <c r="L54" s="69" t="s">
        <v>45</v>
      </c>
    </row>
    <row r="55" spans="2:12" ht="79.75" customHeight="1" x14ac:dyDescent="0.2">
      <c r="B55" s="151" t="s">
        <v>102</v>
      </c>
      <c r="C55" s="151" t="s">
        <v>260</v>
      </c>
      <c r="D55" s="177" t="s">
        <v>1990</v>
      </c>
      <c r="E55" s="129" t="s">
        <v>1991</v>
      </c>
      <c r="F55" s="130"/>
      <c r="G55" s="127" t="s">
        <v>1992</v>
      </c>
      <c r="H55" s="128"/>
      <c r="I55" s="28" t="s">
        <v>10</v>
      </c>
      <c r="J55" s="11"/>
      <c r="K55" s="33"/>
      <c r="L55" s="29"/>
    </row>
    <row r="56" spans="2:12" ht="79.75" customHeight="1" x14ac:dyDescent="0.2">
      <c r="B56" s="152"/>
      <c r="C56" s="152"/>
      <c r="D56" s="178"/>
      <c r="E56" s="131"/>
      <c r="F56" s="132"/>
      <c r="G56" s="127" t="s">
        <v>1993</v>
      </c>
      <c r="H56" s="128"/>
      <c r="I56" s="28" t="s">
        <v>10</v>
      </c>
      <c r="J56" s="11"/>
      <c r="K56" s="33"/>
      <c r="L56" s="29"/>
    </row>
    <row r="57" spans="2:12" ht="79.75" customHeight="1" x14ac:dyDescent="0.2">
      <c r="B57" s="173"/>
      <c r="C57" s="173"/>
      <c r="D57" s="179"/>
      <c r="E57" s="133"/>
      <c r="F57" s="134"/>
      <c r="G57" s="127" t="s">
        <v>1994</v>
      </c>
      <c r="H57" s="128"/>
      <c r="I57" s="28" t="s">
        <v>10</v>
      </c>
      <c r="J57" s="11"/>
      <c r="K57" s="33"/>
      <c r="L57" s="29"/>
    </row>
    <row r="58" spans="2:12" ht="83.5" customHeight="1" x14ac:dyDescent="0.2">
      <c r="B58" s="143" t="s">
        <v>102</v>
      </c>
      <c r="C58" s="143" t="s">
        <v>261</v>
      </c>
      <c r="D58" s="181" t="s">
        <v>1995</v>
      </c>
      <c r="E58" s="135" t="s">
        <v>1996</v>
      </c>
      <c r="F58" s="136"/>
      <c r="G58" s="141" t="s">
        <v>2383</v>
      </c>
      <c r="H58" s="142"/>
      <c r="I58" s="28" t="s">
        <v>10</v>
      </c>
      <c r="J58" s="36"/>
      <c r="K58" s="37"/>
      <c r="L58" s="38"/>
    </row>
    <row r="59" spans="2:12" ht="83.5" customHeight="1" x14ac:dyDescent="0.2">
      <c r="B59" s="144"/>
      <c r="C59" s="144"/>
      <c r="D59" s="182"/>
      <c r="E59" s="137"/>
      <c r="F59" s="138"/>
      <c r="G59" s="141" t="s">
        <v>1997</v>
      </c>
      <c r="H59" s="142"/>
      <c r="I59" s="28" t="s">
        <v>10</v>
      </c>
      <c r="J59" s="36"/>
      <c r="K59" s="37"/>
      <c r="L59" s="38"/>
    </row>
    <row r="60" spans="2:12" ht="83.5" customHeight="1" x14ac:dyDescent="0.2">
      <c r="B60" s="144"/>
      <c r="C60" s="144"/>
      <c r="D60" s="182"/>
      <c r="E60" s="139"/>
      <c r="F60" s="140"/>
      <c r="G60" s="141" t="s">
        <v>1998</v>
      </c>
      <c r="H60" s="142"/>
      <c r="I60" s="28" t="s">
        <v>10</v>
      </c>
      <c r="J60" s="36"/>
      <c r="K60" s="37"/>
      <c r="L60" s="38"/>
    </row>
    <row r="61" spans="2:12" ht="79.75" customHeight="1" x14ac:dyDescent="0.2">
      <c r="B61" s="151" t="s">
        <v>102</v>
      </c>
      <c r="C61" s="151" t="s">
        <v>262</v>
      </c>
      <c r="D61" s="177" t="s">
        <v>1999</v>
      </c>
      <c r="E61" s="129" t="s">
        <v>2000</v>
      </c>
      <c r="F61" s="130"/>
      <c r="G61" s="127" t="s">
        <v>2001</v>
      </c>
      <c r="H61" s="128"/>
      <c r="I61" s="28" t="s">
        <v>10</v>
      </c>
      <c r="J61" s="11"/>
      <c r="K61" s="33"/>
      <c r="L61" s="29"/>
    </row>
    <row r="62" spans="2:12" ht="79.75" customHeight="1" x14ac:dyDescent="0.2">
      <c r="B62" s="152"/>
      <c r="C62" s="152"/>
      <c r="D62" s="178"/>
      <c r="E62" s="131"/>
      <c r="F62" s="132"/>
      <c r="G62" s="127" t="s">
        <v>2002</v>
      </c>
      <c r="H62" s="128"/>
      <c r="I62" s="28" t="s">
        <v>10</v>
      </c>
      <c r="J62" s="11"/>
      <c r="K62" s="33"/>
      <c r="L62" s="29"/>
    </row>
    <row r="63" spans="2:12" ht="79.75" customHeight="1" x14ac:dyDescent="0.2">
      <c r="B63" s="173"/>
      <c r="C63" s="173"/>
      <c r="D63" s="179"/>
      <c r="E63" s="133"/>
      <c r="F63" s="134"/>
      <c r="G63" s="127" t="s">
        <v>2003</v>
      </c>
      <c r="H63" s="128"/>
      <c r="I63" s="28" t="s">
        <v>10</v>
      </c>
      <c r="J63" s="11"/>
      <c r="K63" s="33"/>
      <c r="L63" s="29"/>
    </row>
    <row r="64" spans="2:12" ht="83.5" customHeight="1" x14ac:dyDescent="0.2">
      <c r="B64" s="143" t="s">
        <v>102</v>
      </c>
      <c r="C64" s="143" t="s">
        <v>263</v>
      </c>
      <c r="D64" s="181" t="s">
        <v>2004</v>
      </c>
      <c r="E64" s="135" t="s">
        <v>2005</v>
      </c>
      <c r="F64" s="136"/>
      <c r="G64" s="141" t="s">
        <v>2006</v>
      </c>
      <c r="H64" s="142"/>
      <c r="I64" s="28" t="s">
        <v>10</v>
      </c>
      <c r="J64" s="36"/>
      <c r="K64" s="37"/>
      <c r="L64" s="38"/>
    </row>
    <row r="65" spans="2:12" ht="83.5" customHeight="1" x14ac:dyDescent="0.2">
      <c r="B65" s="144"/>
      <c r="C65" s="144"/>
      <c r="D65" s="182"/>
      <c r="E65" s="137"/>
      <c r="F65" s="138"/>
      <c r="G65" s="141" t="s">
        <v>2007</v>
      </c>
      <c r="H65" s="142"/>
      <c r="I65" s="28" t="s">
        <v>10</v>
      </c>
      <c r="J65" s="36"/>
      <c r="K65" s="37"/>
      <c r="L65" s="38"/>
    </row>
    <row r="66" spans="2:12" ht="83.5" customHeight="1" x14ac:dyDescent="0.2">
      <c r="B66" s="144"/>
      <c r="C66" s="144"/>
      <c r="D66" s="182"/>
      <c r="E66" s="139"/>
      <c r="F66" s="140"/>
      <c r="G66" s="141" t="s">
        <v>2008</v>
      </c>
      <c r="H66" s="142"/>
      <c r="I66" s="28" t="s">
        <v>10</v>
      </c>
      <c r="J66" s="36"/>
      <c r="K66" s="37"/>
      <c r="L66" s="38"/>
    </row>
    <row r="67" spans="2:12" ht="79.75" customHeight="1" x14ac:dyDescent="0.2">
      <c r="B67" s="151" t="s">
        <v>102</v>
      </c>
      <c r="C67" s="151" t="s">
        <v>264</v>
      </c>
      <c r="D67" s="177" t="s">
        <v>2009</v>
      </c>
      <c r="E67" s="129" t="s">
        <v>2010</v>
      </c>
      <c r="F67" s="130"/>
      <c r="G67" s="127" t="s">
        <v>2011</v>
      </c>
      <c r="H67" s="128"/>
      <c r="I67" s="28" t="s">
        <v>10</v>
      </c>
      <c r="J67" s="11"/>
      <c r="K67" s="33"/>
      <c r="L67" s="29"/>
    </row>
    <row r="68" spans="2:12" ht="79.75" customHeight="1" x14ac:dyDescent="0.2">
      <c r="B68" s="152"/>
      <c r="C68" s="152"/>
      <c r="D68" s="178"/>
      <c r="E68" s="131"/>
      <c r="F68" s="132"/>
      <c r="G68" s="127" t="s">
        <v>2012</v>
      </c>
      <c r="H68" s="128"/>
      <c r="I68" s="28" t="s">
        <v>10</v>
      </c>
      <c r="J68" s="11"/>
      <c r="K68" s="33"/>
      <c r="L68" s="29"/>
    </row>
    <row r="69" spans="2:12" ht="79.75" customHeight="1" x14ac:dyDescent="0.2">
      <c r="B69" s="173"/>
      <c r="C69" s="173"/>
      <c r="D69" s="179"/>
      <c r="E69" s="133"/>
      <c r="F69" s="134"/>
      <c r="G69" s="127" t="s">
        <v>2013</v>
      </c>
      <c r="H69" s="128"/>
      <c r="I69" s="28" t="s">
        <v>10</v>
      </c>
      <c r="J69" s="11"/>
      <c r="K69" s="33"/>
      <c r="L69" s="29"/>
    </row>
    <row r="70" spans="2:12" ht="83.5" customHeight="1" x14ac:dyDescent="0.2">
      <c r="B70" s="143" t="s">
        <v>102</v>
      </c>
      <c r="C70" s="143" t="s">
        <v>265</v>
      </c>
      <c r="D70" s="181" t="s">
        <v>2014</v>
      </c>
      <c r="E70" s="135" t="s">
        <v>2015</v>
      </c>
      <c r="F70" s="136"/>
      <c r="G70" s="141" t="s">
        <v>2016</v>
      </c>
      <c r="H70" s="142"/>
      <c r="I70" s="28" t="s">
        <v>10</v>
      </c>
      <c r="J70" s="36"/>
      <c r="K70" s="37"/>
      <c r="L70" s="38"/>
    </row>
    <row r="71" spans="2:12" ht="83.5" customHeight="1" x14ac:dyDescent="0.2">
      <c r="B71" s="144"/>
      <c r="C71" s="144"/>
      <c r="D71" s="182"/>
      <c r="E71" s="137"/>
      <c r="F71" s="138"/>
      <c r="G71" s="141" t="s">
        <v>2017</v>
      </c>
      <c r="H71" s="142"/>
      <c r="I71" s="28" t="s">
        <v>10</v>
      </c>
      <c r="J71" s="36"/>
      <c r="K71" s="37"/>
      <c r="L71" s="38"/>
    </row>
    <row r="72" spans="2:12" ht="83.5" customHeight="1" x14ac:dyDescent="0.2">
      <c r="B72" s="144"/>
      <c r="C72" s="144"/>
      <c r="D72" s="182"/>
      <c r="E72" s="139"/>
      <c r="F72" s="140"/>
      <c r="G72" s="141" t="s">
        <v>2018</v>
      </c>
      <c r="H72" s="142"/>
      <c r="I72" s="28" t="s">
        <v>10</v>
      </c>
      <c r="J72" s="36"/>
      <c r="K72" s="37"/>
      <c r="L72" s="38"/>
    </row>
    <row r="73" spans="2:12" ht="79.75" customHeight="1" x14ac:dyDescent="0.2">
      <c r="B73" s="151" t="s">
        <v>102</v>
      </c>
      <c r="C73" s="151" t="s">
        <v>266</v>
      </c>
      <c r="D73" s="177" t="s">
        <v>2019</v>
      </c>
      <c r="E73" s="129" t="s">
        <v>2380</v>
      </c>
      <c r="F73" s="130"/>
      <c r="G73" s="127" t="s">
        <v>2020</v>
      </c>
      <c r="H73" s="128"/>
      <c r="I73" s="28" t="s">
        <v>10</v>
      </c>
      <c r="J73" s="11"/>
      <c r="K73" s="33"/>
      <c r="L73" s="29"/>
    </row>
    <row r="74" spans="2:12" ht="79.75" customHeight="1" x14ac:dyDescent="0.2">
      <c r="B74" s="152"/>
      <c r="C74" s="152"/>
      <c r="D74" s="178"/>
      <c r="E74" s="131"/>
      <c r="F74" s="132"/>
      <c r="G74" s="127" t="s">
        <v>2382</v>
      </c>
      <c r="H74" s="128"/>
      <c r="I74" s="28" t="s">
        <v>10</v>
      </c>
      <c r="J74" s="11"/>
      <c r="K74" s="33"/>
      <c r="L74" s="29"/>
    </row>
    <row r="75" spans="2:12" ht="79.75" customHeight="1" x14ac:dyDescent="0.2">
      <c r="B75" s="173"/>
      <c r="C75" s="173"/>
      <c r="D75" s="179"/>
      <c r="E75" s="133"/>
      <c r="F75" s="134"/>
      <c r="G75" s="127" t="s">
        <v>2381</v>
      </c>
      <c r="H75" s="128"/>
      <c r="I75" s="28" t="s">
        <v>10</v>
      </c>
      <c r="J75" s="11"/>
      <c r="K75" s="33"/>
      <c r="L75" s="29"/>
    </row>
    <row r="238" spans="1:13" s="4" customFormat="1" x14ac:dyDescent="0.2">
      <c r="A238" s="1"/>
      <c r="B238" s="2"/>
      <c r="C238" s="3"/>
      <c r="D238" s="3"/>
      <c r="E238" s="3"/>
      <c r="G238" s="3"/>
      <c r="I238" s="6"/>
      <c r="J238" s="1"/>
      <c r="K238" s="30"/>
      <c r="L238" s="1"/>
      <c r="M238" s="1"/>
    </row>
    <row r="239" spans="1:13" s="4" customFormat="1" x14ac:dyDescent="0.2">
      <c r="A239" s="1"/>
      <c r="B239" s="2"/>
      <c r="C239" s="3"/>
      <c r="D239" s="3"/>
      <c r="E239" s="3"/>
      <c r="G239" s="79"/>
      <c r="I239" s="6"/>
      <c r="J239" s="1"/>
      <c r="K239" s="30"/>
      <c r="L239" s="1"/>
      <c r="M239" s="1"/>
    </row>
    <row r="240" spans="1:13" s="4" customFormat="1" x14ac:dyDescent="0.2">
      <c r="A240" s="1"/>
      <c r="B240" s="2"/>
      <c r="C240" s="3"/>
      <c r="D240" s="3"/>
      <c r="E240" s="3"/>
      <c r="G240" s="80"/>
      <c r="I240" s="6"/>
      <c r="J240" s="1"/>
      <c r="K240" s="30"/>
      <c r="L240" s="1"/>
      <c r="M240" s="1"/>
    </row>
    <row r="241" spans="1:13" s="4" customFormat="1" x14ac:dyDescent="0.2">
      <c r="A241" s="1"/>
      <c r="B241" s="2"/>
      <c r="C241" s="3"/>
      <c r="D241" s="3"/>
      <c r="E241" s="3"/>
      <c r="G241" s="81"/>
      <c r="I241" s="6"/>
      <c r="J241" s="1"/>
      <c r="K241" s="30"/>
      <c r="L241" s="1"/>
      <c r="M241" s="1"/>
    </row>
    <row r="242" spans="1:13" s="4" customFormat="1" x14ac:dyDescent="0.2">
      <c r="A242" s="1"/>
      <c r="B242" s="2"/>
      <c r="C242" s="3"/>
      <c r="D242" s="3"/>
      <c r="E242" s="3"/>
      <c r="G242" s="82"/>
      <c r="I242" s="6"/>
      <c r="J242" s="1"/>
      <c r="K242" s="30"/>
      <c r="L242" s="1"/>
      <c r="M242" s="1"/>
    </row>
    <row r="243" spans="1:13" s="4" customFormat="1" x14ac:dyDescent="0.2">
      <c r="A243" s="1"/>
      <c r="B243" s="2"/>
      <c r="C243" s="3"/>
      <c r="D243" s="3"/>
      <c r="E243" s="3"/>
      <c r="G243" s="79"/>
      <c r="I243" s="6"/>
      <c r="J243" s="1"/>
      <c r="K243" s="30"/>
      <c r="L243" s="1"/>
      <c r="M243" s="1"/>
    </row>
    <row r="247" spans="1:13" s="4" customFormat="1" x14ac:dyDescent="0.2">
      <c r="A247" s="1"/>
      <c r="B247" s="2"/>
      <c r="C247" s="3"/>
      <c r="D247" s="3"/>
      <c r="E247" s="3"/>
      <c r="G247" s="83"/>
      <c r="I247" s="6"/>
      <c r="J247" s="1"/>
      <c r="K247" s="30"/>
      <c r="L247" s="1"/>
      <c r="M247" s="1"/>
    </row>
    <row r="248" spans="1:13" s="4" customFormat="1" x14ac:dyDescent="0.2">
      <c r="A248" s="1"/>
      <c r="B248" s="2"/>
      <c r="C248" s="3"/>
      <c r="D248" s="3"/>
      <c r="E248" s="3"/>
      <c r="G248" s="84"/>
      <c r="I248" s="6"/>
      <c r="J248" s="1"/>
      <c r="K248" s="30"/>
      <c r="L248" s="1"/>
      <c r="M248" s="1"/>
    </row>
    <row r="249" spans="1:13" s="4" customFormat="1" x14ac:dyDescent="0.2">
      <c r="A249" s="1"/>
      <c r="B249" s="2"/>
      <c r="C249" s="3"/>
      <c r="D249" s="3"/>
      <c r="E249" s="3"/>
      <c r="G249" s="81"/>
      <c r="I249" s="6"/>
      <c r="J249" s="1"/>
      <c r="K249" s="30"/>
      <c r="L249" s="1"/>
      <c r="M249" s="1"/>
    </row>
    <row r="250" spans="1:13" s="4" customFormat="1" x14ac:dyDescent="0.2">
      <c r="A250" s="1"/>
      <c r="B250" s="2"/>
      <c r="C250" s="3"/>
      <c r="D250" s="3"/>
      <c r="E250" s="3"/>
      <c r="G250" s="81"/>
      <c r="I250" s="6"/>
      <c r="J250" s="1"/>
      <c r="K250" s="30"/>
      <c r="L250" s="1"/>
      <c r="M250" s="1"/>
    </row>
    <row r="251" spans="1:13" s="4" customFormat="1" x14ac:dyDescent="0.2">
      <c r="A251" s="1"/>
      <c r="B251" s="2"/>
      <c r="C251" s="3"/>
      <c r="D251" s="3"/>
      <c r="E251" s="3"/>
      <c r="G251" s="79"/>
      <c r="I251" s="6"/>
      <c r="J251" s="1"/>
      <c r="K251" s="30"/>
      <c r="L251" s="1"/>
      <c r="M251" s="1"/>
    </row>
    <row r="255" spans="1:13" s="4" customFormat="1" x14ac:dyDescent="0.2">
      <c r="A255" s="1"/>
      <c r="B255" s="2"/>
      <c r="C255" s="3"/>
      <c r="D255" s="3"/>
      <c r="E255" s="3"/>
      <c r="G255" s="83"/>
      <c r="I255" s="6"/>
      <c r="J255" s="1"/>
      <c r="K255" s="30"/>
      <c r="L255" s="1"/>
      <c r="M255" s="1"/>
    </row>
    <row r="256" spans="1:13" s="4" customFormat="1" x14ac:dyDescent="0.2">
      <c r="A256" s="1"/>
      <c r="B256" s="2"/>
      <c r="C256" s="3"/>
      <c r="D256" s="3"/>
      <c r="E256" s="3"/>
      <c r="G256" s="84"/>
      <c r="I256" s="6"/>
      <c r="J256" s="1"/>
      <c r="K256" s="30"/>
      <c r="L256" s="1"/>
      <c r="M256" s="1"/>
    </row>
    <row r="257" spans="1:13" s="4" customFormat="1" x14ac:dyDescent="0.2">
      <c r="A257" s="1"/>
      <c r="B257" s="2"/>
      <c r="C257" s="3"/>
      <c r="D257" s="3"/>
      <c r="E257" s="3"/>
      <c r="G257" s="81"/>
      <c r="I257" s="6"/>
      <c r="J257" s="1"/>
      <c r="K257" s="30"/>
      <c r="L257" s="1"/>
      <c r="M257" s="1"/>
    </row>
    <row r="258" spans="1:13" s="4" customFormat="1" x14ac:dyDescent="0.2">
      <c r="A258" s="1"/>
      <c r="B258" s="2"/>
      <c r="C258" s="3"/>
      <c r="D258" s="3"/>
      <c r="E258" s="3"/>
      <c r="G258" s="81"/>
      <c r="I258" s="6"/>
      <c r="J258" s="1"/>
      <c r="K258" s="30"/>
      <c r="L258" s="1"/>
      <c r="M258" s="1"/>
    </row>
    <row r="259" spans="1:13" s="4" customFormat="1" x14ac:dyDescent="0.2">
      <c r="A259" s="1"/>
      <c r="B259" s="2"/>
      <c r="C259" s="3"/>
      <c r="D259" s="3"/>
      <c r="E259" s="3"/>
      <c r="G259" s="83"/>
      <c r="I259" s="6"/>
      <c r="J259" s="1"/>
      <c r="K259" s="30"/>
      <c r="L259" s="1"/>
      <c r="M259" s="1"/>
    </row>
    <row r="260" spans="1:13" s="4" customFormat="1" x14ac:dyDescent="0.2">
      <c r="A260" s="1"/>
      <c r="B260" s="2"/>
      <c r="C260" s="3"/>
      <c r="D260" s="3"/>
      <c r="E260" s="3"/>
      <c r="G260" s="85"/>
      <c r="I260" s="6"/>
      <c r="J260" s="1"/>
      <c r="K260" s="30"/>
      <c r="L260" s="1"/>
      <c r="M260" s="1"/>
    </row>
    <row r="261" spans="1:13" s="4" customFormat="1" x14ac:dyDescent="0.2">
      <c r="A261" s="1"/>
      <c r="B261" s="2"/>
      <c r="C261" s="3"/>
      <c r="D261" s="3"/>
      <c r="E261" s="3"/>
      <c r="G261" s="86"/>
      <c r="I261" s="6"/>
      <c r="J261" s="1"/>
      <c r="K261" s="30"/>
      <c r="L261" s="1"/>
      <c r="M261" s="1"/>
    </row>
  </sheetData>
  <mergeCells count="78">
    <mergeCell ref="G73:H73"/>
    <mergeCell ref="G74:H74"/>
    <mergeCell ref="G75:H75"/>
    <mergeCell ref="G67:H67"/>
    <mergeCell ref="G68:H68"/>
    <mergeCell ref="G69:H69"/>
    <mergeCell ref="E70:F72"/>
    <mergeCell ref="G70:H70"/>
    <mergeCell ref="G71:H71"/>
    <mergeCell ref="G72:H72"/>
    <mergeCell ref="G61:H61"/>
    <mergeCell ref="G62:H62"/>
    <mergeCell ref="G63:H63"/>
    <mergeCell ref="E64:F66"/>
    <mergeCell ref="G64:H64"/>
    <mergeCell ref="G65:H65"/>
    <mergeCell ref="G66:H66"/>
    <mergeCell ref="G55:H55"/>
    <mergeCell ref="G56:H56"/>
    <mergeCell ref="G57:H57"/>
    <mergeCell ref="E58:F60"/>
    <mergeCell ref="G58:H58"/>
    <mergeCell ref="G59:H59"/>
    <mergeCell ref="G60:H60"/>
    <mergeCell ref="B73:B75"/>
    <mergeCell ref="C73:C75"/>
    <mergeCell ref="D73:D75"/>
    <mergeCell ref="E73:F75"/>
    <mergeCell ref="B67:B69"/>
    <mergeCell ref="C67:C69"/>
    <mergeCell ref="D67:D69"/>
    <mergeCell ref="E67:F69"/>
    <mergeCell ref="B70:B72"/>
    <mergeCell ref="C70:C72"/>
    <mergeCell ref="D70:D72"/>
    <mergeCell ref="B61:B63"/>
    <mergeCell ref="C61:C63"/>
    <mergeCell ref="D61:D63"/>
    <mergeCell ref="E61:F63"/>
    <mergeCell ref="B64:B66"/>
    <mergeCell ref="C64:C66"/>
    <mergeCell ref="D64:D66"/>
    <mergeCell ref="B55:B57"/>
    <mergeCell ref="C55:C57"/>
    <mergeCell ref="D55:D57"/>
    <mergeCell ref="E55:F57"/>
    <mergeCell ref="B58:B60"/>
    <mergeCell ref="C58:C60"/>
    <mergeCell ref="D58:D60"/>
    <mergeCell ref="G54:H54"/>
    <mergeCell ref="B31:B38"/>
    <mergeCell ref="C31:C38"/>
    <mergeCell ref="D31:D38"/>
    <mergeCell ref="E31:E38"/>
    <mergeCell ref="B39:B45"/>
    <mergeCell ref="C39:C45"/>
    <mergeCell ref="D39:D45"/>
    <mergeCell ref="E39:E45"/>
    <mergeCell ref="B46:B52"/>
    <mergeCell ref="C46:C52"/>
    <mergeCell ref="D46:D52"/>
    <mergeCell ref="E46:E52"/>
    <mergeCell ref="E54:F54"/>
    <mergeCell ref="B23:B30"/>
    <mergeCell ref="C23:C30"/>
    <mergeCell ref="D23:D30"/>
    <mergeCell ref="E23:E30"/>
    <mergeCell ref="B2:J2"/>
    <mergeCell ref="B4:J4"/>
    <mergeCell ref="B6:H8"/>
    <mergeCell ref="I6:J6"/>
    <mergeCell ref="I7:J8"/>
    <mergeCell ref="C10:J10"/>
    <mergeCell ref="C11:J11"/>
    <mergeCell ref="B14:B22"/>
    <mergeCell ref="C14:C22"/>
    <mergeCell ref="D14:D22"/>
    <mergeCell ref="E14:E22"/>
  </mergeCells>
  <conditionalFormatting sqref="I1 I76:I1048576">
    <cfRule type="cellIs" dxfId="217" priority="18" operator="equal">
      <formula>1</formula>
    </cfRule>
  </conditionalFormatting>
  <conditionalFormatting sqref="I7">
    <cfRule type="cellIs" dxfId="216" priority="17" operator="equal">
      <formula>1</formula>
    </cfRule>
  </conditionalFormatting>
  <conditionalFormatting sqref="I14:I52">
    <cfRule type="expression" dxfId="31" priority="5" stopIfTrue="1">
      <formula>TRIM(UPPER(I14))="N/A"</formula>
    </cfRule>
    <cfRule type="expression" dxfId="30" priority="6">
      <formula>I14&gt;=0.9</formula>
    </cfRule>
    <cfRule type="expression" dxfId="29" priority="7">
      <formula>AND(I14&gt;=0.8, I14&lt;0.9)</formula>
    </cfRule>
    <cfRule type="expression" dxfId="28" priority="8">
      <formula>I14&lt;0.8</formula>
    </cfRule>
  </conditionalFormatting>
  <conditionalFormatting sqref="I55:I75">
    <cfRule type="expression" dxfId="27" priority="1" stopIfTrue="1">
      <formula>TRIM(UPPER(I55))="N/A"</formula>
    </cfRule>
    <cfRule type="expression" dxfId="26" priority="2">
      <formula>I55&gt;=0.9</formula>
    </cfRule>
    <cfRule type="expression" dxfId="25" priority="3">
      <formula>AND(I55&gt;=0.8, I55&lt;0.9)</formula>
    </cfRule>
    <cfRule type="expression" dxfId="24" priority="4">
      <formula>I55&lt;0.8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1A7367A-4AB5-764C-B88F-67945020CCBC}">
          <x14:formula1>
            <xm:f>'Listas desplegables'!$C$4:$C$15</xm:f>
          </x14:formula1>
          <xm:sqref>I14:I52 I55:I75</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8F9E7-5330-F24B-8559-443D0C7B26FE}">
  <sheetPr>
    <tabColor rgb="FF0993A5"/>
  </sheetPr>
  <dimension ref="A1:M245"/>
  <sheetViews>
    <sheetView zoomScale="80" zoomScaleNormal="80" workbookViewId="0">
      <selection activeCell="N72" sqref="N72"/>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94" t="s">
        <v>2021</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AVERAGEIF(I14:I45,"&lt;&gt;N/A")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78.5" customHeight="1" x14ac:dyDescent="0.2">
      <c r="B10" s="40" t="s">
        <v>13</v>
      </c>
      <c r="C10" s="147" t="s">
        <v>2022</v>
      </c>
      <c r="D10" s="148"/>
      <c r="E10" s="148"/>
      <c r="F10" s="148"/>
      <c r="G10" s="148"/>
      <c r="H10" s="148"/>
      <c r="I10" s="148"/>
      <c r="J10" s="149"/>
    </row>
    <row r="11" spans="2:12" ht="90.5" customHeight="1" x14ac:dyDescent="0.2">
      <c r="B11" s="39" t="s">
        <v>14</v>
      </c>
      <c r="C11" s="150" t="s">
        <v>2023</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54" customHeight="1" x14ac:dyDescent="0.2">
      <c r="B14" s="151" t="s">
        <v>103</v>
      </c>
      <c r="C14" s="151" t="s">
        <v>19</v>
      </c>
      <c r="D14" s="153" t="s">
        <v>2024</v>
      </c>
      <c r="E14" s="177" t="s">
        <v>2025</v>
      </c>
      <c r="F14" s="78" t="s">
        <v>2026</v>
      </c>
      <c r="G14" s="12" t="s">
        <v>36</v>
      </c>
      <c r="H14" s="34" t="s">
        <v>2027</v>
      </c>
      <c r="I14" s="28" t="s">
        <v>10</v>
      </c>
      <c r="J14" s="11"/>
      <c r="K14" s="33"/>
      <c r="L14" s="29"/>
    </row>
    <row r="15" spans="2:12" ht="54" customHeight="1" x14ac:dyDescent="0.2">
      <c r="B15" s="152"/>
      <c r="C15" s="152"/>
      <c r="D15" s="154"/>
      <c r="E15" s="178"/>
      <c r="F15" s="78" t="s">
        <v>2028</v>
      </c>
      <c r="G15" s="12" t="s">
        <v>38</v>
      </c>
      <c r="H15" s="34" t="s">
        <v>2029</v>
      </c>
      <c r="I15" s="28" t="s">
        <v>10</v>
      </c>
      <c r="J15" s="11"/>
      <c r="K15" s="33"/>
      <c r="L15" s="29"/>
    </row>
    <row r="16" spans="2:12" ht="54" customHeight="1" x14ac:dyDescent="0.2">
      <c r="B16" s="152"/>
      <c r="C16" s="152"/>
      <c r="D16" s="154"/>
      <c r="E16" s="178"/>
      <c r="F16" s="78" t="s">
        <v>2030</v>
      </c>
      <c r="G16" s="12" t="s">
        <v>37</v>
      </c>
      <c r="H16" s="34" t="s">
        <v>2031</v>
      </c>
      <c r="I16" s="28" t="s">
        <v>10</v>
      </c>
      <c r="J16" s="11"/>
      <c r="K16" s="33"/>
      <c r="L16" s="29"/>
    </row>
    <row r="17" spans="2:12" ht="54" customHeight="1" x14ac:dyDescent="0.2">
      <c r="B17" s="152"/>
      <c r="C17" s="152"/>
      <c r="D17" s="154"/>
      <c r="E17" s="178"/>
      <c r="F17" s="78" t="s">
        <v>2032</v>
      </c>
      <c r="G17" s="12" t="s">
        <v>39</v>
      </c>
      <c r="H17" s="34" t="s">
        <v>2033</v>
      </c>
      <c r="I17" s="28" t="s">
        <v>10</v>
      </c>
      <c r="J17" s="11"/>
      <c r="K17" s="33"/>
      <c r="L17" s="29"/>
    </row>
    <row r="18" spans="2:12" ht="54" customHeight="1" x14ac:dyDescent="0.2">
      <c r="B18" s="152"/>
      <c r="C18" s="152"/>
      <c r="D18" s="154"/>
      <c r="E18" s="178"/>
      <c r="F18" s="78" t="s">
        <v>2034</v>
      </c>
      <c r="G18" s="12" t="s">
        <v>38</v>
      </c>
      <c r="H18" s="34" t="s">
        <v>2035</v>
      </c>
      <c r="I18" s="28" t="s">
        <v>10</v>
      </c>
      <c r="J18" s="11"/>
      <c r="K18" s="33"/>
      <c r="L18" s="29"/>
    </row>
    <row r="19" spans="2:12" ht="54" customHeight="1" x14ac:dyDescent="0.2">
      <c r="B19" s="152"/>
      <c r="C19" s="152"/>
      <c r="D19" s="154"/>
      <c r="E19" s="178"/>
      <c r="F19" s="78" t="s">
        <v>2036</v>
      </c>
      <c r="G19" s="12" t="s">
        <v>844</v>
      </c>
      <c r="H19" s="34" t="s">
        <v>2037</v>
      </c>
      <c r="I19" s="28" t="s">
        <v>10</v>
      </c>
      <c r="J19" s="11"/>
      <c r="K19" s="33"/>
      <c r="L19" s="29"/>
    </row>
    <row r="20" spans="2:12" ht="54" customHeight="1" x14ac:dyDescent="0.2">
      <c r="B20" s="152"/>
      <c r="C20" s="152"/>
      <c r="D20" s="154"/>
      <c r="E20" s="178"/>
      <c r="F20" s="22" t="s">
        <v>2038</v>
      </c>
      <c r="G20" s="12" t="s">
        <v>36</v>
      </c>
      <c r="H20" s="34" t="s">
        <v>2039</v>
      </c>
      <c r="I20" s="28" t="s">
        <v>10</v>
      </c>
      <c r="J20" s="11"/>
      <c r="K20" s="33"/>
      <c r="L20" s="29"/>
    </row>
    <row r="21" spans="2:12" ht="54" customHeight="1" x14ac:dyDescent="0.2">
      <c r="B21" s="143" t="s">
        <v>103</v>
      </c>
      <c r="C21" s="143" t="s">
        <v>20</v>
      </c>
      <c r="D21" s="145" t="s">
        <v>2040</v>
      </c>
      <c r="E21" s="181" t="s">
        <v>2041</v>
      </c>
      <c r="F21" s="23" t="s">
        <v>2042</v>
      </c>
      <c r="G21" s="41" t="s">
        <v>2043</v>
      </c>
      <c r="H21" s="35" t="s">
        <v>2044</v>
      </c>
      <c r="I21" s="28" t="s">
        <v>10</v>
      </c>
      <c r="J21" s="36"/>
      <c r="K21" s="37"/>
      <c r="L21" s="38"/>
    </row>
    <row r="22" spans="2:12" ht="54" customHeight="1" x14ac:dyDescent="0.2">
      <c r="B22" s="144"/>
      <c r="C22" s="144"/>
      <c r="D22" s="146"/>
      <c r="E22" s="182"/>
      <c r="F22" s="35" t="s">
        <v>2045</v>
      </c>
      <c r="G22" s="41" t="s">
        <v>2043</v>
      </c>
      <c r="H22" s="35" t="s">
        <v>2046</v>
      </c>
      <c r="I22" s="28" t="s">
        <v>10</v>
      </c>
      <c r="J22" s="36"/>
      <c r="K22" s="37"/>
      <c r="L22" s="38"/>
    </row>
    <row r="23" spans="2:12" ht="54" customHeight="1" x14ac:dyDescent="0.2">
      <c r="B23" s="144"/>
      <c r="C23" s="144"/>
      <c r="D23" s="146"/>
      <c r="E23" s="182"/>
      <c r="F23" s="23" t="s">
        <v>2047</v>
      </c>
      <c r="G23" s="41" t="s">
        <v>2043</v>
      </c>
      <c r="H23" s="35" t="s">
        <v>2048</v>
      </c>
      <c r="I23" s="28" t="s">
        <v>10</v>
      </c>
      <c r="J23" s="36"/>
      <c r="K23" s="37"/>
      <c r="L23" s="38"/>
    </row>
    <row r="24" spans="2:12" ht="54" customHeight="1" x14ac:dyDescent="0.2">
      <c r="B24" s="144"/>
      <c r="C24" s="144"/>
      <c r="D24" s="146"/>
      <c r="E24" s="182"/>
      <c r="F24" s="23" t="s">
        <v>2049</v>
      </c>
      <c r="G24" s="41" t="s">
        <v>2043</v>
      </c>
      <c r="H24" s="35" t="s">
        <v>2050</v>
      </c>
      <c r="I24" s="28" t="s">
        <v>10</v>
      </c>
      <c r="J24" s="36"/>
      <c r="K24" s="37"/>
      <c r="L24" s="38"/>
    </row>
    <row r="25" spans="2:12" ht="54" customHeight="1" x14ac:dyDescent="0.2">
      <c r="B25" s="144"/>
      <c r="C25" s="144"/>
      <c r="D25" s="146"/>
      <c r="E25" s="182"/>
      <c r="F25" s="23" t="s">
        <v>2051</v>
      </c>
      <c r="G25" s="41" t="s">
        <v>36</v>
      </c>
      <c r="H25" s="35" t="s">
        <v>2052</v>
      </c>
      <c r="I25" s="28" t="s">
        <v>10</v>
      </c>
      <c r="J25" s="36"/>
      <c r="K25" s="37"/>
      <c r="L25" s="38"/>
    </row>
    <row r="26" spans="2:12" ht="54" customHeight="1" x14ac:dyDescent="0.2">
      <c r="B26" s="144"/>
      <c r="C26" s="144"/>
      <c r="D26" s="146"/>
      <c r="E26" s="182"/>
      <c r="F26" s="23" t="s">
        <v>2053</v>
      </c>
      <c r="G26" s="41" t="s">
        <v>36</v>
      </c>
      <c r="H26" s="35" t="s">
        <v>2054</v>
      </c>
      <c r="I26" s="28" t="s">
        <v>10</v>
      </c>
      <c r="J26" s="36"/>
      <c r="K26" s="37"/>
      <c r="L26" s="38"/>
    </row>
    <row r="27" spans="2:12" ht="54" customHeight="1" x14ac:dyDescent="0.2">
      <c r="B27" s="151" t="s">
        <v>103</v>
      </c>
      <c r="C27" s="151" t="s">
        <v>21</v>
      </c>
      <c r="D27" s="177" t="s">
        <v>1449</v>
      </c>
      <c r="E27" s="177" t="s">
        <v>2197</v>
      </c>
      <c r="F27" s="22" t="s">
        <v>2055</v>
      </c>
      <c r="G27" s="12" t="s">
        <v>39</v>
      </c>
      <c r="H27" s="34" t="s">
        <v>2056</v>
      </c>
      <c r="I27" s="28" t="s">
        <v>10</v>
      </c>
      <c r="J27" s="11"/>
      <c r="K27" s="33"/>
      <c r="L27" s="29"/>
    </row>
    <row r="28" spans="2:12" ht="54" customHeight="1" x14ac:dyDescent="0.2">
      <c r="B28" s="152"/>
      <c r="C28" s="152"/>
      <c r="D28" s="178"/>
      <c r="E28" s="178"/>
      <c r="F28" s="22" t="s">
        <v>1453</v>
      </c>
      <c r="G28" s="12" t="s">
        <v>38</v>
      </c>
      <c r="H28" s="34" t="s">
        <v>2057</v>
      </c>
      <c r="I28" s="28" t="s">
        <v>10</v>
      </c>
      <c r="J28" s="11"/>
      <c r="K28" s="33"/>
      <c r="L28" s="29"/>
    </row>
    <row r="29" spans="2:12" ht="54" customHeight="1" x14ac:dyDescent="0.2">
      <c r="B29" s="152"/>
      <c r="C29" s="152"/>
      <c r="D29" s="178"/>
      <c r="E29" s="178"/>
      <c r="F29" s="22" t="s">
        <v>1455</v>
      </c>
      <c r="G29" s="12" t="s">
        <v>37</v>
      </c>
      <c r="H29" s="34" t="s">
        <v>2058</v>
      </c>
      <c r="I29" s="28" t="s">
        <v>10</v>
      </c>
      <c r="J29" s="11"/>
      <c r="K29" s="33"/>
      <c r="L29" s="29"/>
    </row>
    <row r="30" spans="2:12" ht="54" customHeight="1" x14ac:dyDescent="0.2">
      <c r="B30" s="152"/>
      <c r="C30" s="152"/>
      <c r="D30" s="178"/>
      <c r="E30" s="178"/>
      <c r="F30" s="22" t="s">
        <v>2059</v>
      </c>
      <c r="G30" s="12" t="s">
        <v>37</v>
      </c>
      <c r="H30" s="34" t="s">
        <v>2060</v>
      </c>
      <c r="I30" s="28" t="s">
        <v>10</v>
      </c>
      <c r="J30" s="11"/>
      <c r="K30" s="33"/>
      <c r="L30" s="29"/>
    </row>
    <row r="31" spans="2:12" ht="54" customHeight="1" x14ac:dyDescent="0.2">
      <c r="B31" s="152"/>
      <c r="C31" s="152"/>
      <c r="D31" s="178"/>
      <c r="E31" s="178"/>
      <c r="F31" s="22" t="s">
        <v>2061</v>
      </c>
      <c r="G31" s="12" t="s">
        <v>2043</v>
      </c>
      <c r="H31" s="34" t="s">
        <v>2062</v>
      </c>
      <c r="I31" s="28" t="s">
        <v>10</v>
      </c>
      <c r="J31" s="11"/>
      <c r="K31" s="33"/>
      <c r="L31" s="29"/>
    </row>
    <row r="32" spans="2:12" ht="54" customHeight="1" x14ac:dyDescent="0.2">
      <c r="B32" s="152"/>
      <c r="C32" s="152"/>
      <c r="D32" s="178"/>
      <c r="E32" s="178"/>
      <c r="F32" s="22" t="s">
        <v>2063</v>
      </c>
      <c r="G32" s="12" t="s">
        <v>36</v>
      </c>
      <c r="H32" s="34" t="s">
        <v>2064</v>
      </c>
      <c r="I32" s="28" t="s">
        <v>10</v>
      </c>
      <c r="J32" s="11"/>
      <c r="K32" s="33"/>
      <c r="L32" s="29"/>
    </row>
    <row r="33" spans="2:12" ht="54" customHeight="1" x14ac:dyDescent="0.2">
      <c r="B33" s="152"/>
      <c r="C33" s="152"/>
      <c r="D33" s="178"/>
      <c r="E33" s="178"/>
      <c r="F33" s="22" t="s">
        <v>2065</v>
      </c>
      <c r="G33" s="12" t="s">
        <v>2043</v>
      </c>
      <c r="H33" s="34" t="s">
        <v>2066</v>
      </c>
      <c r="I33" s="28" t="s">
        <v>10</v>
      </c>
      <c r="J33" s="11"/>
      <c r="K33" s="33"/>
      <c r="L33" s="29"/>
    </row>
    <row r="34" spans="2:12" ht="54" customHeight="1" x14ac:dyDescent="0.2">
      <c r="B34" s="143" t="s">
        <v>103</v>
      </c>
      <c r="C34" s="143" t="s">
        <v>23</v>
      </c>
      <c r="D34" s="181" t="s">
        <v>1465</v>
      </c>
      <c r="E34" s="181" t="s">
        <v>2067</v>
      </c>
      <c r="F34" s="23" t="s">
        <v>2068</v>
      </c>
      <c r="G34" s="41" t="s">
        <v>36</v>
      </c>
      <c r="H34" s="35" t="s">
        <v>2069</v>
      </c>
      <c r="I34" s="28" t="s">
        <v>10</v>
      </c>
      <c r="J34" s="36"/>
      <c r="K34" s="37"/>
      <c r="L34" s="38"/>
    </row>
    <row r="35" spans="2:12" ht="54" customHeight="1" x14ac:dyDescent="0.2">
      <c r="B35" s="144"/>
      <c r="C35" s="144"/>
      <c r="D35" s="182"/>
      <c r="E35" s="182"/>
      <c r="F35" s="23" t="s">
        <v>2070</v>
      </c>
      <c r="G35" s="41" t="s">
        <v>37</v>
      </c>
      <c r="H35" s="35" t="s">
        <v>2071</v>
      </c>
      <c r="I35" s="28" t="s">
        <v>10</v>
      </c>
      <c r="J35" s="36"/>
      <c r="K35" s="37"/>
      <c r="L35" s="38"/>
    </row>
    <row r="36" spans="2:12" ht="54" customHeight="1" x14ac:dyDescent="0.2">
      <c r="B36" s="144"/>
      <c r="C36" s="144"/>
      <c r="D36" s="182"/>
      <c r="E36" s="182"/>
      <c r="F36" s="23" t="s">
        <v>2072</v>
      </c>
      <c r="G36" s="41" t="s">
        <v>38</v>
      </c>
      <c r="H36" s="35" t="s">
        <v>2073</v>
      </c>
      <c r="I36" s="28" t="s">
        <v>10</v>
      </c>
      <c r="J36" s="36"/>
      <c r="K36" s="37"/>
      <c r="L36" s="38"/>
    </row>
    <row r="37" spans="2:12" ht="54" customHeight="1" x14ac:dyDescent="0.2">
      <c r="B37" s="144"/>
      <c r="C37" s="144"/>
      <c r="D37" s="182"/>
      <c r="E37" s="182"/>
      <c r="F37" s="23" t="s">
        <v>2074</v>
      </c>
      <c r="G37" s="41" t="s">
        <v>39</v>
      </c>
      <c r="H37" s="35" t="s">
        <v>2075</v>
      </c>
      <c r="I37" s="28" t="s">
        <v>10</v>
      </c>
      <c r="J37" s="36"/>
      <c r="K37" s="37"/>
      <c r="L37" s="38"/>
    </row>
    <row r="38" spans="2:12" ht="54" customHeight="1" x14ac:dyDescent="0.2">
      <c r="B38" s="144"/>
      <c r="C38" s="144"/>
      <c r="D38" s="182"/>
      <c r="E38" s="182"/>
      <c r="F38" s="23" t="s">
        <v>2076</v>
      </c>
      <c r="G38" s="41" t="s">
        <v>631</v>
      </c>
      <c r="H38" s="35" t="s">
        <v>2077</v>
      </c>
      <c r="I38" s="28" t="s">
        <v>10</v>
      </c>
      <c r="J38" s="36"/>
      <c r="K38" s="37"/>
      <c r="L38" s="38"/>
    </row>
    <row r="39" spans="2:12" ht="54" customHeight="1" x14ac:dyDescent="0.2">
      <c r="B39" s="144"/>
      <c r="C39" s="144"/>
      <c r="D39" s="182"/>
      <c r="E39" s="182"/>
      <c r="F39" s="23" t="s">
        <v>2078</v>
      </c>
      <c r="G39" s="41" t="s">
        <v>36</v>
      </c>
      <c r="H39" s="35" t="s">
        <v>2079</v>
      </c>
      <c r="I39" s="28" t="s">
        <v>10</v>
      </c>
      <c r="J39" s="36"/>
      <c r="K39" s="37"/>
      <c r="L39" s="38"/>
    </row>
    <row r="40" spans="2:12" ht="54" customHeight="1" x14ac:dyDescent="0.2">
      <c r="B40" s="151" t="s">
        <v>103</v>
      </c>
      <c r="C40" s="151" t="s">
        <v>24</v>
      </c>
      <c r="D40" s="185" t="s">
        <v>2080</v>
      </c>
      <c r="E40" s="185" t="s">
        <v>2081</v>
      </c>
      <c r="F40" s="34" t="s">
        <v>2082</v>
      </c>
      <c r="G40" s="12" t="s">
        <v>36</v>
      </c>
      <c r="H40" s="34" t="s">
        <v>2083</v>
      </c>
      <c r="I40" s="28" t="s">
        <v>10</v>
      </c>
      <c r="J40" s="11"/>
      <c r="K40" s="33"/>
      <c r="L40" s="29"/>
    </row>
    <row r="41" spans="2:12" ht="54" customHeight="1" x14ac:dyDescent="0.2">
      <c r="B41" s="152"/>
      <c r="C41" s="152"/>
      <c r="D41" s="186"/>
      <c r="E41" s="186"/>
      <c r="F41" s="34" t="s">
        <v>2084</v>
      </c>
      <c r="G41" s="12" t="s">
        <v>39</v>
      </c>
      <c r="H41" s="34" t="s">
        <v>2085</v>
      </c>
      <c r="I41" s="28" t="s">
        <v>10</v>
      </c>
      <c r="J41" s="11"/>
      <c r="K41" s="33"/>
      <c r="L41" s="29"/>
    </row>
    <row r="42" spans="2:12" ht="54" customHeight="1" x14ac:dyDescent="0.2">
      <c r="B42" s="152"/>
      <c r="C42" s="152"/>
      <c r="D42" s="186"/>
      <c r="E42" s="186"/>
      <c r="F42" s="34" t="s">
        <v>2086</v>
      </c>
      <c r="G42" s="12" t="s">
        <v>844</v>
      </c>
      <c r="H42" s="34" t="s">
        <v>2087</v>
      </c>
      <c r="I42" s="28" t="s">
        <v>10</v>
      </c>
      <c r="J42" s="11"/>
      <c r="K42" s="33"/>
      <c r="L42" s="29"/>
    </row>
    <row r="43" spans="2:12" ht="54" customHeight="1" x14ac:dyDescent="0.2">
      <c r="B43" s="152"/>
      <c r="C43" s="152"/>
      <c r="D43" s="186"/>
      <c r="E43" s="186"/>
      <c r="F43" s="34" t="s">
        <v>2088</v>
      </c>
      <c r="G43" s="12" t="s">
        <v>631</v>
      </c>
      <c r="H43" s="34" t="s">
        <v>2089</v>
      </c>
      <c r="I43" s="28" t="s">
        <v>10</v>
      </c>
      <c r="J43" s="11"/>
      <c r="K43" s="33"/>
      <c r="L43" s="29"/>
    </row>
    <row r="44" spans="2:12" ht="54" customHeight="1" x14ac:dyDescent="0.2">
      <c r="B44" s="152"/>
      <c r="C44" s="152"/>
      <c r="D44" s="186"/>
      <c r="E44" s="186"/>
      <c r="F44" s="34" t="s">
        <v>2090</v>
      </c>
      <c r="G44" s="12" t="s">
        <v>844</v>
      </c>
      <c r="H44" s="34" t="s">
        <v>2091</v>
      </c>
      <c r="I44" s="28" t="s">
        <v>10</v>
      </c>
      <c r="J44" s="11"/>
      <c r="K44" s="33"/>
      <c r="L44" s="29"/>
    </row>
    <row r="45" spans="2:12" ht="54" customHeight="1" x14ac:dyDescent="0.2">
      <c r="B45" s="152"/>
      <c r="C45" s="152"/>
      <c r="D45" s="186"/>
      <c r="E45" s="186"/>
      <c r="F45" s="34" t="s">
        <v>2092</v>
      </c>
      <c r="G45" s="12" t="s">
        <v>631</v>
      </c>
      <c r="H45" s="34" t="s">
        <v>2093</v>
      </c>
      <c r="I45" s="28" t="s">
        <v>10</v>
      </c>
      <c r="J45" s="11"/>
      <c r="K45" s="33"/>
      <c r="L45" s="29"/>
    </row>
    <row r="46" spans="2:12" ht="5.25" customHeight="1" x14ac:dyDescent="0.2"/>
    <row r="47" spans="2:12" ht="31" customHeight="1" x14ac:dyDescent="0.2">
      <c r="B47" s="69" t="s">
        <v>34</v>
      </c>
      <c r="C47" s="69" t="s">
        <v>258</v>
      </c>
      <c r="D47" s="69" t="s">
        <v>259</v>
      </c>
      <c r="E47" s="169" t="s">
        <v>32</v>
      </c>
      <c r="F47" s="170"/>
      <c r="G47" s="169" t="s">
        <v>16</v>
      </c>
      <c r="H47" s="170"/>
      <c r="I47" s="71" t="s">
        <v>8</v>
      </c>
      <c r="J47" s="69" t="s">
        <v>17</v>
      </c>
      <c r="K47" s="72" t="s">
        <v>44</v>
      </c>
      <c r="L47" s="69" t="s">
        <v>45</v>
      </c>
    </row>
    <row r="48" spans="2:12" ht="79.75" customHeight="1" x14ac:dyDescent="0.2">
      <c r="B48" s="151" t="s">
        <v>103</v>
      </c>
      <c r="C48" s="151" t="s">
        <v>260</v>
      </c>
      <c r="D48" s="177" t="s">
        <v>2094</v>
      </c>
      <c r="E48" s="129" t="s">
        <v>2388</v>
      </c>
      <c r="F48" s="130"/>
      <c r="G48" s="127" t="s">
        <v>2385</v>
      </c>
      <c r="H48" s="128"/>
      <c r="I48" s="28" t="s">
        <v>10</v>
      </c>
      <c r="J48" s="11"/>
      <c r="K48" s="33"/>
      <c r="L48" s="29"/>
    </row>
    <row r="49" spans="2:12" ht="79.75" customHeight="1" x14ac:dyDescent="0.2">
      <c r="B49" s="152"/>
      <c r="C49" s="152"/>
      <c r="D49" s="178"/>
      <c r="E49" s="131"/>
      <c r="F49" s="132"/>
      <c r="G49" s="127" t="s">
        <v>2095</v>
      </c>
      <c r="H49" s="128"/>
      <c r="I49" s="28" t="s">
        <v>10</v>
      </c>
      <c r="J49" s="11"/>
      <c r="K49" s="33"/>
      <c r="L49" s="29"/>
    </row>
    <row r="50" spans="2:12" ht="79.75" customHeight="1" x14ac:dyDescent="0.2">
      <c r="B50" s="173"/>
      <c r="C50" s="173"/>
      <c r="D50" s="179"/>
      <c r="E50" s="133"/>
      <c r="F50" s="134"/>
      <c r="G50" s="127" t="s">
        <v>2096</v>
      </c>
      <c r="H50" s="128"/>
      <c r="I50" s="28" t="s">
        <v>10</v>
      </c>
      <c r="J50" s="11"/>
      <c r="K50" s="33"/>
      <c r="L50" s="29"/>
    </row>
    <row r="51" spans="2:12" ht="83.5" customHeight="1" x14ac:dyDescent="0.2">
      <c r="B51" s="143" t="s">
        <v>103</v>
      </c>
      <c r="C51" s="143" t="s">
        <v>261</v>
      </c>
      <c r="D51" s="181" t="s">
        <v>2097</v>
      </c>
      <c r="E51" s="135" t="s">
        <v>2098</v>
      </c>
      <c r="F51" s="136"/>
      <c r="G51" s="141" t="s">
        <v>2099</v>
      </c>
      <c r="H51" s="142"/>
      <c r="I51" s="28" t="s">
        <v>10</v>
      </c>
      <c r="J51" s="36"/>
      <c r="K51" s="37"/>
      <c r="L51" s="38"/>
    </row>
    <row r="52" spans="2:12" ht="83.5" customHeight="1" x14ac:dyDescent="0.2">
      <c r="B52" s="144"/>
      <c r="C52" s="144"/>
      <c r="D52" s="182"/>
      <c r="E52" s="137"/>
      <c r="F52" s="138"/>
      <c r="G52" s="141" t="s">
        <v>2100</v>
      </c>
      <c r="H52" s="142"/>
      <c r="I52" s="28" t="s">
        <v>10</v>
      </c>
      <c r="J52" s="36"/>
      <c r="K52" s="37"/>
      <c r="L52" s="38"/>
    </row>
    <row r="53" spans="2:12" ht="83.5" customHeight="1" x14ac:dyDescent="0.2">
      <c r="B53" s="144"/>
      <c r="C53" s="144"/>
      <c r="D53" s="182"/>
      <c r="E53" s="139"/>
      <c r="F53" s="140"/>
      <c r="G53" s="141" t="s">
        <v>2386</v>
      </c>
      <c r="H53" s="142"/>
      <c r="I53" s="28" t="s">
        <v>10</v>
      </c>
      <c r="J53" s="36"/>
      <c r="K53" s="37"/>
      <c r="L53" s="38"/>
    </row>
    <row r="54" spans="2:12" ht="79.75" customHeight="1" x14ac:dyDescent="0.2">
      <c r="B54" s="151" t="s">
        <v>103</v>
      </c>
      <c r="C54" s="151" t="s">
        <v>262</v>
      </c>
      <c r="D54" s="177" t="s">
        <v>2101</v>
      </c>
      <c r="E54" s="129" t="s">
        <v>1519</v>
      </c>
      <c r="F54" s="130"/>
      <c r="G54" s="127" t="s">
        <v>1520</v>
      </c>
      <c r="H54" s="128"/>
      <c r="I54" s="28" t="s">
        <v>10</v>
      </c>
      <c r="J54" s="11"/>
      <c r="K54" s="33"/>
      <c r="L54" s="29"/>
    </row>
    <row r="55" spans="2:12" ht="79.75" customHeight="1" x14ac:dyDescent="0.2">
      <c r="B55" s="152"/>
      <c r="C55" s="152"/>
      <c r="D55" s="178"/>
      <c r="E55" s="131"/>
      <c r="F55" s="132"/>
      <c r="G55" s="127" t="s">
        <v>2319</v>
      </c>
      <c r="H55" s="128"/>
      <c r="I55" s="28" t="s">
        <v>10</v>
      </c>
      <c r="J55" s="11"/>
      <c r="K55" s="33"/>
      <c r="L55" s="29"/>
    </row>
    <row r="56" spans="2:12" ht="79.75" customHeight="1" x14ac:dyDescent="0.2">
      <c r="B56" s="173"/>
      <c r="C56" s="173"/>
      <c r="D56" s="179"/>
      <c r="E56" s="133"/>
      <c r="F56" s="134"/>
      <c r="G56" s="127" t="s">
        <v>2102</v>
      </c>
      <c r="H56" s="128"/>
      <c r="I56" s="28" t="s">
        <v>10</v>
      </c>
      <c r="J56" s="11"/>
      <c r="K56" s="33"/>
      <c r="L56" s="29"/>
    </row>
    <row r="57" spans="2:12" ht="83.5" customHeight="1" x14ac:dyDescent="0.2">
      <c r="B57" s="143" t="s">
        <v>103</v>
      </c>
      <c r="C57" s="143" t="s">
        <v>263</v>
      </c>
      <c r="D57" s="181" t="s">
        <v>2103</v>
      </c>
      <c r="E57" s="135" t="s">
        <v>2104</v>
      </c>
      <c r="F57" s="136"/>
      <c r="G57" s="141" t="s">
        <v>2105</v>
      </c>
      <c r="H57" s="142"/>
      <c r="I57" s="28" t="s">
        <v>10</v>
      </c>
      <c r="J57" s="36"/>
      <c r="K57" s="37"/>
      <c r="L57" s="38"/>
    </row>
    <row r="58" spans="2:12" ht="83.5" customHeight="1" x14ac:dyDescent="0.2">
      <c r="B58" s="144"/>
      <c r="C58" s="144"/>
      <c r="D58" s="182"/>
      <c r="E58" s="137"/>
      <c r="F58" s="138"/>
      <c r="G58" s="141" t="s">
        <v>2387</v>
      </c>
      <c r="H58" s="142"/>
      <c r="I58" s="28" t="s">
        <v>10</v>
      </c>
      <c r="J58" s="36"/>
      <c r="K58" s="37"/>
      <c r="L58" s="38"/>
    </row>
    <row r="59" spans="2:12" ht="83.5" customHeight="1" x14ac:dyDescent="0.2">
      <c r="B59" s="144"/>
      <c r="C59" s="144"/>
      <c r="D59" s="182"/>
      <c r="E59" s="139"/>
      <c r="F59" s="140"/>
      <c r="G59" s="141" t="s">
        <v>2398</v>
      </c>
      <c r="H59" s="142"/>
      <c r="I59" s="28" t="s">
        <v>10</v>
      </c>
      <c r="J59" s="36"/>
      <c r="K59" s="37"/>
      <c r="L59" s="38"/>
    </row>
    <row r="222" spans="1:13" s="4" customFormat="1" x14ac:dyDescent="0.2">
      <c r="A222" s="1"/>
      <c r="B222" s="2"/>
      <c r="C222" s="3"/>
      <c r="D222" s="3"/>
      <c r="E222" s="3"/>
      <c r="G222" s="3"/>
      <c r="I222" s="6"/>
      <c r="J222" s="1"/>
      <c r="K222" s="30"/>
      <c r="L222" s="1"/>
      <c r="M222" s="1"/>
    </row>
    <row r="223" spans="1:13" s="4" customFormat="1" x14ac:dyDescent="0.2">
      <c r="A223" s="1"/>
      <c r="B223" s="2"/>
      <c r="C223" s="3"/>
      <c r="D223" s="3"/>
      <c r="E223" s="3"/>
      <c r="G223" s="79"/>
      <c r="I223" s="6"/>
      <c r="J223" s="1"/>
      <c r="K223" s="30"/>
      <c r="L223" s="1"/>
      <c r="M223" s="1"/>
    </row>
    <row r="224" spans="1:13" s="4" customFormat="1" x14ac:dyDescent="0.2">
      <c r="A224" s="1"/>
      <c r="B224" s="2"/>
      <c r="C224" s="3"/>
      <c r="D224" s="3"/>
      <c r="E224" s="3"/>
      <c r="G224" s="80"/>
      <c r="I224" s="6"/>
      <c r="J224" s="1"/>
      <c r="K224" s="30"/>
      <c r="L224" s="1"/>
      <c r="M224" s="1"/>
    </row>
    <row r="225" spans="1:13" s="4" customFormat="1" x14ac:dyDescent="0.2">
      <c r="A225" s="1"/>
      <c r="B225" s="2"/>
      <c r="C225" s="3"/>
      <c r="D225" s="3"/>
      <c r="E225" s="3"/>
      <c r="G225" s="81"/>
      <c r="I225" s="6"/>
      <c r="J225" s="1"/>
      <c r="K225" s="30"/>
      <c r="L225" s="1"/>
      <c r="M225" s="1"/>
    </row>
    <row r="226" spans="1:13" s="4" customFormat="1" x14ac:dyDescent="0.2">
      <c r="A226" s="1"/>
      <c r="B226" s="2"/>
      <c r="C226" s="3"/>
      <c r="D226" s="3"/>
      <c r="E226" s="3"/>
      <c r="G226" s="82"/>
      <c r="I226" s="6"/>
      <c r="J226" s="1"/>
      <c r="K226" s="30"/>
      <c r="L226" s="1"/>
      <c r="M226" s="1"/>
    </row>
    <row r="227" spans="1:13" s="4" customFormat="1" x14ac:dyDescent="0.2">
      <c r="A227" s="1"/>
      <c r="B227" s="2"/>
      <c r="C227" s="3"/>
      <c r="D227" s="3"/>
      <c r="E227" s="3"/>
      <c r="G227" s="79"/>
      <c r="I227" s="6"/>
      <c r="J227" s="1"/>
      <c r="K227" s="30"/>
      <c r="L227" s="1"/>
      <c r="M227" s="1"/>
    </row>
    <row r="231" spans="1:13" s="4" customFormat="1" x14ac:dyDescent="0.2">
      <c r="A231" s="1"/>
      <c r="B231" s="2"/>
      <c r="C231" s="3"/>
      <c r="D231" s="3"/>
      <c r="E231" s="3"/>
      <c r="G231" s="83"/>
      <c r="I231" s="6"/>
      <c r="J231" s="1"/>
      <c r="K231" s="30"/>
      <c r="L231" s="1"/>
      <c r="M231" s="1"/>
    </row>
    <row r="232" spans="1:13" s="4" customFormat="1" x14ac:dyDescent="0.2">
      <c r="A232" s="1"/>
      <c r="B232" s="2"/>
      <c r="C232" s="3"/>
      <c r="D232" s="3"/>
      <c r="E232" s="3"/>
      <c r="G232" s="84"/>
      <c r="I232" s="6"/>
      <c r="J232" s="1"/>
      <c r="K232" s="30"/>
      <c r="L232" s="1"/>
      <c r="M232" s="1"/>
    </row>
    <row r="233" spans="1:13" s="4" customFormat="1" x14ac:dyDescent="0.2">
      <c r="A233" s="1"/>
      <c r="B233" s="2"/>
      <c r="C233" s="3"/>
      <c r="D233" s="3"/>
      <c r="E233" s="3"/>
      <c r="G233" s="81"/>
      <c r="I233" s="6"/>
      <c r="J233" s="1"/>
      <c r="K233" s="30"/>
      <c r="L233" s="1"/>
      <c r="M233" s="1"/>
    </row>
    <row r="234" spans="1:13" s="4" customFormat="1" x14ac:dyDescent="0.2">
      <c r="A234" s="1"/>
      <c r="B234" s="2"/>
      <c r="C234" s="3"/>
      <c r="D234" s="3"/>
      <c r="E234" s="3"/>
      <c r="G234" s="81"/>
      <c r="I234" s="6"/>
      <c r="J234" s="1"/>
      <c r="K234" s="30"/>
      <c r="L234" s="1"/>
      <c r="M234" s="1"/>
    </row>
    <row r="235" spans="1:13" s="4" customFormat="1" x14ac:dyDescent="0.2">
      <c r="A235" s="1"/>
      <c r="B235" s="2"/>
      <c r="C235" s="3"/>
      <c r="D235" s="3"/>
      <c r="E235" s="3"/>
      <c r="G235" s="79"/>
      <c r="I235" s="6"/>
      <c r="J235" s="1"/>
      <c r="K235" s="30"/>
      <c r="L235" s="1"/>
      <c r="M235" s="1"/>
    </row>
    <row r="239" spans="1:13" s="4" customFormat="1" x14ac:dyDescent="0.2">
      <c r="A239" s="1"/>
      <c r="B239" s="2"/>
      <c r="C239" s="3"/>
      <c r="D239" s="3"/>
      <c r="E239" s="3"/>
      <c r="G239" s="83"/>
      <c r="I239" s="6"/>
      <c r="J239" s="1"/>
      <c r="K239" s="30"/>
      <c r="L239" s="1"/>
      <c r="M239" s="1"/>
    </row>
    <row r="240" spans="1:13" s="4" customFormat="1" x14ac:dyDescent="0.2">
      <c r="A240" s="1"/>
      <c r="B240" s="2"/>
      <c r="C240" s="3"/>
      <c r="D240" s="3"/>
      <c r="E240" s="3"/>
      <c r="G240" s="84"/>
      <c r="I240" s="6"/>
      <c r="J240" s="1"/>
      <c r="K240" s="30"/>
      <c r="L240" s="1"/>
      <c r="M240" s="1"/>
    </row>
    <row r="241" spans="1:13" s="4" customFormat="1" x14ac:dyDescent="0.2">
      <c r="A241" s="1"/>
      <c r="B241" s="2"/>
      <c r="C241" s="3"/>
      <c r="D241" s="3"/>
      <c r="E241" s="3"/>
      <c r="G241" s="81"/>
      <c r="I241" s="6"/>
      <c r="J241" s="1"/>
      <c r="K241" s="30"/>
      <c r="L241" s="1"/>
      <c r="M241" s="1"/>
    </row>
    <row r="242" spans="1:13" s="4" customFormat="1" x14ac:dyDescent="0.2">
      <c r="A242" s="1"/>
      <c r="B242" s="2"/>
      <c r="C242" s="3"/>
      <c r="D242" s="3"/>
      <c r="E242" s="3"/>
      <c r="G242" s="81"/>
      <c r="I242" s="6"/>
      <c r="J242" s="1"/>
      <c r="K242" s="30"/>
      <c r="L242" s="1"/>
      <c r="M242" s="1"/>
    </row>
    <row r="243" spans="1:13" s="4" customFormat="1" x14ac:dyDescent="0.2">
      <c r="A243" s="1"/>
      <c r="B243" s="2"/>
      <c r="C243" s="3"/>
      <c r="D243" s="3"/>
      <c r="E243" s="3"/>
      <c r="G243" s="83"/>
      <c r="I243" s="6"/>
      <c r="J243" s="1"/>
      <c r="K243" s="30"/>
      <c r="L243" s="1"/>
      <c r="M243" s="1"/>
    </row>
    <row r="244" spans="1:13" s="4" customFormat="1" x14ac:dyDescent="0.2">
      <c r="A244" s="1"/>
      <c r="B244" s="2"/>
      <c r="C244" s="3"/>
      <c r="D244" s="3"/>
      <c r="E244" s="3"/>
      <c r="G244" s="85"/>
      <c r="I244" s="6"/>
      <c r="J244" s="1"/>
      <c r="K244" s="30"/>
      <c r="L244" s="1"/>
      <c r="M244" s="1"/>
    </row>
    <row r="245" spans="1:13" s="4" customFormat="1" x14ac:dyDescent="0.2">
      <c r="A245" s="1"/>
      <c r="B245" s="2"/>
      <c r="C245" s="3"/>
      <c r="D245" s="3"/>
      <c r="E245" s="3"/>
      <c r="G245" s="86"/>
      <c r="I245" s="6"/>
      <c r="J245" s="1"/>
      <c r="K245" s="30"/>
      <c r="L245" s="1"/>
      <c r="M245" s="1"/>
    </row>
  </sheetData>
  <mergeCells count="57">
    <mergeCell ref="G54:H54"/>
    <mergeCell ref="G55:H55"/>
    <mergeCell ref="G56:H56"/>
    <mergeCell ref="E57:F59"/>
    <mergeCell ref="G57:H57"/>
    <mergeCell ref="G58:H58"/>
    <mergeCell ref="G59:H59"/>
    <mergeCell ref="G48:H48"/>
    <mergeCell ref="G49:H49"/>
    <mergeCell ref="G50:H50"/>
    <mergeCell ref="E51:F53"/>
    <mergeCell ref="G51:H51"/>
    <mergeCell ref="G52:H52"/>
    <mergeCell ref="G53:H53"/>
    <mergeCell ref="B54:B56"/>
    <mergeCell ref="C54:C56"/>
    <mergeCell ref="D54:D56"/>
    <mergeCell ref="E54:F56"/>
    <mergeCell ref="B57:B59"/>
    <mergeCell ref="C57:C59"/>
    <mergeCell ref="D57:D59"/>
    <mergeCell ref="B48:B50"/>
    <mergeCell ref="C48:C50"/>
    <mergeCell ref="D48:D50"/>
    <mergeCell ref="E48:F50"/>
    <mergeCell ref="B51:B53"/>
    <mergeCell ref="C51:C53"/>
    <mergeCell ref="D51:D53"/>
    <mergeCell ref="G47:H47"/>
    <mergeCell ref="B27:B33"/>
    <mergeCell ref="C27:C33"/>
    <mergeCell ref="D27:D33"/>
    <mergeCell ref="E27:E33"/>
    <mergeCell ref="B34:B39"/>
    <mergeCell ref="C34:C39"/>
    <mergeCell ref="D34:D39"/>
    <mergeCell ref="E34:E39"/>
    <mergeCell ref="B40:B45"/>
    <mergeCell ref="C40:C45"/>
    <mergeCell ref="D40:D45"/>
    <mergeCell ref="E40:E45"/>
    <mergeCell ref="E47:F47"/>
    <mergeCell ref="B21:B26"/>
    <mergeCell ref="C21:C26"/>
    <mergeCell ref="D21:D26"/>
    <mergeCell ref="E21:E26"/>
    <mergeCell ref="B2:J2"/>
    <mergeCell ref="B4:J4"/>
    <mergeCell ref="B6:H8"/>
    <mergeCell ref="I6:J6"/>
    <mergeCell ref="I7:J8"/>
    <mergeCell ref="C10:J10"/>
    <mergeCell ref="C11:J11"/>
    <mergeCell ref="B14:B20"/>
    <mergeCell ref="C14:C20"/>
    <mergeCell ref="D14:D20"/>
    <mergeCell ref="E14:E20"/>
  </mergeCells>
  <conditionalFormatting sqref="I1 I60:I1048576">
    <cfRule type="cellIs" dxfId="211" priority="18" operator="equal">
      <formula>1</formula>
    </cfRule>
  </conditionalFormatting>
  <conditionalFormatting sqref="I7">
    <cfRule type="cellIs" dxfId="210" priority="17" operator="equal">
      <formula>1</formula>
    </cfRule>
  </conditionalFormatting>
  <conditionalFormatting sqref="I14:I45">
    <cfRule type="expression" dxfId="19" priority="5" stopIfTrue="1">
      <formula>TRIM(UPPER(I14))="N/A"</formula>
    </cfRule>
    <cfRule type="expression" dxfId="18" priority="6">
      <formula>I14&gt;=0.9</formula>
    </cfRule>
    <cfRule type="expression" dxfId="17" priority="7">
      <formula>AND(I14&gt;=0.8, I14&lt;0.9)</formula>
    </cfRule>
    <cfRule type="expression" dxfId="16" priority="8">
      <formula>I14&lt;0.8</formula>
    </cfRule>
  </conditionalFormatting>
  <conditionalFormatting sqref="I48:I59">
    <cfRule type="expression" dxfId="15" priority="1" stopIfTrue="1">
      <formula>TRIM(UPPER(I48))="N/A"</formula>
    </cfRule>
    <cfRule type="expression" dxfId="14" priority="2">
      <formula>I48&gt;=0.9</formula>
    </cfRule>
    <cfRule type="expression" dxfId="13" priority="3">
      <formula>AND(I48&gt;=0.8, I48&lt;0.9)</formula>
    </cfRule>
    <cfRule type="expression" dxfId="12" priority="4">
      <formula>I48&lt;0.8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63FCD13-243D-D545-B7BE-E882A14321CD}">
          <x14:formula1>
            <xm:f>'Listas desplegables'!$C$4:$C$15</xm:f>
          </x14:formula1>
          <xm:sqref>I48:I59 I14:I45</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69180-874B-7B4A-83AE-A2A6944FFBFF}">
  <sheetPr>
    <tabColor rgb="FF0993A5"/>
  </sheetPr>
  <dimension ref="A1:M239"/>
  <sheetViews>
    <sheetView topLeftCell="A30" zoomScale="80" zoomScaleNormal="80" workbookViewId="0">
      <selection activeCell="E72" sqref="E72"/>
    </sheetView>
  </sheetViews>
  <sheetFormatPr baseColWidth="10" defaultColWidth="10.6640625" defaultRowHeight="14" x14ac:dyDescent="0.2"/>
  <cols>
    <col min="1" max="1" width="0.6640625" style="1" customWidth="1"/>
    <col min="2" max="2" width="20.83203125" style="2" customWidth="1"/>
    <col min="3" max="3" width="20.83203125" style="3" customWidth="1"/>
    <col min="4" max="5" width="30.83203125" style="3" customWidth="1"/>
    <col min="6" max="6" width="40.83203125" style="4" customWidth="1"/>
    <col min="7" max="7" width="12.83203125" style="2" customWidth="1"/>
    <col min="8" max="8" width="54.83203125" style="4" customWidth="1"/>
    <col min="9" max="9" width="15.83203125" style="6" customWidth="1"/>
    <col min="10" max="10" width="31.83203125" style="1" customWidth="1"/>
    <col min="11" max="11" width="15.83203125" style="30" customWidth="1"/>
    <col min="12" max="12" width="31.83203125" style="1" customWidth="1"/>
    <col min="13" max="13" width="17.6640625" style="1" customWidth="1"/>
    <col min="14" max="16384" width="10.6640625" style="1"/>
  </cols>
  <sheetData>
    <row r="1" spans="2:12" ht="5.25" customHeight="1" x14ac:dyDescent="0.2"/>
    <row r="2" spans="2:12" ht="60" customHeight="1" x14ac:dyDescent="0.2">
      <c r="B2" s="155" t="s">
        <v>28</v>
      </c>
      <c r="C2" s="155"/>
      <c r="D2" s="155"/>
      <c r="E2" s="155"/>
      <c r="F2" s="155"/>
      <c r="G2" s="155"/>
      <c r="H2" s="155"/>
      <c r="I2" s="155"/>
      <c r="J2" s="156"/>
    </row>
    <row r="3" spans="2:12" s="13" customFormat="1" ht="4.5" customHeight="1" x14ac:dyDescent="0.2">
      <c r="B3" s="14"/>
      <c r="C3" s="14"/>
      <c r="D3" s="14"/>
      <c r="E3" s="14"/>
      <c r="F3" s="14"/>
      <c r="G3" s="45"/>
      <c r="H3" s="14"/>
      <c r="I3" s="14"/>
      <c r="K3" s="31"/>
    </row>
    <row r="4" spans="2:12" s="2" customFormat="1" ht="45" customHeight="1" x14ac:dyDescent="0.2">
      <c r="B4" s="194" t="s">
        <v>2106</v>
      </c>
      <c r="C4" s="158"/>
      <c r="D4" s="158"/>
      <c r="E4" s="158"/>
      <c r="F4" s="158"/>
      <c r="G4" s="158"/>
      <c r="H4" s="158"/>
      <c r="I4" s="158"/>
      <c r="J4" s="159"/>
      <c r="K4" s="32"/>
    </row>
    <row r="5" spans="2:12" ht="4.5" customHeight="1" x14ac:dyDescent="0.2">
      <c r="B5" s="7"/>
      <c r="C5" s="7"/>
      <c r="D5" s="7"/>
      <c r="E5" s="7"/>
      <c r="F5" s="8"/>
      <c r="G5" s="46"/>
      <c r="H5" s="8"/>
      <c r="I5" s="8"/>
      <c r="J5" s="8"/>
    </row>
    <row r="6" spans="2:12" ht="23" customHeight="1" x14ac:dyDescent="0.2">
      <c r="B6" s="160" t="s">
        <v>12</v>
      </c>
      <c r="C6" s="160"/>
      <c r="D6" s="160"/>
      <c r="E6" s="160"/>
      <c r="F6" s="160"/>
      <c r="G6" s="160"/>
      <c r="H6" s="160"/>
      <c r="I6" s="162" t="s">
        <v>11</v>
      </c>
      <c r="J6" s="108"/>
      <c r="K6" s="8"/>
      <c r="L6" s="30"/>
    </row>
    <row r="7" spans="2:12" ht="15.75" customHeight="1" x14ac:dyDescent="0.2">
      <c r="B7" s="160"/>
      <c r="C7" s="160"/>
      <c r="D7" s="160"/>
      <c r="E7" s="160"/>
      <c r="F7" s="160"/>
      <c r="G7" s="160"/>
      <c r="H7" s="160"/>
      <c r="I7" s="163" t="e">
        <f>AVERAGEIF(I14:I41,"&lt;&gt;N/A")</f>
        <v>#DIV/0!</v>
      </c>
      <c r="J7" s="164"/>
      <c r="K7" s="8"/>
      <c r="L7" s="30"/>
    </row>
    <row r="8" spans="2:12" ht="15.75" customHeight="1" x14ac:dyDescent="0.2">
      <c r="B8" s="161"/>
      <c r="C8" s="161"/>
      <c r="D8" s="161"/>
      <c r="E8" s="161"/>
      <c r="F8" s="161"/>
      <c r="G8" s="161"/>
      <c r="H8" s="161"/>
      <c r="I8" s="163"/>
      <c r="J8" s="164"/>
      <c r="K8" s="8"/>
      <c r="L8" s="30"/>
    </row>
    <row r="9" spans="2:12" ht="5.25" customHeight="1" x14ac:dyDescent="0.2">
      <c r="F9" s="5"/>
      <c r="G9" s="47"/>
    </row>
    <row r="10" spans="2:12" ht="118" customHeight="1" x14ac:dyDescent="0.2">
      <c r="B10" s="40" t="s">
        <v>13</v>
      </c>
      <c r="C10" s="147" t="s">
        <v>2107</v>
      </c>
      <c r="D10" s="148"/>
      <c r="E10" s="148"/>
      <c r="F10" s="148"/>
      <c r="G10" s="148"/>
      <c r="H10" s="148"/>
      <c r="I10" s="148"/>
      <c r="J10" s="149"/>
    </row>
    <row r="11" spans="2:12" ht="61" customHeight="1" x14ac:dyDescent="0.2">
      <c r="B11" s="39" t="s">
        <v>14</v>
      </c>
      <c r="C11" s="150" t="s">
        <v>2108</v>
      </c>
      <c r="D11" s="150"/>
      <c r="E11" s="150"/>
      <c r="F11" s="150"/>
      <c r="G11" s="150"/>
      <c r="H11" s="150"/>
      <c r="I11" s="150"/>
      <c r="J11" s="150"/>
    </row>
    <row r="12" spans="2:12" ht="5.25" customHeight="1" x14ac:dyDescent="0.2"/>
    <row r="13" spans="2:12" s="73" customFormat="1" ht="32" x14ac:dyDescent="0.2">
      <c r="B13" s="69" t="s">
        <v>34</v>
      </c>
      <c r="C13" s="69" t="s">
        <v>15</v>
      </c>
      <c r="D13" s="69" t="s">
        <v>108</v>
      </c>
      <c r="E13" s="69" t="s">
        <v>109</v>
      </c>
      <c r="F13" s="70" t="s">
        <v>32</v>
      </c>
      <c r="G13" s="69" t="s">
        <v>40</v>
      </c>
      <c r="H13" s="70" t="s">
        <v>16</v>
      </c>
      <c r="I13" s="71" t="s">
        <v>8</v>
      </c>
      <c r="J13" s="69" t="s">
        <v>17</v>
      </c>
      <c r="K13" s="72" t="s">
        <v>44</v>
      </c>
      <c r="L13" s="69" t="s">
        <v>45</v>
      </c>
    </row>
    <row r="14" spans="2:12" ht="83" customHeight="1" x14ac:dyDescent="0.2">
      <c r="B14" s="151" t="s">
        <v>104</v>
      </c>
      <c r="C14" s="151" t="s">
        <v>19</v>
      </c>
      <c r="D14" s="153" t="s">
        <v>2109</v>
      </c>
      <c r="E14" s="177" t="s">
        <v>2110</v>
      </c>
      <c r="F14" s="78" t="s">
        <v>2111</v>
      </c>
      <c r="G14" s="12" t="s">
        <v>36</v>
      </c>
      <c r="H14" s="34" t="s">
        <v>2416</v>
      </c>
      <c r="I14" s="28" t="s">
        <v>10</v>
      </c>
      <c r="J14" s="11"/>
      <c r="K14" s="33"/>
      <c r="L14" s="29"/>
    </row>
    <row r="15" spans="2:12" ht="67" customHeight="1" x14ac:dyDescent="0.2">
      <c r="B15" s="152"/>
      <c r="C15" s="152"/>
      <c r="D15" s="154"/>
      <c r="E15" s="178"/>
      <c r="F15" s="78" t="s">
        <v>2112</v>
      </c>
      <c r="G15" s="12" t="s">
        <v>39</v>
      </c>
      <c r="H15" s="34" t="s">
        <v>2113</v>
      </c>
      <c r="I15" s="28" t="s">
        <v>10</v>
      </c>
      <c r="J15" s="11"/>
      <c r="K15" s="33"/>
      <c r="L15" s="29"/>
    </row>
    <row r="16" spans="2:12" ht="80" customHeight="1" x14ac:dyDescent="0.2">
      <c r="B16" s="152"/>
      <c r="C16" s="152"/>
      <c r="D16" s="154"/>
      <c r="E16" s="178"/>
      <c r="F16" s="78" t="s">
        <v>2114</v>
      </c>
      <c r="G16" s="12" t="s">
        <v>39</v>
      </c>
      <c r="H16" s="34" t="s">
        <v>2417</v>
      </c>
      <c r="I16" s="28" t="s">
        <v>10</v>
      </c>
      <c r="J16" s="11"/>
      <c r="K16" s="33"/>
      <c r="L16" s="29"/>
    </row>
    <row r="17" spans="2:12" ht="73" customHeight="1" x14ac:dyDescent="0.2">
      <c r="B17" s="152"/>
      <c r="C17" s="152"/>
      <c r="D17" s="154"/>
      <c r="E17" s="178"/>
      <c r="F17" s="78" t="s">
        <v>2115</v>
      </c>
      <c r="G17" s="12" t="s">
        <v>37</v>
      </c>
      <c r="H17" s="34" t="s">
        <v>2418</v>
      </c>
      <c r="I17" s="28" t="s">
        <v>10</v>
      </c>
      <c r="J17" s="11"/>
      <c r="K17" s="33"/>
      <c r="L17" s="29"/>
    </row>
    <row r="18" spans="2:12" ht="54" customHeight="1" x14ac:dyDescent="0.2">
      <c r="B18" s="152"/>
      <c r="C18" s="152"/>
      <c r="D18" s="154"/>
      <c r="E18" s="178"/>
      <c r="F18" s="78" t="s">
        <v>2116</v>
      </c>
      <c r="G18" s="12" t="s">
        <v>631</v>
      </c>
      <c r="H18" s="34" t="s">
        <v>2419</v>
      </c>
      <c r="I18" s="28" t="s">
        <v>10</v>
      </c>
      <c r="J18" s="11"/>
      <c r="K18" s="33"/>
      <c r="L18" s="29"/>
    </row>
    <row r="19" spans="2:12" ht="54" customHeight="1" x14ac:dyDescent="0.2">
      <c r="B19" s="152"/>
      <c r="C19" s="152"/>
      <c r="D19" s="154"/>
      <c r="E19" s="178"/>
      <c r="F19" s="78" t="s">
        <v>2117</v>
      </c>
      <c r="G19" s="12" t="s">
        <v>844</v>
      </c>
      <c r="H19" s="34" t="s">
        <v>2118</v>
      </c>
      <c r="I19" s="28" t="s">
        <v>10</v>
      </c>
      <c r="J19" s="11"/>
      <c r="K19" s="33"/>
      <c r="L19" s="29"/>
    </row>
    <row r="20" spans="2:12" ht="77" customHeight="1" x14ac:dyDescent="0.2">
      <c r="B20" s="143" t="s">
        <v>104</v>
      </c>
      <c r="C20" s="143" t="s">
        <v>20</v>
      </c>
      <c r="D20" s="145" t="s">
        <v>2119</v>
      </c>
      <c r="E20" s="181" t="s">
        <v>2120</v>
      </c>
      <c r="F20" s="23" t="s">
        <v>2121</v>
      </c>
      <c r="G20" s="41" t="s">
        <v>2122</v>
      </c>
      <c r="H20" s="35" t="s">
        <v>2123</v>
      </c>
      <c r="I20" s="28" t="s">
        <v>10</v>
      </c>
      <c r="J20" s="36"/>
      <c r="K20" s="37"/>
      <c r="L20" s="38"/>
    </row>
    <row r="21" spans="2:12" ht="54" customHeight="1" x14ac:dyDescent="0.2">
      <c r="B21" s="144"/>
      <c r="C21" s="144"/>
      <c r="D21" s="146"/>
      <c r="E21" s="182"/>
      <c r="F21" s="35" t="s">
        <v>2124</v>
      </c>
      <c r="G21" s="41" t="s">
        <v>2122</v>
      </c>
      <c r="H21" s="35" t="s">
        <v>2125</v>
      </c>
      <c r="I21" s="28" t="s">
        <v>10</v>
      </c>
      <c r="J21" s="36"/>
      <c r="K21" s="37"/>
      <c r="L21" s="38"/>
    </row>
    <row r="22" spans="2:12" ht="54" customHeight="1" x14ac:dyDescent="0.2">
      <c r="B22" s="144"/>
      <c r="C22" s="144"/>
      <c r="D22" s="146"/>
      <c r="E22" s="182"/>
      <c r="F22" s="23" t="s">
        <v>2126</v>
      </c>
      <c r="G22" s="41" t="s">
        <v>2122</v>
      </c>
      <c r="H22" s="35" t="s">
        <v>2127</v>
      </c>
      <c r="I22" s="28" t="s">
        <v>10</v>
      </c>
      <c r="J22" s="36"/>
      <c r="K22" s="37"/>
      <c r="L22" s="38"/>
    </row>
    <row r="23" spans="2:12" ht="54" customHeight="1" x14ac:dyDescent="0.2">
      <c r="B23" s="144"/>
      <c r="C23" s="144"/>
      <c r="D23" s="146"/>
      <c r="E23" s="182"/>
      <c r="F23" s="23" t="s">
        <v>2128</v>
      </c>
      <c r="G23" s="41" t="s">
        <v>36</v>
      </c>
      <c r="H23" s="35" t="s">
        <v>2129</v>
      </c>
      <c r="I23" s="28" t="s">
        <v>10</v>
      </c>
      <c r="J23" s="36"/>
      <c r="K23" s="37"/>
      <c r="L23" s="38"/>
    </row>
    <row r="24" spans="2:12" ht="54" customHeight="1" x14ac:dyDescent="0.2">
      <c r="B24" s="144"/>
      <c r="C24" s="144"/>
      <c r="D24" s="146"/>
      <c r="E24" s="182"/>
      <c r="F24" s="23" t="s">
        <v>2130</v>
      </c>
      <c r="G24" s="41" t="s">
        <v>2122</v>
      </c>
      <c r="H24" s="35" t="s">
        <v>2131</v>
      </c>
      <c r="I24" s="28" t="s">
        <v>10</v>
      </c>
      <c r="J24" s="36"/>
      <c r="K24" s="37"/>
      <c r="L24" s="38"/>
    </row>
    <row r="25" spans="2:12" ht="74" customHeight="1" x14ac:dyDescent="0.2">
      <c r="B25" s="151" t="s">
        <v>104</v>
      </c>
      <c r="C25" s="151" t="s">
        <v>21</v>
      </c>
      <c r="D25" s="177" t="s">
        <v>2132</v>
      </c>
      <c r="E25" s="177" t="s">
        <v>2133</v>
      </c>
      <c r="F25" s="22" t="s">
        <v>2134</v>
      </c>
      <c r="G25" s="12" t="s">
        <v>1244</v>
      </c>
      <c r="H25" s="34" t="s">
        <v>2415</v>
      </c>
      <c r="I25" s="28" t="s">
        <v>10</v>
      </c>
      <c r="J25" s="11"/>
      <c r="K25" s="33"/>
      <c r="L25" s="29"/>
    </row>
    <row r="26" spans="2:12" ht="54" customHeight="1" x14ac:dyDescent="0.2">
      <c r="B26" s="152"/>
      <c r="C26" s="152"/>
      <c r="D26" s="178"/>
      <c r="E26" s="178"/>
      <c r="F26" s="22" t="s">
        <v>2135</v>
      </c>
      <c r="G26" s="12" t="s">
        <v>36</v>
      </c>
      <c r="H26" s="34" t="s">
        <v>2414</v>
      </c>
      <c r="I26" s="28" t="s">
        <v>10</v>
      </c>
      <c r="J26" s="11"/>
      <c r="K26" s="33"/>
      <c r="L26" s="29"/>
    </row>
    <row r="27" spans="2:12" ht="54" customHeight="1" x14ac:dyDescent="0.2">
      <c r="B27" s="152"/>
      <c r="C27" s="152"/>
      <c r="D27" s="178"/>
      <c r="E27" s="178"/>
      <c r="F27" s="22" t="s">
        <v>2136</v>
      </c>
      <c r="G27" s="12" t="s">
        <v>631</v>
      </c>
      <c r="H27" s="34" t="s">
        <v>2137</v>
      </c>
      <c r="I27" s="28" t="s">
        <v>10</v>
      </c>
      <c r="J27" s="11"/>
      <c r="K27" s="33"/>
      <c r="L27" s="29"/>
    </row>
    <row r="28" spans="2:12" ht="57" customHeight="1" x14ac:dyDescent="0.2">
      <c r="B28" s="152"/>
      <c r="C28" s="152"/>
      <c r="D28" s="178"/>
      <c r="E28" s="178"/>
      <c r="F28" s="22" t="s">
        <v>2138</v>
      </c>
      <c r="G28" s="12" t="s">
        <v>844</v>
      </c>
      <c r="H28" s="34" t="s">
        <v>2139</v>
      </c>
      <c r="I28" s="28" t="s">
        <v>10</v>
      </c>
      <c r="J28" s="11"/>
      <c r="K28" s="33"/>
      <c r="L28" s="29"/>
    </row>
    <row r="29" spans="2:12" ht="68" customHeight="1" x14ac:dyDescent="0.2">
      <c r="B29" s="152"/>
      <c r="C29" s="152"/>
      <c r="D29" s="178"/>
      <c r="E29" s="178"/>
      <c r="F29" s="22" t="s">
        <v>2140</v>
      </c>
      <c r="G29" s="12" t="s">
        <v>39</v>
      </c>
      <c r="H29" s="34" t="s">
        <v>2413</v>
      </c>
      <c r="I29" s="28" t="s">
        <v>10</v>
      </c>
      <c r="J29" s="11"/>
      <c r="K29" s="33"/>
      <c r="L29" s="29"/>
    </row>
    <row r="30" spans="2:12" ht="54" customHeight="1" x14ac:dyDescent="0.2">
      <c r="B30" s="152"/>
      <c r="C30" s="152"/>
      <c r="D30" s="178"/>
      <c r="E30" s="178"/>
      <c r="F30" s="22" t="s">
        <v>2141</v>
      </c>
      <c r="G30" s="12" t="s">
        <v>844</v>
      </c>
      <c r="H30" s="34" t="s">
        <v>2412</v>
      </c>
      <c r="I30" s="28" t="s">
        <v>10</v>
      </c>
      <c r="J30" s="11"/>
      <c r="K30" s="33"/>
      <c r="L30" s="29"/>
    </row>
    <row r="31" spans="2:12" ht="54" customHeight="1" x14ac:dyDescent="0.2">
      <c r="B31" s="143" t="s">
        <v>104</v>
      </c>
      <c r="C31" s="143" t="s">
        <v>23</v>
      </c>
      <c r="D31" s="181" t="s">
        <v>2142</v>
      </c>
      <c r="E31" s="181" t="s">
        <v>2143</v>
      </c>
      <c r="F31" s="23" t="s">
        <v>949</v>
      </c>
      <c r="G31" s="41" t="s">
        <v>36</v>
      </c>
      <c r="H31" s="35" t="s">
        <v>2411</v>
      </c>
      <c r="I31" s="28" t="s">
        <v>10</v>
      </c>
      <c r="J31" s="36"/>
      <c r="K31" s="37"/>
      <c r="L31" s="38"/>
    </row>
    <row r="32" spans="2:12" ht="54" customHeight="1" x14ac:dyDescent="0.2">
      <c r="B32" s="144"/>
      <c r="C32" s="144"/>
      <c r="D32" s="182"/>
      <c r="E32" s="182"/>
      <c r="F32" s="23" t="s">
        <v>2144</v>
      </c>
      <c r="G32" s="41" t="s">
        <v>39</v>
      </c>
      <c r="H32" s="35" t="s">
        <v>2407</v>
      </c>
      <c r="I32" s="28" t="s">
        <v>10</v>
      </c>
      <c r="J32" s="36"/>
      <c r="K32" s="37"/>
      <c r="L32" s="38"/>
    </row>
    <row r="33" spans="2:12" ht="78" customHeight="1" x14ac:dyDescent="0.2">
      <c r="B33" s="144"/>
      <c r="C33" s="144"/>
      <c r="D33" s="182"/>
      <c r="E33" s="182"/>
      <c r="F33" s="23" t="s">
        <v>2145</v>
      </c>
      <c r="G33" s="41" t="s">
        <v>844</v>
      </c>
      <c r="H33" s="35" t="s">
        <v>2410</v>
      </c>
      <c r="I33" s="28" t="s">
        <v>10</v>
      </c>
      <c r="J33" s="36"/>
      <c r="K33" s="37"/>
      <c r="L33" s="38"/>
    </row>
    <row r="34" spans="2:12" ht="54" customHeight="1" x14ac:dyDescent="0.2">
      <c r="B34" s="144"/>
      <c r="C34" s="144"/>
      <c r="D34" s="182"/>
      <c r="E34" s="182"/>
      <c r="F34" s="23" t="s">
        <v>2146</v>
      </c>
      <c r="G34" s="41" t="s">
        <v>36</v>
      </c>
      <c r="H34" s="35" t="s">
        <v>2409</v>
      </c>
      <c r="I34" s="28" t="s">
        <v>10</v>
      </c>
      <c r="J34" s="36"/>
      <c r="K34" s="37"/>
      <c r="L34" s="38"/>
    </row>
    <row r="35" spans="2:12" ht="54" customHeight="1" x14ac:dyDescent="0.2">
      <c r="B35" s="144"/>
      <c r="C35" s="144"/>
      <c r="D35" s="182"/>
      <c r="E35" s="182"/>
      <c r="F35" s="23" t="s">
        <v>2147</v>
      </c>
      <c r="G35" s="41" t="s">
        <v>36</v>
      </c>
      <c r="H35" s="35" t="s">
        <v>2148</v>
      </c>
      <c r="I35" s="28" t="s">
        <v>10</v>
      </c>
      <c r="J35" s="36"/>
      <c r="K35" s="37"/>
      <c r="L35" s="38"/>
    </row>
    <row r="36" spans="2:12" ht="54" customHeight="1" x14ac:dyDescent="0.2">
      <c r="B36" s="144"/>
      <c r="C36" s="144"/>
      <c r="D36" s="182"/>
      <c r="E36" s="182"/>
      <c r="F36" s="23" t="s">
        <v>2149</v>
      </c>
      <c r="G36" s="41" t="s">
        <v>36</v>
      </c>
      <c r="H36" s="35" t="s">
        <v>2408</v>
      </c>
      <c r="I36" s="28" t="s">
        <v>10</v>
      </c>
      <c r="J36" s="36"/>
      <c r="K36" s="37"/>
      <c r="L36" s="38"/>
    </row>
    <row r="37" spans="2:12" ht="5.25" customHeight="1" x14ac:dyDescent="0.2"/>
    <row r="38" spans="2:12" ht="31" customHeight="1" x14ac:dyDescent="0.2">
      <c r="B38" s="69" t="s">
        <v>34</v>
      </c>
      <c r="C38" s="69" t="s">
        <v>258</v>
      </c>
      <c r="D38" s="69" t="s">
        <v>259</v>
      </c>
      <c r="E38" s="169" t="s">
        <v>32</v>
      </c>
      <c r="F38" s="170"/>
      <c r="G38" s="169" t="s">
        <v>16</v>
      </c>
      <c r="H38" s="170"/>
      <c r="I38" s="71" t="s">
        <v>8</v>
      </c>
      <c r="J38" s="69" t="s">
        <v>17</v>
      </c>
      <c r="K38" s="72" t="s">
        <v>44</v>
      </c>
      <c r="L38" s="69" t="s">
        <v>45</v>
      </c>
    </row>
    <row r="39" spans="2:12" ht="79.75" customHeight="1" x14ac:dyDescent="0.2">
      <c r="B39" s="151" t="s">
        <v>104</v>
      </c>
      <c r="C39" s="151" t="s">
        <v>260</v>
      </c>
      <c r="D39" s="177" t="s">
        <v>2150</v>
      </c>
      <c r="E39" s="129" t="s">
        <v>2393</v>
      </c>
      <c r="F39" s="130"/>
      <c r="G39" s="127" t="s">
        <v>2406</v>
      </c>
      <c r="H39" s="128"/>
      <c r="I39" s="28" t="s">
        <v>10</v>
      </c>
      <c r="J39" s="11"/>
      <c r="K39" s="33"/>
      <c r="L39" s="29"/>
    </row>
    <row r="40" spans="2:12" ht="79.75" customHeight="1" x14ac:dyDescent="0.2">
      <c r="B40" s="152"/>
      <c r="C40" s="152"/>
      <c r="D40" s="178"/>
      <c r="E40" s="131"/>
      <c r="F40" s="132"/>
      <c r="G40" s="127" t="s">
        <v>2151</v>
      </c>
      <c r="H40" s="128"/>
      <c r="I40" s="28" t="s">
        <v>10</v>
      </c>
      <c r="J40" s="11"/>
      <c r="K40" s="33"/>
      <c r="L40" s="29"/>
    </row>
    <row r="41" spans="2:12" ht="79.75" customHeight="1" x14ac:dyDescent="0.2">
      <c r="B41" s="173"/>
      <c r="C41" s="173"/>
      <c r="D41" s="179"/>
      <c r="E41" s="133"/>
      <c r="F41" s="134"/>
      <c r="G41" s="127" t="s">
        <v>2152</v>
      </c>
      <c r="H41" s="128"/>
      <c r="I41" s="28" t="s">
        <v>10</v>
      </c>
      <c r="J41" s="11"/>
      <c r="K41" s="33"/>
      <c r="L41" s="29"/>
    </row>
    <row r="42" spans="2:12" ht="83.5" customHeight="1" x14ac:dyDescent="0.2">
      <c r="B42" s="143" t="s">
        <v>104</v>
      </c>
      <c r="C42" s="143" t="s">
        <v>261</v>
      </c>
      <c r="D42" s="181" t="s">
        <v>2153</v>
      </c>
      <c r="E42" s="135" t="s">
        <v>2394</v>
      </c>
      <c r="F42" s="136"/>
      <c r="G42" s="141" t="s">
        <v>2154</v>
      </c>
      <c r="H42" s="142"/>
      <c r="I42" s="28" t="s">
        <v>10</v>
      </c>
      <c r="J42" s="36"/>
      <c r="K42" s="37"/>
      <c r="L42" s="38"/>
    </row>
    <row r="43" spans="2:12" ht="83.5" customHeight="1" x14ac:dyDescent="0.2">
      <c r="B43" s="144"/>
      <c r="C43" s="144"/>
      <c r="D43" s="182"/>
      <c r="E43" s="137"/>
      <c r="F43" s="138"/>
      <c r="G43" s="141" t="s">
        <v>2155</v>
      </c>
      <c r="H43" s="142"/>
      <c r="I43" s="28" t="s">
        <v>10</v>
      </c>
      <c r="J43" s="36"/>
      <c r="K43" s="37"/>
      <c r="L43" s="38"/>
    </row>
    <row r="44" spans="2:12" ht="83.5" customHeight="1" x14ac:dyDescent="0.2">
      <c r="B44" s="144"/>
      <c r="C44" s="144"/>
      <c r="D44" s="182"/>
      <c r="E44" s="139"/>
      <c r="F44" s="140"/>
      <c r="G44" s="141" t="s">
        <v>2405</v>
      </c>
      <c r="H44" s="142"/>
      <c r="I44" s="28" t="s">
        <v>10</v>
      </c>
      <c r="J44" s="36"/>
      <c r="K44" s="37"/>
      <c r="L44" s="38"/>
    </row>
    <row r="45" spans="2:12" ht="79.75" customHeight="1" x14ac:dyDescent="0.2">
      <c r="B45" s="151" t="s">
        <v>104</v>
      </c>
      <c r="C45" s="151" t="s">
        <v>262</v>
      </c>
      <c r="D45" s="177" t="s">
        <v>2156</v>
      </c>
      <c r="E45" s="129" t="s">
        <v>2390</v>
      </c>
      <c r="F45" s="130"/>
      <c r="G45" s="127" t="s">
        <v>2157</v>
      </c>
      <c r="H45" s="128"/>
      <c r="I45" s="28" t="s">
        <v>10</v>
      </c>
      <c r="J45" s="11"/>
      <c r="K45" s="33"/>
      <c r="L45" s="29"/>
    </row>
    <row r="46" spans="2:12" ht="79.75" customHeight="1" x14ac:dyDescent="0.2">
      <c r="B46" s="152"/>
      <c r="C46" s="152"/>
      <c r="D46" s="178"/>
      <c r="E46" s="131"/>
      <c r="F46" s="132"/>
      <c r="G46" s="127" t="s">
        <v>2158</v>
      </c>
      <c r="H46" s="128"/>
      <c r="I46" s="28" t="s">
        <v>10</v>
      </c>
      <c r="J46" s="11"/>
      <c r="K46" s="33"/>
      <c r="L46" s="29"/>
    </row>
    <row r="47" spans="2:12" ht="79.75" customHeight="1" x14ac:dyDescent="0.2">
      <c r="B47" s="173"/>
      <c r="C47" s="173"/>
      <c r="D47" s="179"/>
      <c r="E47" s="133"/>
      <c r="F47" s="134"/>
      <c r="G47" s="127" t="s">
        <v>2159</v>
      </c>
      <c r="H47" s="128"/>
      <c r="I47" s="28" t="s">
        <v>10</v>
      </c>
      <c r="J47" s="11"/>
      <c r="K47" s="33"/>
      <c r="L47" s="29"/>
    </row>
    <row r="48" spans="2:12" ht="83.5" customHeight="1" x14ac:dyDescent="0.2">
      <c r="B48" s="143" t="s">
        <v>104</v>
      </c>
      <c r="C48" s="143" t="s">
        <v>263</v>
      </c>
      <c r="D48" s="181" t="s">
        <v>2397</v>
      </c>
      <c r="E48" s="135" t="s">
        <v>2389</v>
      </c>
      <c r="F48" s="136"/>
      <c r="G48" s="141" t="s">
        <v>2404</v>
      </c>
      <c r="H48" s="142"/>
      <c r="I48" s="28" t="s">
        <v>10</v>
      </c>
      <c r="J48" s="36"/>
      <c r="K48" s="37"/>
      <c r="L48" s="38"/>
    </row>
    <row r="49" spans="2:12" ht="83.5" customHeight="1" x14ac:dyDescent="0.2">
      <c r="B49" s="144"/>
      <c r="C49" s="144"/>
      <c r="D49" s="182"/>
      <c r="E49" s="137"/>
      <c r="F49" s="138"/>
      <c r="G49" s="141" t="s">
        <v>2160</v>
      </c>
      <c r="H49" s="142"/>
      <c r="I49" s="28" t="s">
        <v>10</v>
      </c>
      <c r="J49" s="36"/>
      <c r="K49" s="37"/>
      <c r="L49" s="38"/>
    </row>
    <row r="50" spans="2:12" ht="83.5" customHeight="1" x14ac:dyDescent="0.2">
      <c r="B50" s="144"/>
      <c r="C50" s="144"/>
      <c r="D50" s="182"/>
      <c r="E50" s="139"/>
      <c r="F50" s="140"/>
      <c r="G50" s="141" t="s">
        <v>2161</v>
      </c>
      <c r="H50" s="142"/>
      <c r="I50" s="28" t="s">
        <v>10</v>
      </c>
      <c r="J50" s="36"/>
      <c r="K50" s="37"/>
      <c r="L50" s="38"/>
    </row>
    <row r="51" spans="2:12" ht="79.75" customHeight="1" x14ac:dyDescent="0.2">
      <c r="B51" s="151" t="s">
        <v>104</v>
      </c>
      <c r="C51" s="151" t="s">
        <v>264</v>
      </c>
      <c r="D51" s="177" t="s">
        <v>2162</v>
      </c>
      <c r="E51" s="129" t="s">
        <v>2391</v>
      </c>
      <c r="F51" s="130"/>
      <c r="G51" s="127" t="s">
        <v>2163</v>
      </c>
      <c r="H51" s="128"/>
      <c r="I51" s="28" t="s">
        <v>10</v>
      </c>
      <c r="J51" s="11"/>
      <c r="K51" s="33"/>
      <c r="L51" s="29"/>
    </row>
    <row r="52" spans="2:12" ht="79.75" customHeight="1" x14ac:dyDescent="0.2">
      <c r="B52" s="152"/>
      <c r="C52" s="152"/>
      <c r="D52" s="178"/>
      <c r="E52" s="131"/>
      <c r="F52" s="132"/>
      <c r="G52" s="127" t="s">
        <v>2403</v>
      </c>
      <c r="H52" s="128"/>
      <c r="I52" s="28" t="s">
        <v>10</v>
      </c>
      <c r="J52" s="11"/>
      <c r="K52" s="33"/>
      <c r="L52" s="29"/>
    </row>
    <row r="53" spans="2:12" ht="79.75" customHeight="1" x14ac:dyDescent="0.2">
      <c r="B53" s="173"/>
      <c r="C53" s="173"/>
      <c r="D53" s="179"/>
      <c r="E53" s="133"/>
      <c r="F53" s="134"/>
      <c r="G53" s="127" t="s">
        <v>2164</v>
      </c>
      <c r="H53" s="128"/>
      <c r="I53" s="28" t="s">
        <v>10</v>
      </c>
      <c r="J53" s="11"/>
      <c r="K53" s="33"/>
      <c r="L53" s="29"/>
    </row>
    <row r="54" spans="2:12" ht="83.5" customHeight="1" x14ac:dyDescent="0.2">
      <c r="B54" s="143" t="s">
        <v>104</v>
      </c>
      <c r="C54" s="143" t="s">
        <v>267</v>
      </c>
      <c r="D54" s="181" t="s">
        <v>2165</v>
      </c>
      <c r="E54" s="135" t="s">
        <v>2392</v>
      </c>
      <c r="F54" s="136"/>
      <c r="G54" s="141" t="s">
        <v>2166</v>
      </c>
      <c r="H54" s="142"/>
      <c r="I54" s="28" t="s">
        <v>10</v>
      </c>
      <c r="J54" s="36"/>
      <c r="K54" s="37"/>
      <c r="L54" s="38"/>
    </row>
    <row r="55" spans="2:12" ht="83.5" customHeight="1" x14ac:dyDescent="0.2">
      <c r="B55" s="144"/>
      <c r="C55" s="144"/>
      <c r="D55" s="182"/>
      <c r="E55" s="137"/>
      <c r="F55" s="138"/>
      <c r="G55" s="141" t="s">
        <v>2167</v>
      </c>
      <c r="H55" s="142"/>
      <c r="I55" s="28" t="s">
        <v>10</v>
      </c>
      <c r="J55" s="36"/>
      <c r="K55" s="37"/>
      <c r="L55" s="38"/>
    </row>
    <row r="56" spans="2:12" ht="83.5" customHeight="1" x14ac:dyDescent="0.2">
      <c r="B56" s="144"/>
      <c r="C56" s="144"/>
      <c r="D56" s="182"/>
      <c r="E56" s="139"/>
      <c r="F56" s="140"/>
      <c r="G56" s="141" t="s">
        <v>2402</v>
      </c>
      <c r="H56" s="142"/>
      <c r="I56" s="28" t="s">
        <v>10</v>
      </c>
      <c r="J56" s="36"/>
      <c r="K56" s="37"/>
      <c r="L56" s="38"/>
    </row>
    <row r="57" spans="2:12" ht="79.75" customHeight="1" x14ac:dyDescent="0.2">
      <c r="B57" s="151" t="s">
        <v>104</v>
      </c>
      <c r="C57" s="151" t="s">
        <v>268</v>
      </c>
      <c r="D57" s="177" t="s">
        <v>2168</v>
      </c>
      <c r="E57" s="129" t="s">
        <v>2396</v>
      </c>
      <c r="F57" s="130"/>
      <c r="G57" s="127" t="s">
        <v>2169</v>
      </c>
      <c r="H57" s="128"/>
      <c r="I57" s="28" t="s">
        <v>10</v>
      </c>
      <c r="J57" s="11"/>
      <c r="K57" s="33"/>
      <c r="L57" s="29"/>
    </row>
    <row r="58" spans="2:12" ht="79.75" customHeight="1" x14ac:dyDescent="0.2">
      <c r="B58" s="152"/>
      <c r="C58" s="152"/>
      <c r="D58" s="178"/>
      <c r="E58" s="131"/>
      <c r="F58" s="132"/>
      <c r="G58" s="127" t="s">
        <v>2170</v>
      </c>
      <c r="H58" s="128"/>
      <c r="I58" s="28" t="s">
        <v>10</v>
      </c>
      <c r="J58" s="11"/>
      <c r="K58" s="33"/>
      <c r="L58" s="29"/>
    </row>
    <row r="59" spans="2:12" ht="79.75" customHeight="1" x14ac:dyDescent="0.2">
      <c r="B59" s="173"/>
      <c r="C59" s="173"/>
      <c r="D59" s="179"/>
      <c r="E59" s="133"/>
      <c r="F59" s="134"/>
      <c r="G59" s="127" t="s">
        <v>2171</v>
      </c>
      <c r="H59" s="128"/>
      <c r="I59" s="28" t="s">
        <v>10</v>
      </c>
      <c r="J59" s="11"/>
      <c r="K59" s="33"/>
      <c r="L59" s="29"/>
    </row>
    <row r="60" spans="2:12" ht="83.5" customHeight="1" x14ac:dyDescent="0.2">
      <c r="B60" s="143" t="s">
        <v>104</v>
      </c>
      <c r="C60" s="143" t="s">
        <v>988</v>
      </c>
      <c r="D60" s="181" t="s">
        <v>2172</v>
      </c>
      <c r="E60" s="135" t="s">
        <v>2395</v>
      </c>
      <c r="F60" s="136"/>
      <c r="G60" s="141" t="s">
        <v>2400</v>
      </c>
      <c r="H60" s="142"/>
      <c r="I60" s="28" t="s">
        <v>10</v>
      </c>
      <c r="J60" s="36"/>
      <c r="K60" s="37"/>
      <c r="L60" s="38"/>
    </row>
    <row r="61" spans="2:12" ht="83.5" customHeight="1" x14ac:dyDescent="0.2">
      <c r="B61" s="144"/>
      <c r="C61" s="144"/>
      <c r="D61" s="182"/>
      <c r="E61" s="137"/>
      <c r="F61" s="138"/>
      <c r="G61" s="141" t="s">
        <v>2399</v>
      </c>
      <c r="H61" s="142"/>
      <c r="I61" s="28" t="s">
        <v>10</v>
      </c>
      <c r="J61" s="36"/>
      <c r="K61" s="37"/>
      <c r="L61" s="38"/>
    </row>
    <row r="62" spans="2:12" ht="83.5" customHeight="1" x14ac:dyDescent="0.2">
      <c r="B62" s="144"/>
      <c r="C62" s="144"/>
      <c r="D62" s="182"/>
      <c r="E62" s="139"/>
      <c r="F62" s="140"/>
      <c r="G62" s="141" t="s">
        <v>2401</v>
      </c>
      <c r="H62" s="142"/>
      <c r="I62" s="28" t="s">
        <v>10</v>
      </c>
      <c r="J62" s="36"/>
      <c r="K62" s="37"/>
      <c r="L62" s="38"/>
    </row>
    <row r="216" spans="1:13" s="4" customFormat="1" x14ac:dyDescent="0.2">
      <c r="A216" s="1"/>
      <c r="B216" s="2"/>
      <c r="C216" s="3"/>
      <c r="D216" s="3"/>
      <c r="E216" s="3"/>
      <c r="G216" s="3"/>
      <c r="I216" s="6"/>
      <c r="J216" s="1"/>
      <c r="K216" s="30"/>
      <c r="L216" s="1"/>
      <c r="M216" s="1"/>
    </row>
    <row r="217" spans="1:13" s="4" customFormat="1" x14ac:dyDescent="0.2">
      <c r="A217" s="1"/>
      <c r="B217" s="2"/>
      <c r="C217" s="3"/>
      <c r="D217" s="3"/>
      <c r="E217" s="3"/>
      <c r="G217" s="79"/>
      <c r="I217" s="6"/>
      <c r="J217" s="1"/>
      <c r="K217" s="30"/>
      <c r="L217" s="1"/>
      <c r="M217" s="1"/>
    </row>
    <row r="218" spans="1:13" s="4" customFormat="1" x14ac:dyDescent="0.2">
      <c r="A218" s="1"/>
      <c r="B218" s="2"/>
      <c r="C218" s="3"/>
      <c r="D218" s="3"/>
      <c r="E218" s="3"/>
      <c r="G218" s="80"/>
      <c r="I218" s="6"/>
      <c r="J218" s="1"/>
      <c r="K218" s="30"/>
      <c r="L218" s="1"/>
      <c r="M218" s="1"/>
    </row>
    <row r="219" spans="1:13" s="4" customFormat="1" x14ac:dyDescent="0.2">
      <c r="A219" s="1"/>
      <c r="B219" s="2"/>
      <c r="C219" s="3"/>
      <c r="D219" s="3"/>
      <c r="E219" s="3"/>
      <c r="G219" s="81"/>
      <c r="I219" s="6"/>
      <c r="J219" s="1"/>
      <c r="K219" s="30"/>
      <c r="L219" s="1"/>
      <c r="M219" s="1"/>
    </row>
    <row r="220" spans="1:13" s="4" customFormat="1" x14ac:dyDescent="0.2">
      <c r="A220" s="1"/>
      <c r="B220" s="2"/>
      <c r="C220" s="3"/>
      <c r="D220" s="3"/>
      <c r="E220" s="3"/>
      <c r="G220" s="82"/>
      <c r="I220" s="6"/>
      <c r="J220" s="1"/>
      <c r="K220" s="30"/>
      <c r="L220" s="1"/>
      <c r="M220" s="1"/>
    </row>
    <row r="221" spans="1:13" s="4" customFormat="1" x14ac:dyDescent="0.2">
      <c r="A221" s="1"/>
      <c r="B221" s="2"/>
      <c r="C221" s="3"/>
      <c r="D221" s="3"/>
      <c r="E221" s="3"/>
      <c r="G221" s="79"/>
      <c r="I221" s="6"/>
      <c r="J221" s="1"/>
      <c r="K221" s="30"/>
      <c r="L221" s="1"/>
      <c r="M221" s="1"/>
    </row>
    <row r="225" spans="1:13" s="4" customFormat="1" x14ac:dyDescent="0.2">
      <c r="A225" s="1"/>
      <c r="B225" s="2"/>
      <c r="C225" s="3"/>
      <c r="D225" s="3"/>
      <c r="E225" s="3"/>
      <c r="G225" s="83"/>
      <c r="I225" s="6"/>
      <c r="J225" s="1"/>
      <c r="K225" s="30"/>
      <c r="L225" s="1"/>
      <c r="M225" s="1"/>
    </row>
    <row r="226" spans="1:13" s="4" customFormat="1" x14ac:dyDescent="0.2">
      <c r="A226" s="1"/>
      <c r="B226" s="2"/>
      <c r="C226" s="3"/>
      <c r="D226" s="3"/>
      <c r="E226" s="3"/>
      <c r="G226" s="84"/>
      <c r="I226" s="6"/>
      <c r="J226" s="1"/>
      <c r="K226" s="30"/>
      <c r="L226" s="1"/>
      <c r="M226" s="1"/>
    </row>
    <row r="227" spans="1:13" s="4" customFormat="1" x14ac:dyDescent="0.2">
      <c r="A227" s="1"/>
      <c r="B227" s="2"/>
      <c r="C227" s="3"/>
      <c r="D227" s="3"/>
      <c r="E227" s="3"/>
      <c r="G227" s="81"/>
      <c r="I227" s="6"/>
      <c r="J227" s="1"/>
      <c r="K227" s="30"/>
      <c r="L227" s="1"/>
      <c r="M227" s="1"/>
    </row>
    <row r="228" spans="1:13" s="4" customFormat="1" x14ac:dyDescent="0.2">
      <c r="A228" s="1"/>
      <c r="B228" s="2"/>
      <c r="C228" s="3"/>
      <c r="D228" s="3"/>
      <c r="E228" s="3"/>
      <c r="G228" s="81"/>
      <c r="I228" s="6"/>
      <c r="J228" s="1"/>
      <c r="K228" s="30"/>
      <c r="L228" s="1"/>
      <c r="M228" s="1"/>
    </row>
    <row r="229" spans="1:13" s="4" customFormat="1" x14ac:dyDescent="0.2">
      <c r="A229" s="1"/>
      <c r="B229" s="2"/>
      <c r="C229" s="3"/>
      <c r="D229" s="3"/>
      <c r="E229" s="3"/>
      <c r="G229" s="79"/>
      <c r="I229" s="6"/>
      <c r="J229" s="1"/>
      <c r="K229" s="30"/>
      <c r="L229" s="1"/>
      <c r="M229" s="1"/>
    </row>
    <row r="233" spans="1:13" s="4" customFormat="1" x14ac:dyDescent="0.2">
      <c r="A233" s="1"/>
      <c r="B233" s="2"/>
      <c r="C233" s="3"/>
      <c r="D233" s="3"/>
      <c r="E233" s="3"/>
      <c r="G233" s="83"/>
      <c r="I233" s="6"/>
      <c r="J233" s="1"/>
      <c r="K233" s="30"/>
      <c r="L233" s="1"/>
      <c r="M233" s="1"/>
    </row>
    <row r="234" spans="1:13" s="4" customFormat="1" x14ac:dyDescent="0.2">
      <c r="A234" s="1"/>
      <c r="B234" s="2"/>
      <c r="C234" s="3"/>
      <c r="D234" s="3"/>
      <c r="E234" s="3"/>
      <c r="G234" s="84"/>
      <c r="I234" s="6"/>
      <c r="J234" s="1"/>
      <c r="K234" s="30"/>
      <c r="L234" s="1"/>
      <c r="M234" s="1"/>
    </row>
    <row r="235" spans="1:13" s="4" customFormat="1" x14ac:dyDescent="0.2">
      <c r="A235" s="1"/>
      <c r="B235" s="2"/>
      <c r="C235" s="3"/>
      <c r="D235" s="3"/>
      <c r="E235" s="3"/>
      <c r="G235" s="81"/>
      <c r="I235" s="6"/>
      <c r="J235" s="1"/>
      <c r="K235" s="30"/>
      <c r="L235" s="1"/>
      <c r="M235" s="1"/>
    </row>
    <row r="236" spans="1:13" s="4" customFormat="1" x14ac:dyDescent="0.2">
      <c r="A236" s="1"/>
      <c r="B236" s="2"/>
      <c r="C236" s="3"/>
      <c r="D236" s="3"/>
      <c r="E236" s="3"/>
      <c r="G236" s="81"/>
      <c r="I236" s="6"/>
      <c r="J236" s="1"/>
      <c r="K236" s="30"/>
      <c r="L236" s="1"/>
      <c r="M236" s="1"/>
    </row>
    <row r="237" spans="1:13" s="4" customFormat="1" x14ac:dyDescent="0.2">
      <c r="A237" s="1"/>
      <c r="B237" s="2"/>
      <c r="C237" s="3"/>
      <c r="D237" s="3"/>
      <c r="E237" s="3"/>
      <c r="G237" s="83"/>
      <c r="I237" s="6"/>
      <c r="J237" s="1"/>
      <c r="K237" s="30"/>
      <c r="L237" s="1"/>
      <c r="M237" s="1"/>
    </row>
    <row r="238" spans="1:13" s="4" customFormat="1" x14ac:dyDescent="0.2">
      <c r="A238" s="1"/>
      <c r="B238" s="2"/>
      <c r="C238" s="3"/>
      <c r="D238" s="3"/>
      <c r="E238" s="3"/>
      <c r="G238" s="85"/>
      <c r="I238" s="6"/>
      <c r="J238" s="1"/>
      <c r="K238" s="30"/>
      <c r="L238" s="1"/>
      <c r="M238" s="1"/>
    </row>
    <row r="239" spans="1:13" s="4" customFormat="1" x14ac:dyDescent="0.2">
      <c r="A239" s="1"/>
      <c r="B239" s="2"/>
      <c r="C239" s="3"/>
      <c r="D239" s="3"/>
      <c r="E239" s="3"/>
      <c r="G239" s="86"/>
      <c r="I239" s="6"/>
      <c r="J239" s="1"/>
      <c r="K239" s="30"/>
      <c r="L239" s="1"/>
      <c r="M239" s="1"/>
    </row>
  </sheetData>
  <mergeCells count="81">
    <mergeCell ref="G60:H60"/>
    <mergeCell ref="G61:H61"/>
    <mergeCell ref="G62:H62"/>
    <mergeCell ref="G54:H54"/>
    <mergeCell ref="G55:H55"/>
    <mergeCell ref="G56:H56"/>
    <mergeCell ref="E57:F59"/>
    <mergeCell ref="G57:H57"/>
    <mergeCell ref="G58:H58"/>
    <mergeCell ref="G59:H59"/>
    <mergeCell ref="G48:H48"/>
    <mergeCell ref="G49:H49"/>
    <mergeCell ref="G50:H50"/>
    <mergeCell ref="E51:F53"/>
    <mergeCell ref="G51:H51"/>
    <mergeCell ref="G52:H52"/>
    <mergeCell ref="G53:H53"/>
    <mergeCell ref="G42:H42"/>
    <mergeCell ref="G43:H43"/>
    <mergeCell ref="G44:H44"/>
    <mergeCell ref="E45:F47"/>
    <mergeCell ref="G45:H45"/>
    <mergeCell ref="G46:H46"/>
    <mergeCell ref="G47:H47"/>
    <mergeCell ref="B60:B62"/>
    <mergeCell ref="C60:C62"/>
    <mergeCell ref="D60:D62"/>
    <mergeCell ref="E60:F62"/>
    <mergeCell ref="B54:B56"/>
    <mergeCell ref="C54:C56"/>
    <mergeCell ref="D54:D56"/>
    <mergeCell ref="E54:F56"/>
    <mergeCell ref="B57:B59"/>
    <mergeCell ref="C57:C59"/>
    <mergeCell ref="D57:D59"/>
    <mergeCell ref="B48:B50"/>
    <mergeCell ref="C48:C50"/>
    <mergeCell ref="D48:D50"/>
    <mergeCell ref="E48:F50"/>
    <mergeCell ref="B51:B53"/>
    <mergeCell ref="C51:C53"/>
    <mergeCell ref="D51:D53"/>
    <mergeCell ref="B42:B44"/>
    <mergeCell ref="C42:C44"/>
    <mergeCell ref="D42:D44"/>
    <mergeCell ref="E42:F44"/>
    <mergeCell ref="B45:B47"/>
    <mergeCell ref="C45:C47"/>
    <mergeCell ref="D45:D47"/>
    <mergeCell ref="E38:F38"/>
    <mergeCell ref="G38:H38"/>
    <mergeCell ref="B39:B41"/>
    <mergeCell ref="C39:C41"/>
    <mergeCell ref="D39:D41"/>
    <mergeCell ref="E39:F41"/>
    <mergeCell ref="G39:H39"/>
    <mergeCell ref="G40:H40"/>
    <mergeCell ref="G41:H41"/>
    <mergeCell ref="B25:B30"/>
    <mergeCell ref="C25:C30"/>
    <mergeCell ref="D25:D30"/>
    <mergeCell ref="E25:E30"/>
    <mergeCell ref="B31:B36"/>
    <mergeCell ref="C31:C36"/>
    <mergeCell ref="D31:D36"/>
    <mergeCell ref="E31:E36"/>
    <mergeCell ref="B20:B24"/>
    <mergeCell ref="C20:C24"/>
    <mergeCell ref="D20:D24"/>
    <mergeCell ref="E20:E24"/>
    <mergeCell ref="B2:J2"/>
    <mergeCell ref="B4:J4"/>
    <mergeCell ref="B6:H8"/>
    <mergeCell ref="I6:J6"/>
    <mergeCell ref="I7:J8"/>
    <mergeCell ref="C10:J10"/>
    <mergeCell ref="C11:J11"/>
    <mergeCell ref="B14:B19"/>
    <mergeCell ref="C14:C19"/>
    <mergeCell ref="D14:D19"/>
    <mergeCell ref="E14:E19"/>
  </mergeCells>
  <conditionalFormatting sqref="I1 I63:I1048576">
    <cfRule type="cellIs" dxfId="205" priority="18" operator="equal">
      <formula>1</formula>
    </cfRule>
  </conditionalFormatting>
  <conditionalFormatting sqref="I7">
    <cfRule type="cellIs" dxfId="204" priority="17" operator="equal">
      <formula>1</formula>
    </cfRule>
  </conditionalFormatting>
  <conditionalFormatting sqref="I14:I36">
    <cfRule type="expression" dxfId="7" priority="5" stopIfTrue="1">
      <formula>TRIM(UPPER(I14))="N/A"</formula>
    </cfRule>
    <cfRule type="expression" dxfId="6" priority="6">
      <formula>I14&gt;=0.9</formula>
    </cfRule>
    <cfRule type="expression" dxfId="5" priority="7">
      <formula>AND(I14&gt;=0.8, I14&lt;0.9)</formula>
    </cfRule>
    <cfRule type="expression" dxfId="4" priority="8">
      <formula>I14&lt;0.8</formula>
    </cfRule>
  </conditionalFormatting>
  <conditionalFormatting sqref="I39:I62">
    <cfRule type="expression" dxfId="3" priority="1" stopIfTrue="1">
      <formula>TRIM(UPPER(I39))="N/A"</formula>
    </cfRule>
    <cfRule type="expression" dxfId="2" priority="2">
      <formula>I39&gt;=0.9</formula>
    </cfRule>
    <cfRule type="expression" dxfId="1" priority="3">
      <formula>AND(I39&gt;=0.8, I39&lt;0.9)</formula>
    </cfRule>
    <cfRule type="expression" dxfId="0" priority="4">
      <formula>I39&lt;0.8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4BDC75A-8761-0D4F-8766-F797AC94F9E3}">
          <x14:formula1>
            <xm:f>'Listas desplegables'!$C$4:$C$15</xm:f>
          </x14:formula1>
          <xm:sqref>I39:I62 I14:I36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2FDF77E8D83244D8FEBBA23CC09EDDD" ma:contentTypeVersion="13" ma:contentTypeDescription="Crear nuevo documento." ma:contentTypeScope="" ma:versionID="7827a2405cb4029fa65d58297f3b8591">
  <xsd:schema xmlns:xsd="http://www.w3.org/2001/XMLSchema" xmlns:xs="http://www.w3.org/2001/XMLSchema" xmlns:p="http://schemas.microsoft.com/office/2006/metadata/properties" xmlns:ns2="4a523adb-4f86-4cfc-9a81-95d8da053de7" xmlns:ns3="9259eedd-ff2d-4b3d-b0a4-f2e625a1aa78" targetNamespace="http://schemas.microsoft.com/office/2006/metadata/properties" ma:root="true" ma:fieldsID="cecb647eedb5471da564838b9bb74bfa" ns2:_="" ns3:_="">
    <xsd:import namespace="4a523adb-4f86-4cfc-9a81-95d8da053de7"/>
    <xsd:import namespace="9259eedd-ff2d-4b3d-b0a4-f2e625a1aa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523adb-4f86-4cfc-9a81-95d8da053d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223043af-879a-4b3a-9299-caba27d419a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59eedd-ff2d-4b3d-b0a4-f2e625a1aa7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c63aed-dff0-4514-892c-ccada92ee70c}" ma:internalName="TaxCatchAll" ma:showField="CatchAllData" ma:web="9259eedd-ff2d-4b3d-b0a4-f2e625a1aa78">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259eedd-ff2d-4b3d-b0a4-f2e625a1aa78" xsi:nil="true"/>
    <lcf76f155ced4ddcb4097134ff3c332f xmlns="4a523adb-4f86-4cfc-9a81-95d8da053de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050D145-2B8C-4C4F-BBE1-F47C15D7BAF0}">
  <ds:schemaRefs>
    <ds:schemaRef ds:uri="http://schemas.microsoft.com/sharepoint/v3/contenttype/forms"/>
  </ds:schemaRefs>
</ds:datastoreItem>
</file>

<file path=customXml/itemProps2.xml><?xml version="1.0" encoding="utf-8"?>
<ds:datastoreItem xmlns:ds="http://schemas.openxmlformats.org/officeDocument/2006/customXml" ds:itemID="{CBCEA0A6-DE59-432D-83F3-7FA38AB00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523adb-4f86-4cfc-9a81-95d8da053de7"/>
    <ds:schemaRef ds:uri="9259eedd-ff2d-4b3d-b0a4-f2e625a1aa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77387BD-C391-4CF1-AD44-4C69E54F165B}">
  <ds:schemaRefs>
    <ds:schemaRef ds:uri="http://schemas.microsoft.com/office/2006/metadata/properties"/>
    <ds:schemaRef ds:uri="http://www.w3.org/XML/1998/namespace"/>
    <ds:schemaRef ds:uri="http://purl.org/dc/dcmitype/"/>
    <ds:schemaRef ds:uri="http://schemas.microsoft.com/office/2006/documentManagement/types"/>
    <ds:schemaRef ds:uri="0aed79e1-7038-4cdc-86d4-55af10d31de4"/>
    <ds:schemaRef ds:uri="http://purl.org/dc/elements/1.1/"/>
    <ds:schemaRef ds:uri="http://purl.org/dc/terms/"/>
    <ds:schemaRef ds:uri="http://schemas.microsoft.com/office/infopath/2007/PartnerControls"/>
    <ds:schemaRef ds:uri="http://schemas.openxmlformats.org/package/2006/metadata/core-properties"/>
    <ds:schemaRef ds:uri="43f41a10-de4e-4c61-a59b-72cf0fdd6563"/>
    <ds:schemaRef ds:uri="9259eedd-ff2d-4b3d-b0a4-f2e625a1aa78"/>
    <ds:schemaRef ds:uri="4a523adb-4f86-4cfc-9a81-95d8da053de7"/>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26</vt:i4>
      </vt:variant>
      <vt:variant>
        <vt:lpstr>Rangos con nombre</vt:lpstr>
      </vt:variant>
      <vt:variant>
        <vt:i4>21</vt:i4>
      </vt:variant>
    </vt:vector>
  </HeadingPairs>
  <TitlesOfParts>
    <vt:vector size="47" baseType="lpstr">
      <vt:lpstr>ÍNDICE</vt:lpstr>
      <vt:lpstr>Listas desplegables</vt:lpstr>
      <vt:lpstr>RF01</vt:lpstr>
      <vt:lpstr>RF02</vt:lpstr>
      <vt:lpstr>RF03</vt:lpstr>
      <vt:lpstr>RF04</vt:lpstr>
      <vt:lpstr>RF05</vt:lpstr>
      <vt:lpstr>RF06</vt:lpstr>
      <vt:lpstr>RF07</vt:lpstr>
      <vt:lpstr>RF08</vt:lpstr>
      <vt:lpstr>RF09</vt:lpstr>
      <vt:lpstr>RF10</vt:lpstr>
      <vt:lpstr>RF11</vt:lpstr>
      <vt:lpstr>RF12</vt:lpstr>
      <vt:lpstr>RF13</vt:lpstr>
      <vt:lpstr>RF14</vt:lpstr>
      <vt:lpstr>RF16</vt:lpstr>
      <vt:lpstr>RF18</vt:lpstr>
      <vt:lpstr>RF20</vt:lpstr>
      <vt:lpstr>RF21</vt:lpstr>
      <vt:lpstr>RF23</vt:lpstr>
      <vt:lpstr>RF24</vt:lpstr>
      <vt:lpstr>RF25</vt:lpstr>
      <vt:lpstr>RF27</vt:lpstr>
      <vt:lpstr>RF28</vt:lpstr>
      <vt:lpstr>RF29</vt:lpstr>
      <vt:lpstr>'RF01'!APLICA</vt:lpstr>
      <vt:lpstr>'RF02'!APLICA</vt:lpstr>
      <vt:lpstr>'RF03'!APLICA</vt:lpstr>
      <vt:lpstr>'RF04'!APLICA</vt:lpstr>
      <vt:lpstr>'RF10'!APLICA</vt:lpstr>
      <vt:lpstr>'RF14'!APLICA</vt:lpstr>
      <vt:lpstr>APLICA</vt:lpstr>
      <vt:lpstr>ÍNDICE!Área_de_impresión</vt:lpstr>
      <vt:lpstr>'RF01'!Área_de_impresión</vt:lpstr>
      <vt:lpstr>'RF02'!Área_de_impresión</vt:lpstr>
      <vt:lpstr>'RF03'!Área_de_impresión</vt:lpstr>
      <vt:lpstr>'RF04'!Área_de_impresión</vt:lpstr>
      <vt:lpstr>'RF10'!Área_de_impresión</vt:lpstr>
      <vt:lpstr>'RF14'!Área_de_impresión</vt:lpstr>
      <vt:lpstr>'RF01'!CUMPLIMIENTO</vt:lpstr>
      <vt:lpstr>'RF02'!CUMPLIMIENTO</vt:lpstr>
      <vt:lpstr>'RF03'!CUMPLIMIENTO</vt:lpstr>
      <vt:lpstr>'RF04'!CUMPLIMIENTO</vt:lpstr>
      <vt:lpstr>'RF10'!CUMPLIMIENTO</vt:lpstr>
      <vt:lpstr>'RF14'!CUMPLIMIENTO</vt:lpstr>
      <vt:lpstr>CUMPLIMIENTO</vt:lpstr>
    </vt:vector>
  </TitlesOfParts>
  <Manager/>
  <Company>Codelco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Moris Salinas Rodrigo (Codelco-Casa Matriz)</dc:creator>
  <cp:keywords/>
  <dc:description/>
  <cp:lastModifiedBy>Faddua Kassra</cp:lastModifiedBy>
  <cp:revision/>
  <cp:lastPrinted>2024-04-07T19:11:39Z</cp:lastPrinted>
  <dcterms:created xsi:type="dcterms:W3CDTF">2023-08-16T23:09:10Z</dcterms:created>
  <dcterms:modified xsi:type="dcterms:W3CDTF">2026-01-19T19:18:08Z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0x01010002FDF77E8D83244D8FEBBA23CC09EDDD</vt:lpwstr>
  </property>
</Properties>
</file>